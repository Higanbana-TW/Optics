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Cover" sheetId="1" state="visible" r:id="rId1"/>
    <sheet name="02 Contents" sheetId="2" state="visible" r:id="rId2"/>
    <sheet name="03 Revision History" sheetId="3" state="visible" r:id="rId3"/>
    <sheet name="04 Optical Spec" sheetId="4" state="visible" r:id="rId4"/>
    <sheet name="05 Zoom System" sheetId="5" state="visible" r:id="rId5"/>
    <sheet name="06 Focus System" sheetId="6" state="visible" r:id="rId6"/>
    <sheet name="07 IR Switch" sheetId="7" state="visible" r:id="rId7"/>
    <sheet name="08 Iris" sheetId="8" state="visible" r:id="rId8"/>
    <sheet name="09 Life Test" sheetId="9" state="visible" r:id="rId9"/>
    <sheet name="10 Reliability" sheetId="10" state="visible" r:id="rId10"/>
    <sheet name="11 FPC Spec" sheetId="11" state="visible" r:id="rId11"/>
    <sheet name="12 Cam Lifting Map" sheetId="12" state="visible" r:id="rId12"/>
    <sheet name="13 Mechanical Notes" sheetId="13" state="visible" r:id="rId13"/>
    <sheet name="14 View Point Data" sheetId="14" state="visible" r:id="rId14"/>
    <sheet name="15 Iris Fno Spec" sheetId="15" state="visible" r:id="rId15"/>
    <sheet name="16 Appearance" sheetId="16" state="visible" r:id="rId16"/>
  </sheets>
  <definedNames>
    <definedName name="_xlnm.Print_Titles" localSheetId="0">'01 Cover'!$1:$3</definedName>
    <definedName name="_xlnm._FilterDatabase" localSheetId="14" hidden="1">'15 Iris Fno Spec'!$A$3:$J$87</definedName>
    <definedName name="_xlnm.Print_Titles" localSheetId="14">'15 Iris Fno Spec'!$1:$3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0"/>
    <numFmt numFmtId="166" formatCode="0.0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4E79"/>
      <sz val="22"/>
    </font>
    <font>
      <name val="Calibri"/>
      <color rgb="001F4E79"/>
      <sz val="14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1F4E79"/>
      <sz val="11"/>
    </font>
    <font>
      <name val="Calibri"/>
      <b val="1"/>
      <color rgb="000563C1"/>
      <sz val="11"/>
      <u val="single"/>
    </font>
    <font>
      <name val="Calibri"/>
      <color rgb="00666666"/>
      <sz val="9"/>
    </font>
    <font>
      <name val="Calibri"/>
      <b val="1"/>
      <color rgb="001F4E79"/>
      <sz val="12"/>
    </font>
    <font>
      <name val="Calibri"/>
      <color rgb="001F4E79"/>
      <sz val="10"/>
    </font>
  </fonts>
  <fills count="17">
    <fill>
      <patternFill/>
    </fill>
    <fill>
      <patternFill patternType="gray125"/>
    </fill>
    <fill>
      <patternFill patternType="solid">
        <fgColor rgb="000D2B4A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4F8FB"/>
      </patternFill>
    </fill>
    <fill>
      <patternFill patternType="solid">
        <fgColor rgb="00E2EFDA"/>
      </patternFill>
    </fill>
    <fill>
      <patternFill patternType="solid">
        <fgColor rgb="00D6E3F0"/>
      </patternFill>
    </fill>
    <fill>
      <patternFill patternType="solid">
        <fgColor rgb="00EAF1F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vertical="center" wrapText="1"/>
    </xf>
    <xf numFmtId="0" fontId="6" fillId="9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vertical="center" wrapText="1"/>
    </xf>
    <xf numFmtId="0" fontId="7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vertical="center" wrapText="1"/>
    </xf>
    <xf numFmtId="0" fontId="7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vertical="center" wrapText="1"/>
    </xf>
    <xf numFmtId="0" fontId="7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2" fontId="6" fillId="4" borderId="1" applyAlignment="1" pivotButton="0" quotePrefix="0" xfId="0">
      <alignment vertical="center" wrapText="1"/>
    </xf>
    <xf numFmtId="1" fontId="6" fillId="4" borderId="1" applyAlignment="1" pivotButton="0" quotePrefix="0" xfId="0">
      <alignment vertical="center" wrapText="1"/>
    </xf>
    <xf numFmtId="2" fontId="6" fillId="5" borderId="1" applyAlignment="1" pivotButton="0" quotePrefix="0" xfId="0">
      <alignment vertical="center" wrapText="1"/>
    </xf>
    <xf numFmtId="1" fontId="6" fillId="5" borderId="1" applyAlignment="1" pivotButton="0" quotePrefix="0" xfId="0">
      <alignment vertical="center" wrapText="1"/>
    </xf>
    <xf numFmtId="0" fontId="4" fillId="14" borderId="1" applyAlignment="1" pivotButton="0" quotePrefix="0" xfId="0">
      <alignment horizontal="left" vertical="center" indent="1"/>
    </xf>
    <xf numFmtId="0" fontId="0" fillId="14" borderId="1" pivotButton="0" quotePrefix="0" xfId="0"/>
    <xf numFmtId="2" fontId="6" fillId="4" borderId="1" applyAlignment="1" pivotButton="0" quotePrefix="0" xfId="0">
      <alignment horizontal="center" vertical="center" wrapText="1"/>
    </xf>
    <xf numFmtId="2" fontId="6" fillId="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indent="1"/>
    </xf>
    <xf numFmtId="0" fontId="0" fillId="15" borderId="1" pivotButton="0" quotePrefix="0" xfId="0"/>
    <xf numFmtId="0" fontId="11" fillId="9" borderId="0" applyAlignment="1" pivotButton="0" quotePrefix="0" xfId="0">
      <alignment vertical="center" wrapText="1"/>
    </xf>
    <xf numFmtId="166" fontId="6" fillId="4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  <xf numFmtId="2" fontId="6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Iris Step vs Fno (Wide)</a:t>
            </a:r>
          </a:p>
        </rich>
      </tx>
    </title>
    <plotArea>
      <lineChart>
        <grouping val="standard"/>
        <ser>
          <idx val="0"/>
          <order val="0"/>
          <tx>
            <strRef>
              <f>'15 Iris Fno Spec'!B3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'15 Iris Fno Spec'!$A$4:$A$83</f>
            </numRef>
          </cat>
          <val>
            <numRef>
              <f>'15 Iris Fno Spec'!$B$4:$B$83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Iris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Fno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Iris Step vs Open Area (mm²)</a:t>
            </a:r>
          </a:p>
        </rich>
      </tx>
    </title>
    <plotArea>
      <lineChart>
        <grouping val="standard"/>
        <ser>
          <idx val="0"/>
          <order val="0"/>
          <tx>
            <strRef>
              <f>'15 Iris Fno Spec'!D3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'15 Iris Fno Spec'!$A$4:$A$87</f>
            </numRef>
          </cat>
          <val>
            <numRef>
              <f>'15 Iris Fno Spec'!$D$4:$D$87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Iris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Open Area (mm²)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21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 Cover'!A1" TargetMode="External" Id="rId1" /><Relationship Type="http://schemas.openxmlformats.org/officeDocument/2006/relationships/hyperlink" Target="#'02 Contents'!A1" TargetMode="External" Id="rId2" /><Relationship Type="http://schemas.openxmlformats.org/officeDocument/2006/relationships/hyperlink" Target="#'03 Revision History'!A1" TargetMode="External" Id="rId3" /><Relationship Type="http://schemas.openxmlformats.org/officeDocument/2006/relationships/hyperlink" Target="#'04 Optical Spec'!A1" TargetMode="External" Id="rId4" /><Relationship Type="http://schemas.openxmlformats.org/officeDocument/2006/relationships/hyperlink" Target="#'05 Zoom System'!A1" TargetMode="External" Id="rId5" /><Relationship Type="http://schemas.openxmlformats.org/officeDocument/2006/relationships/hyperlink" Target="#'06 Focus System'!A1" TargetMode="External" Id="rId6" /><Relationship Type="http://schemas.openxmlformats.org/officeDocument/2006/relationships/hyperlink" Target="#'07 IR Switch'!A1" TargetMode="External" Id="rId7" /><Relationship Type="http://schemas.openxmlformats.org/officeDocument/2006/relationships/hyperlink" Target="#'08 Iris'!A1" TargetMode="External" Id="rId8" /><Relationship Type="http://schemas.openxmlformats.org/officeDocument/2006/relationships/hyperlink" Target="#'09 Life Test'!A1" TargetMode="External" Id="rId9" /><Relationship Type="http://schemas.openxmlformats.org/officeDocument/2006/relationships/hyperlink" Target="#'10 Reliability'!A1" TargetMode="External" Id="rId10" /><Relationship Type="http://schemas.openxmlformats.org/officeDocument/2006/relationships/hyperlink" Target="#'11 FPC Spec'!A1" TargetMode="External" Id="rId11" /><Relationship Type="http://schemas.openxmlformats.org/officeDocument/2006/relationships/hyperlink" Target="#'12 Cam Lifting Map'!A1" TargetMode="External" Id="rId12" /><Relationship Type="http://schemas.openxmlformats.org/officeDocument/2006/relationships/hyperlink" Target="#'13 Mechanical Notes'!A1" TargetMode="External" Id="rId13" /><Relationship Type="http://schemas.openxmlformats.org/officeDocument/2006/relationships/hyperlink" Target="#'14 View Point Data'!A1" TargetMode="External" Id="rId14" /><Relationship Type="http://schemas.openxmlformats.org/officeDocument/2006/relationships/hyperlink" Target="#'15 Iris Fno Spec'!A1" TargetMode="External" Id="rId15" /><Relationship Type="http://schemas.openxmlformats.org/officeDocument/2006/relationships/hyperlink" Target="#'16 Appearance'!A1" TargetMode="External" Id="rId16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2" customWidth="1" min="3" max="3"/>
    <col width="28" customWidth="1" min="4" max="4"/>
    <col width="22" customWidth="1" min="5" max="5"/>
  </cols>
  <sheetData>
    <row r="1" ht="28" customHeight="1">
      <c r="A1" s="1" t="inlineStr">
        <is>
          <t>嘉兴中润光学科技股份有限公司  Jiaxing Zhongrun Optics Co., Ltd.</t>
        </is>
      </c>
    </row>
    <row r="2" ht="36" customHeight="1">
      <c r="A2" s="2" t="inlineStr">
        <is>
          <t>产品规格书  Product Specification</t>
        </is>
      </c>
    </row>
    <row r="3" ht="22" customHeight="1">
      <c r="A3" s="3" t="inlineStr">
        <is>
          <t>1/1.8" 5X Zoom / Focus Lens  ·  IMX334  ·  8Mega HD</t>
        </is>
      </c>
    </row>
    <row r="5" ht="24" customHeight="1">
      <c r="A5" s="4" t="inlineStr">
        <is>
          <t>Document Information</t>
        </is>
      </c>
      <c r="B5" s="5" t="n"/>
      <c r="C5" s="5" t="n"/>
      <c r="D5" s="5" t="n"/>
      <c r="E5" s="5" t="n"/>
    </row>
    <row r="6" ht="22" customHeight="1">
      <c r="A6" s="6" t="inlineStr">
        <is>
          <t>Field</t>
        </is>
      </c>
      <c r="B6" s="6" t="inlineStr">
        <is>
          <t>中文</t>
        </is>
      </c>
      <c r="C6" s="6" t="inlineStr">
        <is>
          <t>English / Value</t>
        </is>
      </c>
      <c r="D6" s="6" t="inlineStr">
        <is>
          <t>Unit</t>
        </is>
      </c>
      <c r="E6" s="6" t="inlineStr">
        <is>
          <t>Remark</t>
        </is>
      </c>
    </row>
    <row r="7" ht="22" customHeight="1">
      <c r="A7" s="7" t="inlineStr">
        <is>
          <t>Customer</t>
        </is>
      </c>
      <c r="B7" s="8" t="inlineStr">
        <is>
          <t>客户名称</t>
        </is>
      </c>
      <c r="C7" s="8" t="inlineStr">
        <is>
          <t>通用版 / General Edition</t>
        </is>
      </c>
      <c r="D7" s="8" t="inlineStr"/>
      <c r="E7" s="8" t="inlineStr">
        <is>
          <t>Confidential</t>
        </is>
      </c>
    </row>
    <row r="8" ht="22" customHeight="1">
      <c r="A8" s="9" t="inlineStr">
        <is>
          <t>Product Name</t>
        </is>
      </c>
      <c r="B8" s="10" t="inlineStr">
        <is>
          <t>产品名称</t>
        </is>
      </c>
      <c r="C8" s="10" t="inlineStr">
        <is>
          <t>1/1.8" 5X Zoom/Focus Lens</t>
        </is>
      </c>
      <c r="D8" s="10" t="inlineStr"/>
      <c r="E8" s="10" t="inlineStr"/>
    </row>
    <row r="9" ht="22" customHeight="1">
      <c r="A9" s="7" t="inlineStr">
        <is>
          <t>Product Model</t>
        </is>
      </c>
      <c r="B9" s="8" t="inlineStr">
        <is>
          <t>产品型号</t>
        </is>
      </c>
      <c r="C9" s="8" t="inlineStr">
        <is>
          <t>F139T-4</t>
        </is>
      </c>
      <c r="D9" s="8" t="inlineStr"/>
      <c r="E9" s="8" t="inlineStr"/>
    </row>
    <row r="10" ht="22" customHeight="1">
      <c r="A10" s="9" t="inlineStr">
        <is>
          <t>Product P/N</t>
        </is>
      </c>
      <c r="B10" s="10" t="inlineStr">
        <is>
          <t>产品料号</t>
        </is>
      </c>
      <c r="C10" s="10" t="inlineStr">
        <is>
          <t>90.S08600.104</t>
        </is>
      </c>
      <c r="D10" s="10" t="inlineStr"/>
      <c r="E10" s="10" t="inlineStr"/>
    </row>
    <row r="11" ht="22" customHeight="1">
      <c r="A11" s="7" t="inlineStr">
        <is>
          <t>Form No.</t>
        </is>
      </c>
      <c r="B11" s="8" t="inlineStr">
        <is>
          <t>表单编号</t>
        </is>
      </c>
      <c r="C11" s="8" t="inlineStr">
        <is>
          <t>Zmax/Q-SP-PE-01-37</t>
        </is>
      </c>
      <c r="D11" s="8" t="inlineStr"/>
      <c r="E11" s="8" t="inlineStr">
        <is>
          <t>Rev1.0</t>
        </is>
      </c>
    </row>
    <row r="12" ht="22" customHeight="1">
      <c r="A12" s="9" t="inlineStr">
        <is>
          <t>Version</t>
        </is>
      </c>
      <c r="B12" s="10" t="inlineStr">
        <is>
          <t>版本</t>
        </is>
      </c>
      <c r="C12" s="10" t="inlineStr">
        <is>
          <t>A</t>
        </is>
      </c>
      <c r="D12" s="10" t="inlineStr"/>
      <c r="E12" s="10" t="inlineStr">
        <is>
          <t>2021-8-24 新规发行</t>
        </is>
      </c>
    </row>
    <row r="13" ht="22" customHeight="1">
      <c r="A13" s="7" t="inlineStr">
        <is>
          <t>Company</t>
        </is>
      </c>
      <c r="B13" s="8" t="inlineStr">
        <is>
          <t>公司</t>
        </is>
      </c>
      <c r="C13" s="8" t="inlineStr">
        <is>
          <t>嘉兴中润光学科技股份有限公司</t>
        </is>
      </c>
      <c r="D13" s="8" t="inlineStr"/>
      <c r="E13" s="8" t="inlineStr">
        <is>
          <t>浙江省嘉兴市陶泾路 188 号</t>
        </is>
      </c>
    </row>
    <row r="14" ht="22" customHeight="1">
      <c r="A14" s="9" t="inlineStr">
        <is>
          <t>Tel</t>
        </is>
      </c>
      <c r="B14" s="10" t="inlineStr">
        <is>
          <t>电话</t>
        </is>
      </c>
      <c r="C14" s="10" t="inlineStr">
        <is>
          <t>0573-8222-9907</t>
        </is>
      </c>
      <c r="D14" s="10" t="inlineStr"/>
      <c r="E14" s="10" t="inlineStr"/>
    </row>
    <row r="15" ht="22" customHeight="1">
      <c r="A15" s="7" t="inlineStr">
        <is>
          <t>Fax</t>
        </is>
      </c>
      <c r="B15" s="8" t="inlineStr">
        <is>
          <t>传真</t>
        </is>
      </c>
      <c r="C15" s="8" t="inlineStr">
        <is>
          <t>0573-8222-9909</t>
        </is>
      </c>
      <c r="D15" s="8" t="inlineStr"/>
      <c r="E15" s="8" t="inlineStr"/>
    </row>
    <row r="16" ht="22" customHeight="1">
      <c r="A16" s="9" t="inlineStr">
        <is>
          <t>Drawn</t>
        </is>
      </c>
      <c r="B16" s="10" t="inlineStr">
        <is>
          <t>作成 Draw</t>
        </is>
      </c>
      <c r="C16" s="10" t="inlineStr">
        <is>
          <t>Hunter &amp; Cole</t>
        </is>
      </c>
      <c r="D16" s="10" t="inlineStr"/>
      <c r="E16" s="10" t="inlineStr">
        <is>
          <t>2021.08.24</t>
        </is>
      </c>
    </row>
    <row r="17" ht="22" customHeight="1">
      <c r="A17" s="7" t="inlineStr">
        <is>
          <t>Reviewed</t>
        </is>
      </c>
      <c r="B17" s="8" t="inlineStr">
        <is>
          <t>审核 Review</t>
        </is>
      </c>
      <c r="C17" s="8" t="inlineStr">
        <is>
          <t>Skull</t>
        </is>
      </c>
      <c r="D17" s="8" t="inlineStr"/>
      <c r="E17" s="8" t="inlineStr">
        <is>
          <t>2021.08.24</t>
        </is>
      </c>
    </row>
    <row r="18" ht="22" customHeight="1">
      <c r="A18" s="9" t="inlineStr">
        <is>
          <t>Approved</t>
        </is>
      </c>
      <c r="B18" s="10" t="inlineStr">
        <is>
          <t>核准 Approval</t>
        </is>
      </c>
      <c r="C18" s="10" t="inlineStr">
        <is>
          <t>Peter / Owen</t>
        </is>
      </c>
      <c r="D18" s="10" t="inlineStr"/>
      <c r="E18" s="10" t="inlineStr">
        <is>
          <t>2021.08.24</t>
        </is>
      </c>
    </row>
    <row r="19" ht="22" customHeight="1">
      <c r="A19" s="7" t="inlineStr">
        <is>
          <t>Source PDF</t>
        </is>
      </c>
      <c r="B19" s="8" t="inlineStr">
        <is>
          <t>来源</t>
        </is>
      </c>
      <c r="C19" s="8" t="inlineStr">
        <is>
          <t>1/1.8 5X 4K IMX334 A 20210824</t>
        </is>
      </c>
      <c r="D19" s="8" t="inlineStr">
        <is>
          <t>24 pages</t>
        </is>
      </c>
      <c r="E19" s="8" t="inlineStr">
        <is>
          <t>Converted to Excel</t>
        </is>
      </c>
    </row>
    <row r="21" ht="24" customHeight="1">
      <c r="A21" s="4" t="inlineStr">
        <is>
          <t>Application  适用</t>
        </is>
      </c>
      <c r="B21" s="5" t="n"/>
      <c r="C21" s="5" t="n"/>
      <c r="D21" s="5" t="n"/>
      <c r="E21" s="5" t="n"/>
    </row>
    <row r="22" ht="28" customHeight="1">
      <c r="A22" s="11" t="inlineStr">
        <is>
          <t>本仕样书适用于 1/1.8″ CCD 或 CMOS 感光芯片，具备 5X 光学变焦以及自动对焦功能 8Mega 高清监控镜头。
This specification is applicable to 8 Mega HD security lens with 1/1.8" CCD or CMOS sensor and 5X Zoom &amp; AF function.</t>
        </is>
      </c>
    </row>
    <row r="23" ht="18" customHeight="1"/>
    <row r="24" ht="18" customHeight="1"/>
    <row r="26" ht="24" customHeight="1">
      <c r="A26" s="4" t="inlineStr">
        <is>
          <t>Workbook Map  工作表索引</t>
        </is>
      </c>
      <c r="B26" s="5" t="n"/>
      <c r="C26" s="5" t="n"/>
      <c r="D26" s="5" t="n"/>
      <c r="E26" s="5" t="n"/>
    </row>
    <row r="27" ht="22" customHeight="1">
      <c r="A27" s="6" t="inlineStr">
        <is>
          <t>Sheet</t>
        </is>
      </c>
      <c r="B27" s="6" t="inlineStr">
        <is>
          <t>Section</t>
        </is>
      </c>
      <c r="C27" s="6" t="inlineStr">
        <is>
          <t>Content</t>
        </is>
      </c>
      <c r="D27" s="6" t="inlineStr">
        <is>
          <t>PDF pages</t>
        </is>
      </c>
      <c r="E27" s="6" t="inlineStr">
        <is>
          <t>Type</t>
        </is>
      </c>
    </row>
    <row r="28" ht="20" customHeight="1">
      <c r="A28" s="12" t="inlineStr">
        <is>
          <t>01 Cover</t>
        </is>
      </c>
      <c r="B28" s="8" t="inlineStr">
        <is>
          <t>封面 / 适用</t>
        </is>
      </c>
      <c r="C28" s="8" t="inlineStr">
        <is>
          <t>Product identity, document control, application</t>
        </is>
      </c>
      <c r="D28" s="8" t="inlineStr">
        <is>
          <t>1–2</t>
        </is>
      </c>
      <c r="E28" s="8" t="inlineStr">
        <is>
          <t>Info</t>
        </is>
      </c>
    </row>
    <row r="29" ht="20" customHeight="1">
      <c r="A29" s="13" t="inlineStr">
        <is>
          <t>02 Contents</t>
        </is>
      </c>
      <c r="B29" s="10" t="inlineStr">
        <is>
          <t>目录</t>
        </is>
      </c>
      <c r="C29" s="10" t="inlineStr">
        <is>
          <t>Original table of contents</t>
        </is>
      </c>
      <c r="D29" s="10" t="inlineStr">
        <is>
          <t>2</t>
        </is>
      </c>
      <c r="E29" s="10" t="inlineStr">
        <is>
          <t>Index</t>
        </is>
      </c>
    </row>
    <row r="30" ht="20" customHeight="1">
      <c r="A30" s="12" t="inlineStr">
        <is>
          <t>03 Revision History</t>
        </is>
      </c>
      <c r="B30" s="8" t="inlineStr">
        <is>
          <t>1. 变更履历</t>
        </is>
      </c>
      <c r="C30" s="8" t="inlineStr">
        <is>
          <t>Revision record</t>
        </is>
      </c>
      <c r="D30" s="8" t="inlineStr">
        <is>
          <t>3</t>
        </is>
      </c>
      <c r="E30" s="8" t="inlineStr">
        <is>
          <t>Table</t>
        </is>
      </c>
    </row>
    <row r="31" ht="20" customHeight="1">
      <c r="A31" s="13" t="inlineStr">
        <is>
          <t>04 Optical Spec</t>
        </is>
      </c>
      <c r="B31" s="10" t="inlineStr">
        <is>
          <t>3. 光学规格&amp;性能</t>
        </is>
      </c>
      <c r="C31" s="10" t="inlineStr">
        <is>
          <t>Focal length, FOV, MTF, distortion</t>
        </is>
      </c>
      <c r="D31" s="10" t="inlineStr">
        <is>
          <t>4–5</t>
        </is>
      </c>
      <c r="E31" s="10" t="inlineStr">
        <is>
          <t>Table</t>
        </is>
      </c>
    </row>
    <row r="32" ht="20" customHeight="1">
      <c r="A32" s="12" t="inlineStr">
        <is>
          <t>05 Zoom System</t>
        </is>
      </c>
      <c r="B32" s="8" t="inlineStr">
        <is>
          <t>4. 变焦群组</t>
        </is>
      </c>
      <c r="C32" s="8" t="inlineStr">
        <is>
          <t>Zoom motor, excitation map</t>
        </is>
      </c>
      <c r="D32" s="8" t="inlineStr">
        <is>
          <t>6–7</t>
        </is>
      </c>
      <c r="E32" s="8" t="inlineStr">
        <is>
          <t>Table</t>
        </is>
      </c>
    </row>
    <row r="33" ht="20" customHeight="1">
      <c r="A33" s="13" t="inlineStr">
        <is>
          <t>06 Focus System</t>
        </is>
      </c>
      <c r="B33" s="10" t="inlineStr">
        <is>
          <t>5. 聚焦群组</t>
        </is>
      </c>
      <c r="C33" s="10" t="inlineStr">
        <is>
          <t>Focus motor, excitation map</t>
        </is>
      </c>
      <c r="D33" s="10" t="inlineStr">
        <is>
          <t>8–9</t>
        </is>
      </c>
      <c r="E33" s="10" t="inlineStr">
        <is>
          <t>Table</t>
        </is>
      </c>
    </row>
    <row r="34" ht="20" customHeight="1">
      <c r="A34" s="12" t="inlineStr">
        <is>
          <t>07 IR Switch</t>
        </is>
      </c>
      <c r="B34" s="8" t="inlineStr">
        <is>
          <t>6. IR切换</t>
        </is>
      </c>
      <c r="C34" s="8" t="inlineStr">
        <is>
          <t>IR-cut / dummy glass spectral spec</t>
        </is>
      </c>
      <c r="D34" s="8" t="inlineStr">
        <is>
          <t>10–11</t>
        </is>
      </c>
      <c r="E34" s="8" t="inlineStr">
        <is>
          <t>Table</t>
        </is>
      </c>
    </row>
    <row r="35" ht="20" customHeight="1">
      <c r="A35" s="13" t="inlineStr">
        <is>
          <t>08 Iris</t>
        </is>
      </c>
      <c r="B35" s="10" t="inlineStr">
        <is>
          <t>7. 光圈</t>
        </is>
      </c>
      <c r="C35" s="10" t="inlineStr">
        <is>
          <t>Iris motor parameters</t>
        </is>
      </c>
      <c r="D35" s="10" t="inlineStr">
        <is>
          <t>12</t>
        </is>
      </c>
      <c r="E35" s="10" t="inlineStr">
        <is>
          <t>Table</t>
        </is>
      </c>
    </row>
    <row r="36" ht="20" customHeight="1">
      <c r="A36" s="12" t="inlineStr">
        <is>
          <t>09 Life Test</t>
        </is>
      </c>
      <c r="B36" s="8" t="inlineStr">
        <is>
          <t>8. 耐久测试</t>
        </is>
      </c>
      <c r="C36" s="8" t="inlineStr">
        <is>
          <t>Zoom / Focus / IR / Iris life cycles</t>
        </is>
      </c>
      <c r="D36" s="8" t="inlineStr">
        <is>
          <t>13–14</t>
        </is>
      </c>
      <c r="E36" s="8" t="inlineStr">
        <is>
          <t>Table</t>
        </is>
      </c>
    </row>
    <row r="37" ht="20" customHeight="1">
      <c r="A37" s="13" t="inlineStr">
        <is>
          <t>10 Reliability</t>
        </is>
      </c>
      <c r="B37" s="10" t="inlineStr">
        <is>
          <t>9. 可靠度测试</t>
        </is>
      </c>
      <c r="C37" s="10" t="inlineStr">
        <is>
          <t>Storage, cycle, vibration, drop</t>
        </is>
      </c>
      <c r="D37" s="10" t="inlineStr">
        <is>
          <t>15–16</t>
        </is>
      </c>
      <c r="E37" s="10" t="inlineStr">
        <is>
          <t>Table</t>
        </is>
      </c>
    </row>
    <row r="38" ht="20" customHeight="1">
      <c r="A38" s="12" t="inlineStr">
        <is>
          <t>11 FPC Spec</t>
        </is>
      </c>
      <c r="B38" s="8" t="inlineStr">
        <is>
          <t>10. FPC规格</t>
        </is>
      </c>
      <c r="C38" s="8" t="inlineStr">
        <is>
          <t>22-pin FPC pinout</t>
        </is>
      </c>
      <c r="D38" s="8" t="inlineStr">
        <is>
          <t>17</t>
        </is>
      </c>
      <c r="E38" s="8" t="inlineStr">
        <is>
          <t>Table</t>
        </is>
      </c>
    </row>
    <row r="39" ht="20" customHeight="1">
      <c r="A39" s="13" t="inlineStr">
        <is>
          <t>12 Cam Lifting Map</t>
        </is>
      </c>
      <c r="B39" s="10" t="inlineStr">
        <is>
          <t>11. 驱动控制表</t>
        </is>
      </c>
      <c r="C39" s="10" t="inlineStr">
        <is>
          <t>Focus / Zoom travel vs steps</t>
        </is>
      </c>
      <c r="D39" s="10" t="inlineStr">
        <is>
          <t>18</t>
        </is>
      </c>
      <c r="E39" s="10" t="inlineStr">
        <is>
          <t>Table</t>
        </is>
      </c>
    </row>
    <row r="40" ht="20" customHeight="1">
      <c r="A40" s="12" t="inlineStr">
        <is>
          <t>13 Mechanical Notes</t>
        </is>
      </c>
      <c r="B40" s="8" t="inlineStr">
        <is>
          <t>12–13. 外形/视点图</t>
        </is>
      </c>
      <c r="C40" s="8" t="inlineStr">
        <is>
          <t>Key dimensions from drawings</t>
        </is>
      </c>
      <c r="D40" s="8" t="inlineStr">
        <is>
          <t>19–21</t>
        </is>
      </c>
      <c r="E40" s="8" t="inlineStr">
        <is>
          <t>Notes</t>
        </is>
      </c>
    </row>
    <row r="41" ht="20" customHeight="1">
      <c r="A41" s="13" t="inlineStr">
        <is>
          <t>14 View Point Data</t>
        </is>
      </c>
      <c r="B41" s="10" t="inlineStr">
        <is>
          <t>13. 2D视点图</t>
        </is>
      </c>
      <c r="C41" s="10" t="inlineStr">
        <is>
          <t>Max FOV and highest viewpoint data</t>
        </is>
      </c>
      <c r="D41" s="10" t="inlineStr">
        <is>
          <t>20–21</t>
        </is>
      </c>
      <c r="E41" s="10" t="inlineStr">
        <is>
          <t>Table</t>
        </is>
      </c>
    </row>
    <row r="42" ht="20" customHeight="1">
      <c r="A42" s="12" t="inlineStr">
        <is>
          <t>15 Iris Fno Spec</t>
        </is>
      </c>
      <c r="B42" s="8" t="inlineStr">
        <is>
          <t>14. Iris&amp;Fno规格</t>
        </is>
      </c>
      <c r="C42" s="8" t="inlineStr">
        <is>
          <t>Iris step 0–83 vs Fno / diameter / coil state</t>
        </is>
      </c>
      <c r="D42" s="8" t="inlineStr">
        <is>
          <t>22–23</t>
        </is>
      </c>
      <c r="E42" s="8" t="inlineStr">
        <is>
          <t>Numeric</t>
        </is>
      </c>
    </row>
    <row r="43" ht="20" customHeight="1">
      <c r="A43" s="13" t="inlineStr">
        <is>
          <t>16 Appearance</t>
        </is>
      </c>
      <c r="B43" s="10" t="inlineStr">
        <is>
          <t>15. 外观检验规格</t>
        </is>
      </c>
      <c r="C43" s="10" t="inlineStr">
        <is>
          <t>MIL 60-40 appearance criteria</t>
        </is>
      </c>
      <c r="D43" s="10" t="inlineStr">
        <is>
          <t>24</t>
        </is>
      </c>
      <c r="E43" s="10" t="inlineStr">
        <is>
          <t>Spec</t>
        </is>
      </c>
    </row>
    <row r="45" ht="18" customHeight="1">
      <c r="A45" s="14" t="inlineStr">
        <is>
          <t>Drawings on PDF pages 19–21 (mechanical outline, 2D viewpoint) are CAD graphics. Numeric callouts are captured on sheets 13 and 14; the original PDF remains the drawing authority.</t>
        </is>
      </c>
    </row>
  </sheetData>
  <mergeCells count="8">
    <mergeCell ref="A21:E21"/>
    <mergeCell ref="A26:E26"/>
    <mergeCell ref="A2:E2"/>
    <mergeCell ref="A1:E1"/>
    <mergeCell ref="A5:E5"/>
    <mergeCell ref="A45:E45"/>
    <mergeCell ref="A22:E24"/>
    <mergeCell ref="A3:E3"/>
  </mergeCells>
  <hyperlinks>
    <hyperlink xmlns:r="http://schemas.openxmlformats.org/officeDocument/2006/relationships" ref="A28" r:id="rId1"/>
    <hyperlink xmlns:r="http://schemas.openxmlformats.org/officeDocument/2006/relationships" ref="A29" r:id="rId2"/>
    <hyperlink xmlns:r="http://schemas.openxmlformats.org/officeDocument/2006/relationships" ref="A30" r:id="rId3"/>
    <hyperlink xmlns:r="http://schemas.openxmlformats.org/officeDocument/2006/relationships" ref="A31" r:id="rId4"/>
    <hyperlink xmlns:r="http://schemas.openxmlformats.org/officeDocument/2006/relationships" ref="A32" r:id="rId5"/>
    <hyperlink xmlns:r="http://schemas.openxmlformats.org/officeDocument/2006/relationships" ref="A33" r:id="rId6"/>
    <hyperlink xmlns:r="http://schemas.openxmlformats.org/officeDocument/2006/relationships" ref="A34" r:id="rId7"/>
    <hyperlink xmlns:r="http://schemas.openxmlformats.org/officeDocument/2006/relationships" ref="A35" r:id="rId8"/>
    <hyperlink xmlns:r="http://schemas.openxmlformats.org/officeDocument/2006/relationships" ref="A36" r:id="rId9"/>
    <hyperlink xmlns:r="http://schemas.openxmlformats.org/officeDocument/2006/relationships" ref="A37" r:id="rId10"/>
    <hyperlink xmlns:r="http://schemas.openxmlformats.org/officeDocument/2006/relationships" ref="A38" r:id="rId11"/>
    <hyperlink xmlns:r="http://schemas.openxmlformats.org/officeDocument/2006/relationships" ref="A39" r:id="rId12"/>
    <hyperlink xmlns:r="http://schemas.openxmlformats.org/officeDocument/2006/relationships" ref="A40" r:id="rId13"/>
    <hyperlink xmlns:r="http://schemas.openxmlformats.org/officeDocument/2006/relationships" ref="A41" r:id="rId14"/>
    <hyperlink xmlns:r="http://schemas.openxmlformats.org/officeDocument/2006/relationships" ref="A42" r:id="rId15"/>
    <hyperlink xmlns:r="http://schemas.openxmlformats.org/officeDocument/2006/relationships" ref="A43" r:id="rId16"/>
  </hyperlinks>
  <pageMargins left="0.75" right="0.75" top="1" bottom="1" header="0.5" footer="0.5"/>
  <pageSetup orientation="landscape" paperSize="9" fitToHeight="0" fitToWidth="1"/>
  <headerFooter>
    <oddHeader>&amp;LConfidential  ·  嘉兴中润光学&amp;RF139T-4  90.S08600.104</oddHeader>
    <oddFooter>&amp;C&amp;A  | 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14" customWidth="1" min="4" max="4"/>
  </cols>
  <sheetData>
    <row r="1" ht="24" customHeight="1">
      <c r="A1" s="4" t="inlineStr">
        <is>
          <t>目 录  Content</t>
        </is>
      </c>
      <c r="B1" s="5" t="n"/>
      <c r="C1" s="5" t="n"/>
      <c r="D1" s="5" t="n"/>
    </row>
    <row r="2" ht="22" customHeight="1">
      <c r="A2" s="6" t="inlineStr">
        <is>
          <t>No.</t>
        </is>
      </c>
      <c r="B2" s="6" t="inlineStr">
        <is>
          <t>中文</t>
        </is>
      </c>
      <c r="C2" s="6" t="inlineStr">
        <is>
          <t>English</t>
        </is>
      </c>
      <c r="D2" s="6" t="inlineStr">
        <is>
          <t>PDF</t>
        </is>
      </c>
    </row>
    <row r="3" ht="20" customHeight="1">
      <c r="A3" s="15" t="inlineStr">
        <is>
          <t>1</t>
        </is>
      </c>
      <c r="B3" s="8" t="inlineStr">
        <is>
          <t>变更履历</t>
        </is>
      </c>
      <c r="C3" s="8" t="inlineStr">
        <is>
          <t>Revision History</t>
        </is>
      </c>
      <c r="D3" s="8" t="inlineStr">
        <is>
          <t>3</t>
        </is>
      </c>
    </row>
    <row r="4" ht="20" customHeight="1">
      <c r="A4" s="16" t="inlineStr">
        <is>
          <t>2</t>
        </is>
      </c>
      <c r="B4" s="10" t="inlineStr">
        <is>
          <t>适用</t>
        </is>
      </c>
      <c r="C4" s="10" t="inlineStr">
        <is>
          <t>Application</t>
        </is>
      </c>
      <c r="D4" s="10" t="inlineStr">
        <is>
          <t>4</t>
        </is>
      </c>
    </row>
    <row r="5" ht="20" customHeight="1">
      <c r="A5" s="15" t="inlineStr">
        <is>
          <t>3</t>
        </is>
      </c>
      <c r="B5" s="8" t="inlineStr">
        <is>
          <t>光学规格&amp;性能</t>
        </is>
      </c>
      <c r="C5" s="8" t="inlineStr">
        <is>
          <t>Optical Specifications &amp; Performance</t>
        </is>
      </c>
      <c r="D5" s="8" t="inlineStr">
        <is>
          <t>4</t>
        </is>
      </c>
    </row>
    <row r="6" ht="20" customHeight="1">
      <c r="A6" s="16" t="inlineStr">
        <is>
          <t>4</t>
        </is>
      </c>
      <c r="B6" s="10" t="inlineStr">
        <is>
          <t>变焦群组</t>
        </is>
      </c>
      <c r="C6" s="10" t="inlineStr">
        <is>
          <t>Zoom Group / Zoom System</t>
        </is>
      </c>
      <c r="D6" s="10" t="inlineStr">
        <is>
          <t>6</t>
        </is>
      </c>
    </row>
    <row r="7" ht="20" customHeight="1">
      <c r="A7" s="15" t="inlineStr">
        <is>
          <t>5</t>
        </is>
      </c>
      <c r="B7" s="8" t="inlineStr">
        <is>
          <t>聚焦群组</t>
        </is>
      </c>
      <c r="C7" s="8" t="inlineStr">
        <is>
          <t>Focus Group / Focus System</t>
        </is>
      </c>
      <c r="D7" s="8" t="inlineStr">
        <is>
          <t>8</t>
        </is>
      </c>
    </row>
    <row r="8" ht="20" customHeight="1">
      <c r="A8" s="16" t="inlineStr">
        <is>
          <t>6</t>
        </is>
      </c>
      <c r="B8" s="10" t="inlineStr">
        <is>
          <t>IR切换</t>
        </is>
      </c>
      <c r="C8" s="10" t="inlineStr">
        <is>
          <t>IR Change Switch</t>
        </is>
      </c>
      <c r="D8" s="10" t="inlineStr">
        <is>
          <t>10</t>
        </is>
      </c>
    </row>
    <row r="9" ht="20" customHeight="1">
      <c r="A9" s="15" t="inlineStr">
        <is>
          <t>7</t>
        </is>
      </c>
      <c r="B9" s="8" t="inlineStr">
        <is>
          <t>光圈</t>
        </is>
      </c>
      <c r="C9" s="8" t="inlineStr">
        <is>
          <t>Iris</t>
        </is>
      </c>
      <c r="D9" s="8" t="inlineStr">
        <is>
          <t>12</t>
        </is>
      </c>
    </row>
    <row r="10" ht="20" customHeight="1">
      <c r="A10" s="16" t="inlineStr">
        <is>
          <t>8</t>
        </is>
      </c>
      <c r="B10" s="10" t="inlineStr">
        <is>
          <t>耐久测试</t>
        </is>
      </c>
      <c r="C10" s="10" t="inlineStr">
        <is>
          <t>Life Test</t>
        </is>
      </c>
      <c r="D10" s="10" t="inlineStr">
        <is>
          <t>13</t>
        </is>
      </c>
    </row>
    <row r="11" ht="20" customHeight="1">
      <c r="A11" s="15" t="inlineStr">
        <is>
          <t>9</t>
        </is>
      </c>
      <c r="B11" s="8" t="inlineStr">
        <is>
          <t>可靠度测试</t>
        </is>
      </c>
      <c r="C11" s="8" t="inlineStr">
        <is>
          <t>Reliability Test</t>
        </is>
      </c>
      <c r="D11" s="8" t="inlineStr">
        <is>
          <t>15</t>
        </is>
      </c>
    </row>
    <row r="12" ht="20" customHeight="1">
      <c r="A12" s="16" t="inlineStr">
        <is>
          <t>10</t>
        </is>
      </c>
      <c r="B12" s="10" t="inlineStr">
        <is>
          <t>FPC规格</t>
        </is>
      </c>
      <c r="C12" s="10" t="inlineStr">
        <is>
          <t>FPC Spec</t>
        </is>
      </c>
      <c r="D12" s="10" t="inlineStr">
        <is>
          <t>17</t>
        </is>
      </c>
    </row>
    <row r="13" ht="20" customHeight="1">
      <c r="A13" s="15" t="inlineStr">
        <is>
          <t>11</t>
        </is>
      </c>
      <c r="B13" s="8" t="inlineStr">
        <is>
          <t>驱动控制表</t>
        </is>
      </c>
      <c r="C13" s="8" t="inlineStr">
        <is>
          <t>Cam Lifting Map</t>
        </is>
      </c>
      <c r="D13" s="8" t="inlineStr">
        <is>
          <t>18</t>
        </is>
      </c>
    </row>
    <row r="14" ht="20" customHeight="1">
      <c r="A14" s="16" t="inlineStr">
        <is>
          <t>12</t>
        </is>
      </c>
      <c r="B14" s="10" t="inlineStr">
        <is>
          <t>机构外形图</t>
        </is>
      </c>
      <c r="C14" s="10" t="inlineStr">
        <is>
          <t>Mechanical Outside Drawing</t>
        </is>
      </c>
      <c r="D14" s="10" t="inlineStr">
        <is>
          <t>19</t>
        </is>
      </c>
    </row>
    <row r="15" ht="20" customHeight="1">
      <c r="A15" s="15" t="inlineStr">
        <is>
          <t>13</t>
        </is>
      </c>
      <c r="B15" s="8" t="inlineStr">
        <is>
          <t>2D视点图</t>
        </is>
      </c>
      <c r="C15" s="8" t="inlineStr">
        <is>
          <t>2D View Point Drawing</t>
        </is>
      </c>
      <c r="D15" s="8" t="inlineStr">
        <is>
          <t>20</t>
        </is>
      </c>
    </row>
    <row r="16" ht="20" customHeight="1">
      <c r="A16" s="16" t="inlineStr">
        <is>
          <t>14</t>
        </is>
      </c>
      <c r="B16" s="10" t="inlineStr">
        <is>
          <t>Iris&amp;Fno规格</t>
        </is>
      </c>
      <c r="C16" s="10" t="inlineStr">
        <is>
          <t>Iris &amp; Fno Spec</t>
        </is>
      </c>
      <c r="D16" s="10" t="inlineStr">
        <is>
          <t>22</t>
        </is>
      </c>
    </row>
    <row r="17" ht="20" customHeight="1">
      <c r="A17" s="15" t="inlineStr">
        <is>
          <t>15</t>
        </is>
      </c>
      <c r="B17" s="8" t="inlineStr">
        <is>
          <t>外观检验规格</t>
        </is>
      </c>
      <c r="C17" s="8" t="inlineStr">
        <is>
          <t>Appearance Check Spec</t>
        </is>
      </c>
      <c r="D17" s="8" t="inlineStr">
        <is>
          <t>24</t>
        </is>
      </c>
    </row>
    <row r="19" ht="18" customHeight="1">
      <c r="A19" s="14" t="inlineStr">
        <is>
          <t>Original PDF TOC labels item 4 as Focus System and item 5 as Zoom System; body pages use Zoom Group then Focus Group. This workbook follows the body titles.</t>
        </is>
      </c>
    </row>
  </sheetData>
  <mergeCells count="2">
    <mergeCell ref="A1:D1"/>
    <mergeCell ref="A19:D19"/>
  </mergeCells>
  <pageMargins left="0.75" right="0.75" top="1" bottom="1" header="0.5" footer="0.5"/>
  <pageSetup paperSize="9" fitToHeight="0" fitToWidth="1"/>
  <headerFooter>
    <oddHeader>&amp;LConfidential  ·  嘉兴中润光学&amp;RF139T-4  90.S08600.104</oddHeader>
    <oddFooter>&amp;C&amp;A  | 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55" customWidth="1" min="3" max="3"/>
    <col width="16" customWidth="1" min="4" max="4"/>
  </cols>
  <sheetData>
    <row r="1" ht="24" customHeight="1">
      <c r="A1" s="4" t="inlineStr">
        <is>
          <t>1. 变更履历  Revision History</t>
        </is>
      </c>
      <c r="B1" s="5" t="n"/>
      <c r="C1" s="5" t="n"/>
      <c r="D1" s="5" t="n"/>
    </row>
    <row r="2" ht="22" customHeight="1">
      <c r="A2" s="6" t="inlineStr">
        <is>
          <t>日期 Date</t>
        </is>
      </c>
      <c r="B2" s="6" t="inlineStr">
        <is>
          <t>版本 Ver.</t>
        </is>
      </c>
      <c r="C2" s="6" t="inlineStr">
        <is>
          <t>变更内容 Changes &amp; Additions</t>
        </is>
      </c>
      <c r="D2" s="6" t="inlineStr">
        <is>
          <t>作成 Draw</t>
        </is>
      </c>
    </row>
    <row r="3" ht="24" customHeight="1">
      <c r="A3" s="17" t="inlineStr">
        <is>
          <t>2021-8-24</t>
        </is>
      </c>
      <c r="B3" s="17" t="inlineStr">
        <is>
          <t>A</t>
        </is>
      </c>
      <c r="C3" s="18" t="inlineStr">
        <is>
          <t>新规发行  Preliminary version released</t>
        </is>
      </c>
      <c r="D3" s="17" t="inlineStr">
        <is>
          <t>Hunter</t>
        </is>
      </c>
    </row>
  </sheetData>
  <mergeCells count="1">
    <mergeCell ref="A1:D1"/>
  </mergeCells>
  <pageMargins left="0.75" right="0.75" top="1" bottom="1" header="0.5" footer="0.5"/>
  <pageSetup paperSize="9" fitToHeight="0" fitToWidth="1"/>
  <headerFooter>
    <oddHeader>&amp;LConfidential  ·  嘉兴中润光学&amp;RF139T-4  90.S08600.104</oddHeader>
    <oddFooter>&amp;C&amp;A  | 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72" customWidth="1" min="3" max="3"/>
  </cols>
  <sheetData>
    <row r="1" ht="24" customHeight="1">
      <c r="A1" s="4" t="inlineStr">
        <is>
          <t>3. 光学规格&amp;性能  Optical Specifications &amp; Performance</t>
        </is>
      </c>
      <c r="B1" s="5" t="n"/>
      <c r="C1" s="5" t="n"/>
    </row>
    <row r="2" ht="22" customHeight="1">
      <c r="A2" s="6" t="inlineStr">
        <is>
          <t>NO.</t>
        </is>
      </c>
      <c r="B2" s="6" t="inlineStr">
        <is>
          <t>项目 Item</t>
        </is>
      </c>
      <c r="C2" s="6" t="inlineStr">
        <is>
          <t>描述 Description</t>
        </is>
      </c>
    </row>
    <row r="3" ht="36" customHeight="1">
      <c r="A3" s="19" t="n">
        <v>1</v>
      </c>
      <c r="B3" s="20" t="inlineStr">
        <is>
          <t>焦距范围
Focal Length</t>
        </is>
      </c>
      <c r="C3" s="8" t="inlineStr">
        <is>
          <t>10.5(±5%) ～ 47.0(±5%) mm</t>
        </is>
      </c>
    </row>
    <row r="4" ht="36" customHeight="1">
      <c r="A4" s="21" t="n">
        <v>2</v>
      </c>
      <c r="B4" s="22" t="inlineStr">
        <is>
          <t>F数
F number</t>
        </is>
      </c>
      <c r="C4" s="10" t="inlineStr">
        <is>
          <t>F1.35(±5%) (Wide) ～ F1.55(±5%) (Tele)</t>
        </is>
      </c>
    </row>
    <row r="5" ht="36" customHeight="1">
      <c r="A5" s="19" t="n">
        <v>3</v>
      </c>
      <c r="B5" s="20" t="inlineStr">
        <is>
          <t>有效像圆径
Image Circle</t>
        </is>
      </c>
      <c r="C5" s="8" t="inlineStr">
        <is>
          <t>Φ9.2 mm</t>
        </is>
      </c>
    </row>
    <row r="6" ht="36" customHeight="1">
      <c r="A6" s="21" t="n">
        <v>4</v>
      </c>
      <c r="B6" s="22" t="inlineStr">
        <is>
          <t>机械后焦
Mechanical Back Focus</t>
        </is>
      </c>
      <c r="C6" s="10" t="inlineStr">
        <is>
          <t>MBF = +0.76 mm (in air)</t>
        </is>
      </c>
    </row>
    <row r="7" ht="36" customHeight="1">
      <c r="A7" s="19" t="n">
        <v>5</v>
      </c>
      <c r="B7" s="20" t="inlineStr">
        <is>
          <t>摄影距离范围
Focus Range</t>
        </is>
      </c>
      <c r="C7" s="8" t="inlineStr">
        <is>
          <t>Wide: 0.5 m ～ INF
Tele: 3.0 m ～ INF</t>
        </is>
      </c>
    </row>
    <row r="8" ht="36" customHeight="1">
      <c r="A8" s="21" t="n">
        <v>6</v>
      </c>
      <c r="B8" s="22" t="inlineStr">
        <is>
          <t>视场角
Field of View</t>
        </is>
      </c>
      <c r="C8" s="10" t="inlineStr">
        <is>
          <t>See FOV table (IMX334 Φ8.81 mm, 7.68 × 4.32)</t>
        </is>
      </c>
    </row>
    <row r="9" ht="36" customHeight="1">
      <c r="A9" s="19" t="n">
        <v>7</v>
      </c>
      <c r="B9" s="20" t="inlineStr">
        <is>
          <t>镜头机构外形
Overall Size</t>
        </is>
      </c>
      <c r="C9" s="8" t="inlineStr">
        <is>
          <t>Φ40.0 mm × 83.9 mm</t>
        </is>
      </c>
    </row>
    <row r="10" ht="36" customHeight="1">
      <c r="A10" s="21" t="n">
        <v>8</v>
      </c>
      <c r="B10" s="22" t="inlineStr">
        <is>
          <t>镜头构成
Lens Structure</t>
        </is>
      </c>
      <c r="C10" s="10" t="inlineStr">
        <is>
          <t>4 群 15 枚 / 4 groups 15 elements</t>
        </is>
      </c>
    </row>
    <row r="11" ht="36" customHeight="1">
      <c r="A11" s="19" t="n">
        <v>9</v>
      </c>
      <c r="B11" s="20" t="inlineStr">
        <is>
          <t>相对照度
Relative Illumination</t>
        </is>
      </c>
      <c r="C11" s="8" t="inlineStr">
        <is>
          <t>&gt;30% (Image height = Φ9.2 mm)</t>
        </is>
      </c>
    </row>
    <row r="12" ht="36" customHeight="1">
      <c r="A12" s="21" t="n">
        <v>10</v>
      </c>
      <c r="B12" s="22" t="inlineStr">
        <is>
          <t>TV畸变
TV Distortion</t>
        </is>
      </c>
      <c r="C12" s="10" t="inlineStr">
        <is>
          <t>-2.22% (Wide)  1.74% (Tele)
(Image height = Φ8.81 mm, INF, SMIA)</t>
        </is>
      </c>
    </row>
    <row r="13" ht="36" customHeight="1">
      <c r="A13" s="19" t="n">
        <v>11</v>
      </c>
      <c r="B13" s="20" t="inlineStr">
        <is>
          <t>解像力
Resolution</t>
        </is>
      </c>
      <c r="C13" s="8" t="inlineStr">
        <is>
          <t>投影解像力 Projection Resolution. Measurement: 1 m (Wide) / 8 m (Tele); aperture = design value. Adjust focus at center then confirm periphery; balance for best contrast. Projection line pairs by internal standard chart — see table.</t>
        </is>
      </c>
    </row>
    <row r="14" ht="36" customHeight="1">
      <c r="A14" s="21" t="n">
        <v>12</v>
      </c>
      <c r="B14" s="22" t="inlineStr">
        <is>
          <t>光晕&amp;鬼影
Flare &amp; Ghost</t>
        </is>
      </c>
      <c r="C14" s="10" t="inlineStr">
        <is>
          <t>在实际使用中，无明显的鬼影或光斑。
Remarkable ghost and flare should not be observed.</t>
        </is>
      </c>
    </row>
    <row r="15" ht="36" customHeight="1">
      <c r="A15" s="19" t="n">
        <v>13</v>
      </c>
      <c r="B15" s="20" t="inlineStr">
        <is>
          <t>有害物质
Hazardous Substance</t>
        </is>
      </c>
      <c r="C15" s="8" t="inlineStr">
        <is>
          <t>依据 RoHS / Comply with RoHS</t>
        </is>
      </c>
    </row>
    <row r="17" ht="24" customHeight="1">
      <c r="A17" s="4" t="inlineStr">
        <is>
          <t>Field of View  IMX334  Φ8.81 mm (7.68 × 4.32)</t>
        </is>
      </c>
      <c r="B17" s="5" t="n"/>
      <c r="C17" s="5" t="n"/>
    </row>
    <row r="18" ht="22" customHeight="1">
      <c r="A18" s="6" t="inlineStr">
        <is>
          <t>Axis</t>
        </is>
      </c>
      <c r="B18" s="6" t="inlineStr">
        <is>
          <t>Wide</t>
        </is>
      </c>
      <c r="C18" s="6" t="inlineStr">
        <is>
          <t>Tele</t>
        </is>
      </c>
    </row>
    <row r="19" ht="20" customHeight="1">
      <c r="A19" s="19" t="inlineStr">
        <is>
          <t>D</t>
        </is>
      </c>
      <c r="B19" s="15" t="inlineStr">
        <is>
          <t>46.7°</t>
        </is>
      </c>
      <c r="C19" s="15" t="inlineStr">
        <is>
          <t>10.4°</t>
        </is>
      </c>
    </row>
    <row r="20" ht="20" customHeight="1">
      <c r="A20" s="21" t="inlineStr">
        <is>
          <t>H</t>
        </is>
      </c>
      <c r="B20" s="16" t="inlineStr">
        <is>
          <t>41.0°</t>
        </is>
      </c>
      <c r="C20" s="16" t="inlineStr">
        <is>
          <t>9.1°</t>
        </is>
      </c>
    </row>
    <row r="21" ht="20" customHeight="1">
      <c r="A21" s="19" t="inlineStr">
        <is>
          <t>V</t>
        </is>
      </c>
      <c r="B21" s="15" t="inlineStr">
        <is>
          <t>23.4°</t>
        </is>
      </c>
      <c r="C21" s="15" t="inlineStr">
        <is>
          <t>5.2°</t>
        </is>
      </c>
    </row>
    <row r="23" ht="24" customHeight="1">
      <c r="A23" s="4" t="inlineStr">
        <is>
          <t>Projection Line Pairs  投影线对数</t>
        </is>
      </c>
      <c r="B23" s="5" t="n"/>
      <c r="C23" s="5" t="n"/>
    </row>
    <row r="24" ht="22" customHeight="1">
      <c r="A24" s="6" t="inlineStr">
        <is>
          <t>Field</t>
        </is>
      </c>
      <c r="B24" s="6" t="inlineStr">
        <is>
          <t>Wide</t>
        </is>
      </c>
      <c r="C24" s="6" t="inlineStr">
        <is>
          <t>Tele</t>
        </is>
      </c>
    </row>
    <row r="25" ht="20" customHeight="1">
      <c r="A25" s="15" t="inlineStr">
        <is>
          <t>Center</t>
        </is>
      </c>
      <c r="B25" s="15" t="inlineStr">
        <is>
          <t>250 lp/mm</t>
        </is>
      </c>
      <c r="C25" s="15" t="inlineStr">
        <is>
          <t>250 lp/mm</t>
        </is>
      </c>
    </row>
    <row r="26" ht="20" customHeight="1">
      <c r="A26" s="16" t="inlineStr">
        <is>
          <t>0.7 Field</t>
        </is>
      </c>
      <c r="B26" s="16" t="inlineStr">
        <is>
          <t>160 lp/mm</t>
        </is>
      </c>
      <c r="C26" s="16" t="inlineStr">
        <is>
          <t>160 lp/mm</t>
        </is>
      </c>
    </row>
    <row r="28" ht="18" customHeight="1">
      <c r="A28" s="14" t="inlineStr">
        <is>
          <t>Measurement conditions: Distance 1 m (Wide) / 8 m (Tele). Aperture follows design value.</t>
        </is>
      </c>
    </row>
  </sheetData>
  <mergeCells count="4">
    <mergeCell ref="A1:C1"/>
    <mergeCell ref="A23:C23"/>
    <mergeCell ref="A28:C28"/>
    <mergeCell ref="A17:C17"/>
  </mergeCells>
  <pageMargins left="0.75" right="0.75" top="1" bottom="1" header="0.5" footer="0.5"/>
  <pageSetup paperSize="9" fitToHeight="0" fitToWidth="1"/>
  <headerFooter>
    <oddHeader>&amp;LConfidential  ·  嘉兴中润光学&amp;RF139T-4  90.S08600.104</oddHeader>
    <oddFooter>&amp;C&amp;A  | 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7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4" customHeight="1">
      <c r="A1" s="4" t="inlineStr">
        <is>
          <t>4. 变焦群组  Zoom Group</t>
        </is>
      </c>
      <c r="B1" s="5" t="n"/>
      <c r="C1" s="5" t="n"/>
      <c r="D1" s="5" t="n"/>
      <c r="E1" s="5" t="n"/>
      <c r="F1" s="5" t="n"/>
      <c r="G1" s="5" t="n"/>
    </row>
    <row r="2" ht="22" customHeight="1">
      <c r="A2" s="6" t="inlineStr">
        <is>
          <t>NO.</t>
        </is>
      </c>
      <c r="B2" s="6" t="inlineStr">
        <is>
          <t>项目 Item</t>
        </is>
      </c>
      <c r="C2" s="6" t="inlineStr">
        <is>
          <t>描述 Description</t>
        </is>
      </c>
      <c r="D2" s="6" t="inlineStr"/>
      <c r="E2" s="6" t="inlineStr"/>
      <c r="F2" s="6" t="inlineStr"/>
      <c r="G2" s="6" t="inlineStr"/>
    </row>
    <row r="3" ht="36" customHeight="1">
      <c r="A3" s="19" t="n">
        <v>1</v>
      </c>
      <c r="B3" s="20" t="inlineStr">
        <is>
          <t>动作方式
Operation Method</t>
        </is>
      </c>
      <c r="C3" s="8" t="inlineStr">
        <is>
          <t>步进式马达驱动 / Stepping motor drive</t>
        </is>
      </c>
    </row>
    <row r="4" ht="36" customHeight="1">
      <c r="A4" s="21" t="n">
        <v>2</v>
      </c>
      <c r="B4" s="22" t="inlineStr">
        <is>
          <t>线圈电阻
Coil Resistance</t>
        </is>
      </c>
      <c r="C4" s="10" t="inlineStr">
        <is>
          <t>55 Ω ± 5.5 Ω / phase (T=25℃)</t>
        </is>
      </c>
    </row>
    <row r="5" ht="36" customHeight="1">
      <c r="A5" s="19" t="n">
        <v>3</v>
      </c>
      <c r="B5" s="20" t="inlineStr">
        <is>
          <t>驱动电压
Operation Voltage</t>
        </is>
      </c>
      <c r="C5" s="8" t="inlineStr">
        <is>
          <t>4.5 V ~ 5.0 V</t>
        </is>
      </c>
    </row>
    <row r="6" ht="36" customHeight="1">
      <c r="A6" s="21" t="n">
        <v>4</v>
      </c>
      <c r="B6" s="22" t="inlineStr">
        <is>
          <t>驱动转速
Driving Speed</t>
        </is>
      </c>
      <c r="C6" s="10" t="inlineStr">
        <is>
          <t>800 pps</t>
        </is>
      </c>
    </row>
    <row r="7" ht="36" customHeight="1">
      <c r="A7" s="19" t="n">
        <v>5</v>
      </c>
      <c r="B7" s="20" t="inlineStr">
        <is>
          <t>激励方式
Excitation Method</t>
        </is>
      </c>
      <c r="C7" s="8" t="inlineStr">
        <is>
          <t>2 相励磁 / 2 phase excitation</t>
        </is>
      </c>
    </row>
    <row r="8" ht="36" customHeight="1">
      <c r="A8" s="21" t="n">
        <v>6</v>
      </c>
      <c r="B8" s="22" t="inlineStr">
        <is>
          <t>步数角度
Step Angle</t>
        </is>
      </c>
      <c r="C8" s="10" t="inlineStr">
        <is>
          <t>18°/step (2 phase excitation)</t>
        </is>
      </c>
    </row>
    <row r="9" ht="36" customHeight="1">
      <c r="A9" s="19" t="n">
        <v>7</v>
      </c>
      <c r="B9" s="20" t="inlineStr">
        <is>
          <t>传动螺杆
Screw</t>
        </is>
      </c>
      <c r="C9" s="8" t="inlineStr">
        <is>
          <t>Pitch = 0.4 mm (when 2 phase excitation, 0.02 mm/step)</t>
        </is>
      </c>
    </row>
    <row r="10" ht="36" customHeight="1">
      <c r="A10" s="21" t="n">
        <v>8</v>
      </c>
      <c r="B10" s="22" t="inlineStr">
        <is>
          <t>背隙(水平)
Backlash (horizontal)</t>
        </is>
      </c>
      <c r="C10" s="10" t="inlineStr">
        <is>
          <t>2 phase excitation, reverse direction: Zoom Group moves within 3 steps (including 3).</t>
        </is>
      </c>
    </row>
    <row r="11" ht="36" customHeight="1">
      <c r="A11" s="19" t="n">
        <v>9</v>
      </c>
      <c r="B11" s="20" t="inlineStr">
        <is>
          <t>工作温度
Operating Temperature</t>
        </is>
      </c>
      <c r="C11" s="8" t="inlineStr">
        <is>
          <t>-30℃ ~ 70℃ (In a low temperature environment, warm up 30 minutes before start).</t>
        </is>
      </c>
    </row>
    <row r="12" ht="36" customHeight="1">
      <c r="A12" s="21" t="n">
        <v>10</v>
      </c>
      <c r="B12" s="22" t="inlineStr">
        <is>
          <t>噪音
Noise</t>
        </is>
      </c>
      <c r="C12" s="10" t="inlineStr">
        <is>
          <t>60 dB(max), ambient 24 dB(max). Probe–motor 10 cm, 5 V, 800 pps.</t>
        </is>
      </c>
    </row>
    <row r="13" ht="36" customHeight="1">
      <c r="A13" s="19" t="n">
        <v>11</v>
      </c>
      <c r="B13" s="20" t="inlineStr">
        <is>
          <t>光耦
Optocouple</t>
        </is>
      </c>
      <c r="C13" s="8" t="inlineStr">
        <is>
          <t>Type: ROHM RPI-222
VH = 2.3 V over; VL = 0.7 V under</t>
        </is>
      </c>
    </row>
    <row r="14" ht="36" customHeight="1">
      <c r="A14" s="21" t="n">
        <v>12</v>
      </c>
      <c r="B14" s="22" t="inlineStr">
        <is>
          <t>动作方向
Operation Direction</t>
        </is>
      </c>
      <c r="C14" s="10" t="inlineStr">
        <is>
          <t>See 2-phase excitation map. CW: Tele→Wide; CCW: Wide→Tele</t>
        </is>
      </c>
    </row>
    <row r="16" ht="24" customHeight="1">
      <c r="A16" s="4" t="inlineStr">
        <is>
          <t>2相励磁  2-phase excitation  ·  FPC &amp; Motor Terminal</t>
        </is>
      </c>
      <c r="B16" s="5" t="n"/>
      <c r="C16" s="5" t="n"/>
      <c r="D16" s="5" t="n"/>
      <c r="E16" s="5" t="n"/>
      <c r="F16" s="5" t="n"/>
      <c r="G16" s="5" t="n"/>
    </row>
    <row r="17" ht="22" customHeight="1">
      <c r="A17" s="6" t="inlineStr">
        <is>
          <t>Pin / Coil</t>
        </is>
      </c>
      <c r="B17" s="6" t="inlineStr">
        <is>
          <t>1</t>
        </is>
      </c>
      <c r="C17" s="6" t="inlineStr">
        <is>
          <t>2</t>
        </is>
      </c>
      <c r="D17" s="6" t="inlineStr">
        <is>
          <t>3</t>
        </is>
      </c>
      <c r="E17" s="6" t="inlineStr">
        <is>
          <t>4</t>
        </is>
      </c>
      <c r="F17" s="6" t="inlineStr">
        <is>
          <t>Direction</t>
        </is>
      </c>
      <c r="G17" s="6" t="inlineStr"/>
    </row>
    <row r="18" ht="22" customHeight="1">
      <c r="A18" s="15" t="inlineStr">
        <is>
          <t>12  B-</t>
        </is>
      </c>
      <c r="B18" s="17" t="inlineStr">
        <is>
          <t>H</t>
        </is>
      </c>
      <c r="C18" s="17" t="inlineStr">
        <is>
          <t>H</t>
        </is>
      </c>
      <c r="D18" s="23" t="inlineStr">
        <is>
          <t>L</t>
        </is>
      </c>
      <c r="E18" s="23" t="inlineStr">
        <is>
          <t>L</t>
        </is>
      </c>
      <c r="F18" s="15" t="inlineStr">
        <is>
          <t>CW: Tele → Wide</t>
        </is>
      </c>
      <c r="G18" s="15" t="inlineStr"/>
    </row>
    <row r="19" ht="22" customHeight="1">
      <c r="A19" s="16" t="inlineStr">
        <is>
          <t>13  A+</t>
        </is>
      </c>
      <c r="B19" s="17" t="inlineStr">
        <is>
          <t>H</t>
        </is>
      </c>
      <c r="C19" s="23" t="inlineStr">
        <is>
          <t>L</t>
        </is>
      </c>
      <c r="D19" s="23" t="inlineStr">
        <is>
          <t>L</t>
        </is>
      </c>
      <c r="E19" s="17" t="inlineStr">
        <is>
          <t>H</t>
        </is>
      </c>
      <c r="F19" s="16" t="inlineStr"/>
      <c r="G19" s="16" t="inlineStr"/>
    </row>
    <row r="20" ht="22" customHeight="1">
      <c r="A20" s="15" t="inlineStr">
        <is>
          <t>14  B+</t>
        </is>
      </c>
      <c r="B20" s="23" t="inlineStr">
        <is>
          <t>L</t>
        </is>
      </c>
      <c r="C20" s="23" t="inlineStr">
        <is>
          <t>L</t>
        </is>
      </c>
      <c r="D20" s="17" t="inlineStr">
        <is>
          <t>H</t>
        </is>
      </c>
      <c r="E20" s="17" t="inlineStr">
        <is>
          <t>H</t>
        </is>
      </c>
      <c r="F20" s="15" t="inlineStr">
        <is>
          <t>CCW: Wide → Tele</t>
        </is>
      </c>
      <c r="G20" s="15" t="inlineStr"/>
    </row>
    <row r="21" ht="22" customHeight="1">
      <c r="A21" s="16" t="inlineStr">
        <is>
          <t>15  A-</t>
        </is>
      </c>
      <c r="B21" s="23" t="inlineStr">
        <is>
          <t>L</t>
        </is>
      </c>
      <c r="C21" s="17" t="inlineStr">
        <is>
          <t>H</t>
        </is>
      </c>
      <c r="D21" s="17" t="inlineStr">
        <is>
          <t>H</t>
        </is>
      </c>
      <c r="E21" s="23" t="inlineStr">
        <is>
          <t>L</t>
        </is>
      </c>
      <c r="F21" s="16" t="inlineStr"/>
      <c r="G21" s="16" t="inlineStr"/>
    </row>
  </sheetData>
  <mergeCells count="2">
    <mergeCell ref="A16:G16"/>
    <mergeCell ref="A1:G1"/>
  </mergeCells>
  <pageMargins left="0.75" right="0.75" top="1" bottom="1" header="0.5" footer="0.5"/>
  <pageSetup paperSize="9" fitToHeight="0" fitToWidth="1"/>
  <headerFooter>
    <oddHeader>&amp;LConfidential  ·  嘉兴中润光学&amp;RF139T-4  90.S08600.104</oddHeader>
    <oddFooter>&amp;C&amp;A  | 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7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 ht="24" customHeight="1">
      <c r="A1" s="4" t="inlineStr">
        <is>
          <t>5. 聚焦群组  Focus Group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22" customHeight="1">
      <c r="A2" s="6" t="inlineStr">
        <is>
          <t>NO.</t>
        </is>
      </c>
      <c r="B2" s="6" t="inlineStr">
        <is>
          <t>项目 Item</t>
        </is>
      </c>
      <c r="C2" s="6" t="inlineStr">
        <is>
          <t>描述 Description</t>
        </is>
      </c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</row>
    <row r="3" ht="36" customHeight="1">
      <c r="A3" s="19" t="n">
        <v>1</v>
      </c>
      <c r="B3" s="20" t="inlineStr">
        <is>
          <t>动作方式
Operation Method</t>
        </is>
      </c>
      <c r="C3" s="8" t="inlineStr">
        <is>
          <t>步进式马达驱动 / Stepping motor drive</t>
        </is>
      </c>
    </row>
    <row r="4" ht="36" customHeight="1">
      <c r="A4" s="21" t="n">
        <v>2</v>
      </c>
      <c r="B4" s="22" t="inlineStr">
        <is>
          <t>线圈电阻
Coil Resistance</t>
        </is>
      </c>
      <c r="C4" s="10" t="inlineStr">
        <is>
          <t>60 Ω ± 6 Ω / phase (T=25℃)</t>
        </is>
      </c>
    </row>
    <row r="5" ht="36" customHeight="1">
      <c r="A5" s="19" t="n">
        <v>3</v>
      </c>
      <c r="B5" s="20" t="inlineStr">
        <is>
          <t>驱动电压
Operation Voltage</t>
        </is>
      </c>
      <c r="C5" s="8" t="inlineStr">
        <is>
          <t>4.5 V ~ 5.0 V</t>
        </is>
      </c>
    </row>
    <row r="6" ht="36" customHeight="1">
      <c r="A6" s="21" t="n">
        <v>4</v>
      </c>
      <c r="B6" s="22" t="inlineStr">
        <is>
          <t>驱动转速
Driving Speed</t>
        </is>
      </c>
      <c r="C6" s="10" t="inlineStr">
        <is>
          <t>800 pps</t>
        </is>
      </c>
    </row>
    <row r="7" ht="36" customHeight="1">
      <c r="A7" s="19" t="n">
        <v>5</v>
      </c>
      <c r="B7" s="20" t="inlineStr">
        <is>
          <t>励磁方式
Excitation Method</t>
        </is>
      </c>
      <c r="C7" s="8" t="inlineStr">
        <is>
          <t>1-2 相励磁 / 1-2 phase excitation</t>
        </is>
      </c>
    </row>
    <row r="8" ht="36" customHeight="1">
      <c r="A8" s="21" t="n">
        <v>6</v>
      </c>
      <c r="B8" s="22" t="inlineStr">
        <is>
          <t>步数角度
Step Angle</t>
        </is>
      </c>
      <c r="C8" s="10" t="inlineStr">
        <is>
          <t>9°/step (1-2 phase excitation)</t>
        </is>
      </c>
    </row>
    <row r="9" ht="36" customHeight="1">
      <c r="A9" s="19" t="n">
        <v>7</v>
      </c>
      <c r="B9" s="20" t="inlineStr">
        <is>
          <t>传动螺杆
Screw</t>
        </is>
      </c>
      <c r="C9" s="8" t="inlineStr">
        <is>
          <t>Pitch = 0.4 mm (when 1-2 phase excitation, 0.01 mm/step)</t>
        </is>
      </c>
    </row>
    <row r="10" ht="36" customHeight="1">
      <c r="A10" s="21" t="n">
        <v>8</v>
      </c>
      <c r="B10" s="22" t="inlineStr">
        <is>
          <t>背隙(水平)
Backlash (horizontal)</t>
        </is>
      </c>
      <c r="C10" s="10" t="inlineStr">
        <is>
          <t>1-2 phase excitation, reverse direction: Focus Group moves within 6 steps (including 6).</t>
        </is>
      </c>
    </row>
    <row r="11" ht="36" customHeight="1">
      <c r="A11" s="19" t="n">
        <v>9</v>
      </c>
      <c r="B11" s="20" t="inlineStr">
        <is>
          <t>工作温度
Operating Temperature</t>
        </is>
      </c>
      <c r="C11" s="8" t="inlineStr">
        <is>
          <t>-30℃ ~ 70℃ (warm up 30 minutes at low temperature before start).</t>
        </is>
      </c>
    </row>
    <row r="12" ht="36" customHeight="1">
      <c r="A12" s="21" t="n">
        <v>10</v>
      </c>
      <c r="B12" s="22" t="inlineStr">
        <is>
          <t>噪音
Noise</t>
        </is>
      </c>
      <c r="C12" s="10" t="inlineStr">
        <is>
          <t>60 dB(max), ambient 24 dB(max). Probe–motor 10 cm, 5 V, 800 pps.</t>
        </is>
      </c>
    </row>
    <row r="13" ht="36" customHeight="1">
      <c r="A13" s="19" t="n">
        <v>11</v>
      </c>
      <c r="B13" s="20" t="inlineStr">
        <is>
          <t>光耦
Optocouple</t>
        </is>
      </c>
      <c r="C13" s="8" t="inlineStr">
        <is>
          <t>Type: ROHM RPI-222
VH = 2.3 V over; VL = 0.7 V under</t>
        </is>
      </c>
    </row>
    <row r="14" ht="36" customHeight="1">
      <c r="A14" s="21" t="n">
        <v>12</v>
      </c>
      <c r="B14" s="22" t="inlineStr">
        <is>
          <t>动作方向
Operation Direction</t>
        </is>
      </c>
      <c r="C14" s="10" t="inlineStr">
        <is>
          <t>See 1-2 phase excitation map. CW: Near→Far; CCW: Far→Near</t>
        </is>
      </c>
    </row>
    <row r="16" ht="24" customHeight="1">
      <c r="A16" s="4" t="inlineStr">
        <is>
          <t>1-2相励磁  1-2 phase excitation  ·  FPC &amp; Motor Terminal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 ht="22" customHeight="1">
      <c r="A17" s="6" t="inlineStr">
        <is>
          <t>Pin / Coil</t>
        </is>
      </c>
      <c r="B17" s="6" t="inlineStr">
        <is>
          <t>1</t>
        </is>
      </c>
      <c r="C17" s="6" t="inlineStr">
        <is>
          <t>2</t>
        </is>
      </c>
      <c r="D17" s="6" t="inlineStr">
        <is>
          <t>3</t>
        </is>
      </c>
      <c r="E17" s="6" t="inlineStr">
        <is>
          <t>4</t>
        </is>
      </c>
      <c r="F17" s="6" t="inlineStr">
        <is>
          <t>5</t>
        </is>
      </c>
      <c r="G17" s="6" t="inlineStr">
        <is>
          <t>6</t>
        </is>
      </c>
      <c r="H17" s="6" t="inlineStr">
        <is>
          <t>7</t>
        </is>
      </c>
      <c r="I17" s="6" t="inlineStr">
        <is>
          <t>8</t>
        </is>
      </c>
      <c r="J17" s="6" t="inlineStr">
        <is>
          <t>Direction</t>
        </is>
      </c>
      <c r="K17" s="6" t="inlineStr"/>
    </row>
    <row r="18" ht="22" customHeight="1">
      <c r="A18" s="15" t="inlineStr">
        <is>
          <t>08  B-</t>
        </is>
      </c>
      <c r="B18" s="23" t="inlineStr">
        <is>
          <t>L</t>
        </is>
      </c>
      <c r="C18" s="23" t="inlineStr">
        <is>
          <t>L</t>
        </is>
      </c>
      <c r="D18" s="17" t="inlineStr">
        <is>
          <t>H</t>
        </is>
      </c>
      <c r="E18" s="17" t="inlineStr">
        <is>
          <t>H</t>
        </is>
      </c>
      <c r="F18" s="17" t="inlineStr">
        <is>
          <t>H</t>
        </is>
      </c>
      <c r="G18" s="23" t="inlineStr">
        <is>
          <t>L</t>
        </is>
      </c>
      <c r="H18" s="23" t="inlineStr">
        <is>
          <t>L</t>
        </is>
      </c>
      <c r="I18" s="23" t="inlineStr">
        <is>
          <t>L</t>
        </is>
      </c>
      <c r="J18" s="15" t="inlineStr">
        <is>
          <t>CW: Near → Far</t>
        </is>
      </c>
      <c r="K18" s="15" t="inlineStr"/>
    </row>
    <row r="19" ht="22" customHeight="1">
      <c r="A19" s="16" t="inlineStr">
        <is>
          <t>09  A+</t>
        </is>
      </c>
      <c r="B19" s="17" t="inlineStr">
        <is>
          <t>H</t>
        </is>
      </c>
      <c r="C19" s="17" t="inlineStr">
        <is>
          <t>H</t>
        </is>
      </c>
      <c r="D19" s="17" t="inlineStr">
        <is>
          <t>H</t>
        </is>
      </c>
      <c r="E19" s="23" t="inlineStr">
        <is>
          <t>L</t>
        </is>
      </c>
      <c r="F19" s="23" t="inlineStr">
        <is>
          <t>L</t>
        </is>
      </c>
      <c r="G19" s="23" t="inlineStr">
        <is>
          <t>L</t>
        </is>
      </c>
      <c r="H19" s="23" t="inlineStr">
        <is>
          <t>L</t>
        </is>
      </c>
      <c r="I19" s="23" t="inlineStr">
        <is>
          <t>L</t>
        </is>
      </c>
      <c r="J19" s="16" t="inlineStr"/>
      <c r="K19" s="16" t="inlineStr"/>
    </row>
    <row r="20" ht="22" customHeight="1">
      <c r="A20" s="15" t="inlineStr">
        <is>
          <t>10  B+</t>
        </is>
      </c>
      <c r="B20" s="17" t="inlineStr">
        <is>
          <t>H</t>
        </is>
      </c>
      <c r="C20" s="23" t="inlineStr">
        <is>
          <t>L</t>
        </is>
      </c>
      <c r="D20" s="23" t="inlineStr">
        <is>
          <t>L</t>
        </is>
      </c>
      <c r="E20" s="23" t="inlineStr">
        <is>
          <t>L</t>
        </is>
      </c>
      <c r="F20" s="23" t="inlineStr">
        <is>
          <t>L</t>
        </is>
      </c>
      <c r="G20" s="23" t="inlineStr">
        <is>
          <t>L</t>
        </is>
      </c>
      <c r="H20" s="17" t="inlineStr">
        <is>
          <t>H</t>
        </is>
      </c>
      <c r="I20" s="17" t="inlineStr">
        <is>
          <t>H</t>
        </is>
      </c>
      <c r="J20" s="15" t="inlineStr">
        <is>
          <t>CCW: Far → Near</t>
        </is>
      </c>
      <c r="K20" s="15" t="inlineStr"/>
    </row>
    <row r="21" ht="22" customHeight="1">
      <c r="A21" s="16" t="inlineStr">
        <is>
          <t>11  A-</t>
        </is>
      </c>
      <c r="B21" s="23" t="inlineStr">
        <is>
          <t>L</t>
        </is>
      </c>
      <c r="C21" s="23" t="inlineStr">
        <is>
          <t>L</t>
        </is>
      </c>
      <c r="D21" s="23" t="inlineStr">
        <is>
          <t>L</t>
        </is>
      </c>
      <c r="E21" s="23" t="inlineStr">
        <is>
          <t>L</t>
        </is>
      </c>
      <c r="F21" s="17" t="inlineStr">
        <is>
          <t>H</t>
        </is>
      </c>
      <c r="G21" s="17" t="inlineStr">
        <is>
          <t>H</t>
        </is>
      </c>
      <c r="H21" s="17" t="inlineStr">
        <is>
          <t>H</t>
        </is>
      </c>
      <c r="I21" s="23" t="inlineStr">
        <is>
          <t>L</t>
        </is>
      </c>
      <c r="J21" s="16" t="inlineStr"/>
      <c r="K21" s="16" t="inlineStr"/>
    </row>
  </sheetData>
  <mergeCells count="2">
    <mergeCell ref="A16:K16"/>
    <mergeCell ref="A1:K1"/>
  </mergeCells>
  <pageMargins left="0.75" right="0.75" top="1" bottom="1" header="0.5" footer="0.5"/>
  <pageSetup paperSize="9" fitToHeight="0" fitToWidth="1"/>
  <headerFooter>
    <oddHeader>&amp;LConfidential  ·  嘉兴中润光学&amp;RF139T-4  90.S08600.104</oddHeader>
    <oddFooter>&amp;C&amp;A  | 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72" customWidth="1" min="3" max="3"/>
  </cols>
  <sheetData>
    <row r="1" ht="24" customHeight="1">
      <c r="A1" s="4" t="inlineStr">
        <is>
          <t>6. IR 切换  IR Change Switch</t>
        </is>
      </c>
      <c r="B1" s="5" t="n"/>
      <c r="C1" s="5" t="n"/>
    </row>
    <row r="2" ht="22" customHeight="1">
      <c r="A2" s="6" t="inlineStr">
        <is>
          <t>NO.</t>
        </is>
      </c>
      <c r="B2" s="6" t="inlineStr">
        <is>
          <t>项目 Item</t>
        </is>
      </c>
      <c r="C2" s="6" t="inlineStr">
        <is>
          <t>描述 Description</t>
        </is>
      </c>
    </row>
    <row r="3" ht="36" customHeight="1">
      <c r="A3" s="19" t="n">
        <v>1</v>
      </c>
      <c r="B3" s="20" t="inlineStr">
        <is>
          <t>电阻
Resistance</t>
        </is>
      </c>
      <c r="C3" s="8" t="inlineStr">
        <is>
          <t>20 Ω ± 3 Ω (T=20℃)</t>
        </is>
      </c>
    </row>
    <row r="4" ht="36" customHeight="1">
      <c r="A4" s="21" t="n">
        <v>2</v>
      </c>
      <c r="B4" s="22" t="inlineStr">
        <is>
          <t>作动电压
Operation Voltage</t>
        </is>
      </c>
      <c r="C4" s="10" t="inlineStr">
        <is>
          <t>4.5 V ≤ |U| ≤ 5.0 V</t>
        </is>
      </c>
    </row>
    <row r="5" ht="36" customHeight="1">
      <c r="A5" s="19" t="n">
        <v>3</v>
      </c>
      <c r="B5" s="20" t="inlineStr">
        <is>
          <t>作动时间
Operation Time</t>
        </is>
      </c>
      <c r="C5" s="8" t="inlineStr">
        <is>
          <t>200 ms ~ 500 ms</t>
        </is>
      </c>
    </row>
    <row r="6" ht="46" customHeight="1">
      <c r="A6" s="21" t="n">
        <v>4</v>
      </c>
      <c r="B6" s="22" t="inlineStr">
        <is>
          <t>作动方向
Operation Direction</t>
        </is>
      </c>
      <c r="C6" s="10" t="inlineStr">
        <is>
          <t>PIN2 +, PIN1 − : Night mode → Day mode
PIN2 −, PIN1 + : Day mode → Night mode
Note: Need refocus after switching IR filter.</t>
        </is>
      </c>
    </row>
    <row r="7" ht="36" customHeight="1">
      <c r="A7" s="19" t="n">
        <v>5</v>
      </c>
      <c r="B7" s="20" t="inlineStr">
        <is>
          <t>IR 规格
IR Spec</t>
        </is>
      </c>
      <c r="C7" s="8" t="inlineStr">
        <is>
          <t>Two filters, each t = 0.3 ± 0.05 mm. Spectral tables below.</t>
        </is>
      </c>
    </row>
    <row r="9" ht="24" customHeight="1">
      <c r="A9" s="4" t="inlineStr">
        <is>
          <t>IR Filter (IR-cut / Day)  t = 0.3 ± 0.05 mm</t>
        </is>
      </c>
      <c r="B9" s="5" t="n"/>
      <c r="C9" s="5" t="n"/>
    </row>
    <row r="10" ht="22" customHeight="1">
      <c r="A10" s="6" t="inlineStr">
        <is>
          <t>项目 Item</t>
        </is>
      </c>
      <c r="B10" s="6" t="inlineStr">
        <is>
          <t>Wavelength</t>
        </is>
      </c>
      <c r="C10" s="6" t="inlineStr">
        <is>
          <t>规格 Spec</t>
        </is>
      </c>
    </row>
    <row r="11" ht="20" customHeight="1">
      <c r="A11" s="8" t="inlineStr">
        <is>
          <t>透过率 transmissivity</t>
        </is>
      </c>
      <c r="B11" s="8" t="inlineStr">
        <is>
          <t>350–395 nm</t>
        </is>
      </c>
      <c r="C11" s="8" t="inlineStr">
        <is>
          <t>Tave &lt; 3%</t>
        </is>
      </c>
    </row>
    <row r="12" ht="20" customHeight="1">
      <c r="A12" s="10" t="inlineStr">
        <is>
          <t>透过率 transmissivity</t>
        </is>
      </c>
      <c r="B12" s="10" t="inlineStr">
        <is>
          <t>415 ± 10 nm</t>
        </is>
      </c>
      <c r="C12" s="10" t="inlineStr">
        <is>
          <t>T = 50%</t>
        </is>
      </c>
    </row>
    <row r="13" ht="20" customHeight="1">
      <c r="A13" s="8" t="inlineStr">
        <is>
          <t>透过率 transmissivity</t>
        </is>
      </c>
      <c r="B13" s="8" t="inlineStr">
        <is>
          <t>430–565 nm</t>
        </is>
      </c>
      <c r="C13" s="8" t="inlineStr">
        <is>
          <t>Tave &gt; 93%</t>
        </is>
      </c>
    </row>
    <row r="14" ht="20" customHeight="1">
      <c r="A14" s="10" t="inlineStr">
        <is>
          <t>透过率 transmissivity</t>
        </is>
      </c>
      <c r="B14" s="10" t="inlineStr">
        <is>
          <t>650 ± 10 nm</t>
        </is>
      </c>
      <c r="C14" s="10" t="inlineStr">
        <is>
          <t>T = 50%</t>
        </is>
      </c>
    </row>
    <row r="15" ht="20" customHeight="1">
      <c r="A15" s="8" t="inlineStr">
        <is>
          <t>透过率 transmissivity</t>
        </is>
      </c>
      <c r="B15" s="8" t="inlineStr">
        <is>
          <t>700–725 nm</t>
        </is>
      </c>
      <c r="C15" s="8" t="inlineStr">
        <is>
          <t>Tave &lt; 5%</t>
        </is>
      </c>
    </row>
    <row r="16" ht="20" customHeight="1">
      <c r="A16" s="10" t="inlineStr">
        <is>
          <t>透过率 transmissivity</t>
        </is>
      </c>
      <c r="B16" s="10" t="inlineStr">
        <is>
          <t>725–1100 nm</t>
        </is>
      </c>
      <c r="C16" s="10" t="inlineStr">
        <is>
          <t>Tave &lt; 0.5%</t>
        </is>
      </c>
    </row>
    <row r="18" ht="24" customHeight="1">
      <c r="A18" s="4" t="inlineStr">
        <is>
          <t>Dummy glass / Night  t = 0.3 ± 0.05 mm</t>
        </is>
      </c>
      <c r="B18" s="5" t="n"/>
      <c r="C18" s="5" t="n"/>
    </row>
    <row r="19" ht="22" customHeight="1">
      <c r="A19" s="6" t="inlineStr">
        <is>
          <t>项目 Item</t>
        </is>
      </c>
      <c r="B19" s="6" t="inlineStr">
        <is>
          <t>Wavelength</t>
        </is>
      </c>
      <c r="C19" s="6" t="inlineStr">
        <is>
          <t>规格 Spec</t>
        </is>
      </c>
    </row>
    <row r="20" ht="20" customHeight="1">
      <c r="A20" s="8" t="inlineStr">
        <is>
          <t>透过率 transmissivity</t>
        </is>
      </c>
      <c r="B20" s="8" t="inlineStr">
        <is>
          <t>430–680 nm</t>
        </is>
      </c>
      <c r="C20" s="8" t="inlineStr">
        <is>
          <t>Tave ≥ 97%，Tmin ≥ 95%</t>
        </is>
      </c>
    </row>
    <row r="21" ht="20" customHeight="1">
      <c r="A21" s="10" t="inlineStr">
        <is>
          <t>透过率 transmissivity</t>
        </is>
      </c>
      <c r="B21" s="10" t="inlineStr">
        <is>
          <t>680–1100 nm</t>
        </is>
      </c>
      <c r="C21" s="10" t="inlineStr">
        <is>
          <t>Tave ≥ 96%，Tmin ≥ 94%</t>
        </is>
      </c>
    </row>
    <row r="23" ht="18" customHeight="1">
      <c r="A23" s="14" t="inlineStr">
        <is>
          <t>Page 11 of the PDF continues the IR spec with the second (broadband) filter table; labels Day/Night follow typical dual-filter usage of the tabulated spectra.</t>
        </is>
      </c>
    </row>
  </sheetData>
  <mergeCells count="4">
    <mergeCell ref="A1:C1"/>
    <mergeCell ref="A9:C9"/>
    <mergeCell ref="A18:C18"/>
    <mergeCell ref="A23:C23"/>
  </mergeCells>
  <pageMargins left="0.75" right="0.75" top="1" bottom="1" header="0.5" footer="0.5"/>
  <pageSetup paperSize="9" fitToHeight="0" fitToWidth="1"/>
  <headerFooter>
    <oddHeader>&amp;LConfidential  ·  嘉兴中润光学&amp;RF139T-4  90.S08600.104</oddHeader>
    <oddFooter>&amp;C&amp;A  | 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72" customWidth="1" min="3" max="3"/>
  </cols>
  <sheetData>
    <row r="1" ht="24" customHeight="1">
      <c r="A1" s="4" t="inlineStr">
        <is>
          <t>7. 光圈  Iris</t>
        </is>
      </c>
      <c r="B1" s="5" t="n"/>
      <c r="C1" s="5" t="n"/>
    </row>
    <row r="2" ht="22" customHeight="1">
      <c r="A2" s="6" t="inlineStr">
        <is>
          <t>NO.</t>
        </is>
      </c>
      <c r="B2" s="6" t="inlineStr">
        <is>
          <t>项目 Item</t>
        </is>
      </c>
      <c r="C2" s="6" t="inlineStr">
        <is>
          <t>描述 Description</t>
        </is>
      </c>
    </row>
    <row r="3" ht="36" customHeight="1">
      <c r="A3" s="19" t="n">
        <v>1</v>
      </c>
      <c r="B3" s="20" t="inlineStr">
        <is>
          <t>叶片数量
Blades Number</t>
        </is>
      </c>
      <c r="C3" s="8" t="inlineStr">
        <is>
          <t>2 枚叶片 / 2 slices</t>
        </is>
      </c>
    </row>
    <row r="4" ht="36" customHeight="1">
      <c r="A4" s="21" t="n">
        <v>2</v>
      </c>
      <c r="B4" s="22" t="inlineStr">
        <is>
          <t>驱动方式
Drive Mode</t>
        </is>
      </c>
      <c r="C4" s="10" t="inlineStr">
        <is>
          <t>PM 型步进电机 / PM Stepping Motor</t>
        </is>
      </c>
    </row>
    <row r="5" ht="36" customHeight="1">
      <c r="A5" s="19" t="n">
        <v>3</v>
      </c>
      <c r="B5" s="20" t="inlineStr">
        <is>
          <t>物理&amp;光学最大口径
Physical &amp; Optical Maximum Diameter</t>
        </is>
      </c>
      <c r="C5" s="8" t="inlineStr">
        <is>
          <t>Physical Φ17.4 mm
Optical Φ16.4 mm</t>
        </is>
      </c>
    </row>
    <row r="6" ht="36" customHeight="1">
      <c r="A6" s="21" t="n">
        <v>4</v>
      </c>
      <c r="B6" s="22" t="inlineStr">
        <is>
          <t>线圈电阻
Coil Resistance</t>
        </is>
      </c>
      <c r="C6" s="10" t="inlineStr">
        <is>
          <t>30 Ω ± 5 Ω (T=25℃)</t>
        </is>
      </c>
    </row>
    <row r="7" ht="36" customHeight="1">
      <c r="A7" s="19" t="n">
        <v>5</v>
      </c>
      <c r="B7" s="20" t="inlineStr">
        <is>
          <t>驱动电压
Operation Voltage</t>
        </is>
      </c>
      <c r="C7" s="8" t="inlineStr">
        <is>
          <t>2.7 V ~ 5.0 V</t>
        </is>
      </c>
    </row>
    <row r="8" ht="36" customHeight="1">
      <c r="A8" s="21" t="n">
        <v>6</v>
      </c>
      <c r="B8" s="22" t="inlineStr">
        <is>
          <t>驱动转速
Driving Speed</t>
        </is>
      </c>
      <c r="C8" s="10" t="inlineStr">
        <is>
          <t>200 pps</t>
        </is>
      </c>
    </row>
    <row r="9" ht="36" customHeight="1">
      <c r="A9" s="19" t="n">
        <v>7</v>
      </c>
      <c r="B9" s="20" t="inlineStr">
        <is>
          <t>励磁方式
Excitation Method</t>
        </is>
      </c>
      <c r="C9" s="8" t="inlineStr">
        <is>
          <t>2-2 相励磁 / 2-2 phase excitation</t>
        </is>
      </c>
    </row>
    <row r="10" ht="36" customHeight="1">
      <c r="A10" s="21" t="n">
        <v>8</v>
      </c>
      <c r="B10" s="22" t="inlineStr">
        <is>
          <t>步数角度
Step Angle</t>
        </is>
      </c>
      <c r="C10" s="10" t="inlineStr">
        <is>
          <t>0.845°/step (2-2 phase excitation)</t>
        </is>
      </c>
    </row>
    <row r="11" ht="36" customHeight="1">
      <c r="A11" s="19" t="n">
        <v>9</v>
      </c>
      <c r="B11" s="20" t="inlineStr">
        <is>
          <t>噪音
Noise</t>
        </is>
      </c>
      <c r="C11" s="8" t="inlineStr">
        <is>
          <t>74 dB(max), ambient 24 dB(max). Probe–motor 25 cm, 2.6 V, 160 pps.</t>
        </is>
      </c>
    </row>
    <row r="12" ht="36" customHeight="1">
      <c r="A12" s="21" t="n">
        <v>10</v>
      </c>
      <c r="B12" s="22" t="inlineStr">
        <is>
          <t>Iris&amp;Fno 规格
Iris &amp; Fno Spec</t>
        </is>
      </c>
      <c r="C12" s="10" t="inlineStr">
        <is>
          <t>详见第 14 项 / Details on sheet 15 Iris Fno Spec</t>
        </is>
      </c>
    </row>
  </sheetData>
  <mergeCells count="1">
    <mergeCell ref="A1:C1"/>
  </mergeCells>
  <pageMargins left="0.75" right="0.75" top="1" bottom="1" header="0.5" footer="0.5"/>
  <pageSetup paperSize="9" fitToHeight="0" fitToWidth="1"/>
  <headerFooter>
    <oddHeader>&amp;LConfidential  ·  嘉兴中润光学&amp;RF139T-4  90.S08600.104</oddHeader>
    <oddFooter>&amp;C&amp;A  | 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8" customWidth="1" min="3" max="3"/>
    <col width="22" customWidth="1" min="4" max="4"/>
    <col width="55" customWidth="1" min="5" max="5"/>
  </cols>
  <sheetData>
    <row r="1" ht="24" customHeight="1">
      <c r="A1" s="4" t="inlineStr">
        <is>
          <t>8. 耐久测试  Life Test</t>
        </is>
      </c>
      <c r="B1" s="5" t="n"/>
      <c r="C1" s="5" t="n"/>
      <c r="D1" s="5" t="n"/>
      <c r="E1" s="5" t="n"/>
    </row>
    <row r="2" ht="22" customHeight="1">
      <c r="A2" s="6" t="inlineStr">
        <is>
          <t>NO.</t>
        </is>
      </c>
      <c r="B2" s="6" t="inlineStr">
        <is>
          <t>项目 Item</t>
        </is>
      </c>
      <c r="C2" s="6" t="inlineStr">
        <is>
          <t>Cycles</t>
        </is>
      </c>
      <c r="D2" s="6" t="inlineStr">
        <is>
          <t>Environment</t>
        </is>
      </c>
      <c r="E2" s="6" t="inlineStr">
        <is>
          <t>Pass criterion / Notes</t>
        </is>
      </c>
    </row>
    <row r="3" ht="48" customHeight="1">
      <c r="A3" s="15" t="n">
        <v>1</v>
      </c>
      <c r="B3" s="8" t="inlineStr">
        <is>
          <t>变焦群组耐久测试
Zoom Group Life Test</t>
        </is>
      </c>
      <c r="C3" s="24" t="inlineStr">
        <is>
          <t>500,000</t>
        </is>
      </c>
      <c r="D3" s="8" t="inlineStr">
        <is>
          <t>25±5℃ / 55±20% RH</t>
        </is>
      </c>
      <c r="E3" s="8" t="inlineStr">
        <is>
          <t>Parameters per Zoom Group (item 4). After test, lens has no performance issues.</t>
        </is>
      </c>
    </row>
    <row r="4" ht="48" customHeight="1">
      <c r="A4" s="16" t="n">
        <v>2</v>
      </c>
      <c r="B4" s="10" t="inlineStr">
        <is>
          <t>聚焦群组耐久测试
Focus Group Life Test</t>
        </is>
      </c>
      <c r="C4" s="25" t="inlineStr">
        <is>
          <t>500,000</t>
        </is>
      </c>
      <c r="D4" s="10" t="inlineStr">
        <is>
          <t>25±5℃ / 55±20% RH</t>
        </is>
      </c>
      <c r="E4" s="10" t="inlineStr">
        <is>
          <t>Parameters per Focus Group (item 5). After test, lens has no performance issues.</t>
        </is>
      </c>
    </row>
    <row r="5" ht="48" customHeight="1">
      <c r="A5" s="15" t="n">
        <v>3</v>
      </c>
      <c r="B5" s="8" t="inlineStr">
        <is>
          <t>IR切换耐久测试
IR Change Life Test</t>
        </is>
      </c>
      <c r="C5" s="24" t="inlineStr">
        <is>
          <t>50,000</t>
        </is>
      </c>
      <c r="D5" s="8" t="inlineStr">
        <is>
          <t>Normal temp &amp; humidity</t>
        </is>
      </c>
      <c r="E5" s="8" t="inlineStr">
        <is>
          <t>Close → Open → Close, 4.0–6.0 s/cycle. After test, IR-cut has no performance issues.</t>
        </is>
      </c>
    </row>
    <row r="6" ht="48" customHeight="1">
      <c r="A6" s="16" t="n">
        <v>4</v>
      </c>
      <c r="B6" s="10" t="inlineStr">
        <is>
          <t>Iris耐久测试
Iris Life Test</t>
        </is>
      </c>
      <c r="C6" s="25" t="inlineStr">
        <is>
          <t>300,000</t>
        </is>
      </c>
      <c r="D6" s="10" t="inlineStr">
        <is>
          <t>Normal temp &amp; humidity</t>
        </is>
      </c>
      <c r="E6" s="10" t="inlineStr">
        <is>
          <t>Open → Close → Open, 4–8 s/cycle. After test, Iris has no performance issues.</t>
        </is>
      </c>
    </row>
  </sheetData>
  <mergeCells count="1">
    <mergeCell ref="A1:E1"/>
  </mergeCells>
  <pageMargins left="0.75" right="0.75" top="1" bottom="1" header="0.5" footer="0.5"/>
  <pageSetup paperSize="9" fitToHeight="0" fitToWidth="1"/>
  <headerFooter>
    <oddHeader>&amp;LConfidential  ·  嘉兴中润光学&amp;RF139T-4  90.S08600.104</oddHeader>
    <oddFooter>&amp;C&amp;A  |  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78" customWidth="1" min="3" max="3"/>
  </cols>
  <sheetData>
    <row r="1" ht="24" customHeight="1">
      <c r="A1" s="4" t="inlineStr">
        <is>
          <t>9. 可靠度测试  Reliability Test</t>
        </is>
      </c>
      <c r="B1" s="5" t="n"/>
      <c r="C1" s="5" t="n"/>
    </row>
    <row r="2" ht="22" customHeight="1">
      <c r="A2" s="6" t="inlineStr">
        <is>
          <t>NO.</t>
        </is>
      </c>
      <c r="B2" s="6" t="inlineStr">
        <is>
          <t>项目 Item</t>
        </is>
      </c>
      <c r="C2" s="6" t="inlineStr">
        <is>
          <t>描述 Description</t>
        </is>
      </c>
    </row>
    <row r="3" ht="36" customHeight="1">
      <c r="A3" s="19" t="n">
        <v>1</v>
      </c>
      <c r="B3" s="20" t="inlineStr">
        <is>
          <t>低温保存
Low Temperature Storage</t>
        </is>
      </c>
      <c r="C3" s="8" t="inlineStr">
        <is>
          <t>-30℃ ± 3℃, 48 h. Recover 12–24 h to room temperature/humidity. No performance issues.</t>
        </is>
      </c>
    </row>
    <row r="4" ht="36" customHeight="1">
      <c r="A4" s="21" t="n">
        <v>2</v>
      </c>
      <c r="B4" s="22" t="inlineStr">
        <is>
          <t>高温保存
High Temperature Storage</t>
        </is>
      </c>
      <c r="C4" s="10" t="inlineStr">
        <is>
          <t>70℃ ± 3℃, humidity 50% ± 5%, 48 h. Recover 12–24 h. No performance issues.</t>
        </is>
      </c>
    </row>
    <row r="5" ht="36" customHeight="1">
      <c r="A5" s="19" t="n">
        <v>3</v>
      </c>
      <c r="B5" s="20" t="inlineStr">
        <is>
          <t>高温高湿保存
High Temperature &amp; Humidity Storage</t>
        </is>
      </c>
      <c r="C5" s="8" t="inlineStr">
        <is>
          <t>70℃ ± 3℃, humidity 85% ± 5%, 48 h. Recover 12–24 h. No performance issues.</t>
        </is>
      </c>
    </row>
    <row r="6" ht="46" customHeight="1">
      <c r="A6" s="21" t="n">
        <v>4</v>
      </c>
      <c r="B6" s="22" t="inlineStr">
        <is>
          <t>温度循环测试
Temperature Cycle Test</t>
        </is>
      </c>
      <c r="C6" s="10" t="inlineStr">
        <is>
          <t>Condition 1: +60℃, 30 min, humidity 50%.
Condition 2: −20℃, 30 min.
Average temperature change rate 10℃/min. Repeat 30 cycles. Recover 12–24 h. No performance issues.</t>
        </is>
      </c>
    </row>
    <row r="7" ht="36" customHeight="1">
      <c r="A7" s="19" t="n">
        <v>5</v>
      </c>
      <c r="B7" s="20" t="inlineStr">
        <is>
          <t>震动测试
Vibration Test</t>
        </is>
      </c>
      <c r="C7" s="8" t="inlineStr">
        <is>
          <t>Lens with package. PSD profile in table. Acceleration 1.087 Grms, 3 axes: Z 60 min, X and Y 30 min each. After test, no performance issues.</t>
        </is>
      </c>
    </row>
    <row r="8" ht="36" customHeight="1">
      <c r="A8" s="21" t="n">
        <v>6</v>
      </c>
      <c r="B8" s="22" t="inlineStr">
        <is>
          <t>落下测试
Drop Test</t>
        </is>
      </c>
      <c r="C8" s="10" t="inlineStr">
        <is>
          <t>Lens with package. Dropped from 1.0 m. 6 surfaces + 3 edges + 1 corner, once each, 10 times total. After test, no performance issues.</t>
        </is>
      </c>
    </row>
    <row r="10" ht="24" customHeight="1">
      <c r="A10" s="4" t="inlineStr">
        <is>
          <t>Vibration PSD  震动谱密度</t>
        </is>
      </c>
      <c r="B10" s="5" t="n"/>
      <c r="C10" s="5" t="n"/>
    </row>
    <row r="11" ht="22" customHeight="1">
      <c r="A11" s="6" t="inlineStr">
        <is>
          <t>频率 Frequency (Hz)</t>
        </is>
      </c>
      <c r="B11" s="6" t="inlineStr">
        <is>
          <t>加速度谱密度 PSD (g²/Hz)</t>
        </is>
      </c>
      <c r="C11" s="6" t="inlineStr"/>
    </row>
    <row r="12" ht="20" customHeight="1">
      <c r="A12" s="26" t="n">
        <v>5</v>
      </c>
      <c r="B12" s="27" t="n">
        <v>0.01</v>
      </c>
      <c r="C12" s="15" t="inlineStr"/>
    </row>
    <row r="13" ht="20" customHeight="1">
      <c r="A13" s="28" t="n">
        <v>100</v>
      </c>
      <c r="B13" s="29" t="n">
        <v>0.01</v>
      </c>
      <c r="C13" s="16" t="inlineStr"/>
    </row>
    <row r="14" ht="20" customHeight="1">
      <c r="A14" s="26" t="n">
        <v>135</v>
      </c>
      <c r="B14" s="27" t="n">
        <v>0.00148</v>
      </c>
      <c r="C14" s="15" t="inlineStr"/>
    </row>
    <row r="15" ht="20" customHeight="1">
      <c r="A15" s="28" t="n">
        <v>200</v>
      </c>
      <c r="B15" s="29" t="n">
        <v>0.001</v>
      </c>
      <c r="C15" s="16" t="inlineStr"/>
    </row>
    <row r="16" ht="20" customHeight="1">
      <c r="A16" s="26" t="n">
        <v>300</v>
      </c>
      <c r="B16" s="27" t="n">
        <v>1e-05</v>
      </c>
      <c r="C16" s="15" t="inlineStr"/>
    </row>
    <row r="18" ht="18" customHeight="1">
      <c r="A18" s="14" t="inlineStr">
        <is>
          <t>Total RMS acceleration 1.087 Grms.</t>
        </is>
      </c>
    </row>
  </sheetData>
  <mergeCells count="3">
    <mergeCell ref="A1:C1"/>
    <mergeCell ref="A18:C18"/>
    <mergeCell ref="A10:C10"/>
  </mergeCells>
  <pageMargins left="0.75" right="0.75" top="1" bottom="1" header="0.5" footer="0.5"/>
  <pageSetup paperSize="9" fitToHeight="0" fitToWidth="1"/>
  <headerFooter>
    <oddHeader>&amp;LConfidential  ·  嘉兴中润光学&amp;RF139T-4  90.S08600.104</oddHeader>
    <oddFooter>&amp;C&amp;A  |  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40" customWidth="1" min="4" max="4"/>
  </cols>
  <sheetData>
    <row r="1" ht="24" customHeight="1">
      <c r="A1" s="4" t="inlineStr">
        <is>
          <t>10. FPC 规格  FPC Spec</t>
        </is>
      </c>
      <c r="B1" s="5" t="n"/>
      <c r="C1" s="5" t="n"/>
      <c r="D1" s="5" t="n"/>
    </row>
    <row r="2" ht="22" customHeight="1">
      <c r="A2" s="6" t="inlineStr">
        <is>
          <t>No.</t>
        </is>
      </c>
      <c r="B2" s="6" t="inlineStr">
        <is>
          <t>FUNCTION</t>
        </is>
      </c>
      <c r="C2" s="6" t="inlineStr">
        <is>
          <t>ITEM</t>
        </is>
      </c>
      <c r="D2" s="6" t="inlineStr">
        <is>
          <t>Note</t>
        </is>
      </c>
    </row>
    <row r="3" ht="20" customHeight="1">
      <c r="A3" s="30" t="n">
        <v>1</v>
      </c>
      <c r="B3" s="31" t="inlineStr">
        <is>
          <t>IR+</t>
        </is>
      </c>
      <c r="C3" s="31" t="inlineStr">
        <is>
          <t>IR</t>
        </is>
      </c>
      <c r="D3" s="31" t="inlineStr">
        <is>
          <t>金手指方向朝上 / Gold finger upward</t>
        </is>
      </c>
    </row>
    <row r="4" ht="20" customHeight="1">
      <c r="A4" s="30" t="n">
        <v>2</v>
      </c>
      <c r="B4" s="31" t="inlineStr">
        <is>
          <t>IR-</t>
        </is>
      </c>
      <c r="C4" s="31" t="inlineStr">
        <is>
          <t>IR</t>
        </is>
      </c>
      <c r="D4" s="31" t="inlineStr"/>
    </row>
    <row r="5" ht="20" customHeight="1">
      <c r="A5" s="32" t="n">
        <v>3</v>
      </c>
      <c r="B5" s="20" t="inlineStr">
        <is>
          <t>PI ANODE</t>
        </is>
      </c>
      <c r="C5" s="20" t="inlineStr">
        <is>
          <t>FOCUS PI</t>
        </is>
      </c>
      <c r="D5" s="20" t="inlineStr"/>
    </row>
    <row r="6" ht="20" customHeight="1">
      <c r="A6" s="32" t="n">
        <v>4</v>
      </c>
      <c r="B6" s="20" t="inlineStr">
        <is>
          <t>PI CATHODE&amp;EMITTER</t>
        </is>
      </c>
      <c r="C6" s="20" t="inlineStr">
        <is>
          <t>FOCUS PI</t>
        </is>
      </c>
      <c r="D6" s="20" t="inlineStr"/>
    </row>
    <row r="7" ht="20" customHeight="1">
      <c r="A7" s="21" t="n">
        <v>5</v>
      </c>
      <c r="B7" s="10" t="inlineStr">
        <is>
          <t>None</t>
        </is>
      </c>
      <c r="C7" s="10" t="inlineStr"/>
      <c r="D7" s="10" t="inlineStr"/>
    </row>
    <row r="8" ht="20" customHeight="1">
      <c r="A8" s="21" t="n">
        <v>6</v>
      </c>
      <c r="B8" s="10" t="inlineStr">
        <is>
          <t>None</t>
        </is>
      </c>
      <c r="C8" s="10" t="inlineStr"/>
      <c r="D8" s="10" t="inlineStr"/>
    </row>
    <row r="9" ht="20" customHeight="1">
      <c r="A9" s="32" t="n">
        <v>7</v>
      </c>
      <c r="B9" s="20" t="inlineStr">
        <is>
          <t>PI COLLECTOR(FOCUS)</t>
        </is>
      </c>
      <c r="C9" s="20" t="inlineStr">
        <is>
          <t>FOCUS PI</t>
        </is>
      </c>
      <c r="D9" s="20" t="inlineStr"/>
    </row>
    <row r="10" ht="20" customHeight="1">
      <c r="A10" s="33" t="n">
        <v>8</v>
      </c>
      <c r="B10" s="34" t="inlineStr">
        <is>
          <t>B-(FOCUS)</t>
        </is>
      </c>
      <c r="C10" s="34" t="inlineStr">
        <is>
          <t>FOCUS Motor</t>
        </is>
      </c>
      <c r="D10" s="34" t="inlineStr"/>
    </row>
    <row r="11" ht="20" customHeight="1">
      <c r="A11" s="33" t="n">
        <v>9</v>
      </c>
      <c r="B11" s="34" t="inlineStr">
        <is>
          <t>A+(FOCUS)</t>
        </is>
      </c>
      <c r="C11" s="34" t="inlineStr">
        <is>
          <t>FOCUS Motor</t>
        </is>
      </c>
      <c r="D11" s="34" t="inlineStr"/>
    </row>
    <row r="12" ht="20" customHeight="1">
      <c r="A12" s="33" t="n">
        <v>10</v>
      </c>
      <c r="B12" s="34" t="inlineStr">
        <is>
          <t>B+(FOCUS)</t>
        </is>
      </c>
      <c r="C12" s="34" t="inlineStr">
        <is>
          <t>FOCUS Motor</t>
        </is>
      </c>
      <c r="D12" s="34" t="inlineStr"/>
    </row>
    <row r="13" ht="20" customHeight="1">
      <c r="A13" s="33" t="n">
        <v>11</v>
      </c>
      <c r="B13" s="34" t="inlineStr">
        <is>
          <t>A-(FOCUS)</t>
        </is>
      </c>
      <c r="C13" s="34" t="inlineStr">
        <is>
          <t>FOCUS Motor</t>
        </is>
      </c>
      <c r="D13" s="34" t="inlineStr"/>
    </row>
    <row r="14" ht="20" customHeight="1">
      <c r="A14" s="35" t="n">
        <v>12</v>
      </c>
      <c r="B14" s="36" t="inlineStr">
        <is>
          <t>B-(ZOOM)</t>
        </is>
      </c>
      <c r="C14" s="36" t="inlineStr">
        <is>
          <t>ZOOM Motor</t>
        </is>
      </c>
      <c r="D14" s="36" t="inlineStr"/>
    </row>
    <row r="15" ht="20" customHeight="1">
      <c r="A15" s="35" t="n">
        <v>13</v>
      </c>
      <c r="B15" s="36" t="inlineStr">
        <is>
          <t>A+(ZOOM)</t>
        </is>
      </c>
      <c r="C15" s="36" t="inlineStr">
        <is>
          <t>ZOOM Motor</t>
        </is>
      </c>
      <c r="D15" s="36" t="inlineStr"/>
    </row>
    <row r="16" ht="20" customHeight="1">
      <c r="A16" s="35" t="n">
        <v>14</v>
      </c>
      <c r="B16" s="36" t="inlineStr">
        <is>
          <t>B+(ZOOM)</t>
        </is>
      </c>
      <c r="C16" s="36" t="inlineStr">
        <is>
          <t>ZOOM Motor</t>
        </is>
      </c>
      <c r="D16" s="36" t="inlineStr"/>
    </row>
    <row r="17" ht="20" customHeight="1">
      <c r="A17" s="35" t="n">
        <v>15</v>
      </c>
      <c r="B17" s="36" t="inlineStr">
        <is>
          <t>A-(ZOOM)</t>
        </is>
      </c>
      <c r="C17" s="36" t="inlineStr">
        <is>
          <t>ZOOM Motor</t>
        </is>
      </c>
      <c r="D17" s="36" t="inlineStr"/>
    </row>
    <row r="18" ht="20" customHeight="1">
      <c r="A18" s="37" t="n">
        <v>16</v>
      </c>
      <c r="B18" s="38" t="inlineStr">
        <is>
          <t>PI ANODE</t>
        </is>
      </c>
      <c r="C18" s="38" t="inlineStr">
        <is>
          <t>ZOOM PI</t>
        </is>
      </c>
      <c r="D18" s="38" t="inlineStr"/>
    </row>
    <row r="19" ht="20" customHeight="1">
      <c r="A19" s="37" t="n">
        <v>17</v>
      </c>
      <c r="B19" s="38" t="inlineStr">
        <is>
          <t>PI CATHODE&amp;EMITTER</t>
        </is>
      </c>
      <c r="C19" s="38" t="inlineStr">
        <is>
          <t>ZOOM PI</t>
        </is>
      </c>
      <c r="D19" s="38" t="inlineStr"/>
    </row>
    <row r="20" ht="20" customHeight="1">
      <c r="A20" s="37" t="n">
        <v>18</v>
      </c>
      <c r="B20" s="38" t="inlineStr">
        <is>
          <t>PI COLLECTOR(ZOOM)</t>
        </is>
      </c>
      <c r="C20" s="38" t="inlineStr">
        <is>
          <t>ZOOM PI</t>
        </is>
      </c>
      <c r="D20" s="38" t="inlineStr"/>
    </row>
    <row r="21" ht="20" customHeight="1">
      <c r="A21" s="39" t="n">
        <v>19</v>
      </c>
      <c r="B21" s="40" t="inlineStr">
        <is>
          <t>A+ (IRIS)</t>
        </is>
      </c>
      <c r="C21" s="40" t="inlineStr">
        <is>
          <t>IRIS</t>
        </is>
      </c>
      <c r="D21" s="40" t="inlineStr"/>
    </row>
    <row r="22" ht="20" customHeight="1">
      <c r="A22" s="39" t="n">
        <v>20</v>
      </c>
      <c r="B22" s="40" t="inlineStr">
        <is>
          <t>B+ (IRIS)</t>
        </is>
      </c>
      <c r="C22" s="40" t="inlineStr">
        <is>
          <t>IRIS</t>
        </is>
      </c>
      <c r="D22" s="40" t="inlineStr"/>
    </row>
    <row r="23" ht="20" customHeight="1">
      <c r="A23" s="39" t="n">
        <v>21</v>
      </c>
      <c r="B23" s="40" t="inlineStr">
        <is>
          <t>A- (IRIS)</t>
        </is>
      </c>
      <c r="C23" s="40" t="inlineStr">
        <is>
          <t>IRIS</t>
        </is>
      </c>
      <c r="D23" s="40" t="inlineStr"/>
    </row>
    <row r="24" ht="20" customHeight="1">
      <c r="A24" s="39" t="n">
        <v>22</v>
      </c>
      <c r="B24" s="40" t="inlineStr">
        <is>
          <t>B- (IRIS)</t>
        </is>
      </c>
      <c r="C24" s="40" t="inlineStr">
        <is>
          <t>IRIS</t>
        </is>
      </c>
      <c r="D24" s="40" t="inlineStr"/>
    </row>
  </sheetData>
  <mergeCells count="1">
    <mergeCell ref="A1:D1"/>
  </mergeCells>
  <pageMargins left="0.75" right="0.75" top="1" bottom="1" header="0.5" footer="0.5"/>
  <pageSetup paperSize="9" fitToHeight="0" fitToWidth="1"/>
  <headerFooter>
    <oddHeader>&amp;LConfidential  ·  嘉兴中润光学&amp;RF139T-4  90.S08600.104</oddHeader>
    <oddFooter>&amp;C&amp;A  |  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14" customWidth="1" min="4" max="4"/>
    <col width="18" customWidth="1" min="5" max="5"/>
  </cols>
  <sheetData>
    <row r="1" ht="24" customHeight="1">
      <c r="A1" s="4" t="inlineStr">
        <is>
          <t>11. 驱动控制表  Cam Lifting Map</t>
        </is>
      </c>
      <c r="B1" s="5" t="n"/>
      <c r="C1" s="5" t="n"/>
      <c r="D1" s="5" t="n"/>
      <c r="E1" s="5" t="n"/>
    </row>
    <row r="2" ht="22" customHeight="1">
      <c r="A2" s="41" t="inlineStr">
        <is>
          <t>① Zoom Step: 0.02 mm/Step</t>
        </is>
      </c>
      <c r="B2" s="41" t="inlineStr">
        <is>
          <t>② Focus Step: 0.01 mm/Step</t>
        </is>
      </c>
      <c r="C2" s="41" t="inlineStr"/>
      <c r="D2" s="41" t="inlineStr"/>
      <c r="E2" s="41" t="inlineStr"/>
    </row>
    <row r="3" ht="22" customHeight="1">
      <c r="A3" s="6" t="inlineStr">
        <is>
          <t>项目 Item</t>
        </is>
      </c>
      <c r="B3" s="6" t="inlineStr">
        <is>
          <t>说明 Description</t>
        </is>
      </c>
      <c r="C3" s="6" t="inlineStr">
        <is>
          <t>尺寸 Dimension (mm)</t>
        </is>
      </c>
      <c r="D3" s="6" t="inlineStr">
        <is>
          <t>步数 Step</t>
        </is>
      </c>
      <c r="E3" s="6" t="inlineStr">
        <is>
          <t>Check (mm/step)</t>
        </is>
      </c>
    </row>
    <row r="4" ht="22" customHeight="1">
      <c r="A4" s="33" t="inlineStr">
        <is>
          <t>F1</t>
        </is>
      </c>
      <c r="B4" s="8" t="inlineStr">
        <is>
          <t>FOCUS: TELE INF(VIS) ～ Focus Sensor</t>
        </is>
      </c>
      <c r="C4" s="42" t="n">
        <v>1.57</v>
      </c>
      <c r="D4" s="43" t="n">
        <v>157</v>
      </c>
      <c r="E4" s="42">
        <f>C4/D4</f>
        <v/>
      </c>
    </row>
    <row r="5" ht="22" customHeight="1">
      <c r="A5" s="33" t="inlineStr">
        <is>
          <t>F2</t>
        </is>
      </c>
      <c r="B5" s="10" t="inlineStr">
        <is>
          <t>FOCUS: TELE INF(VIS) ～ Focus (NEAR) 3 m IR</t>
        </is>
      </c>
      <c r="C5" s="44" t="n">
        <v>4.34</v>
      </c>
      <c r="D5" s="45" t="n">
        <v>434</v>
      </c>
      <c r="E5" s="44">
        <f>C5/D5</f>
        <v/>
      </c>
    </row>
    <row r="6" ht="22" customHeight="1">
      <c r="A6" s="33" t="inlineStr">
        <is>
          <t>F3</t>
        </is>
      </c>
      <c r="B6" s="8" t="inlineStr">
        <is>
          <t>FOCUS: Near 端机构余量 (Near end mechanism margin)</t>
        </is>
      </c>
      <c r="C6" s="42" t="n">
        <v>0.78</v>
      </c>
      <c r="D6" s="43" t="n">
        <v>78</v>
      </c>
      <c r="E6" s="42">
        <f>C6/D6</f>
        <v/>
      </c>
    </row>
    <row r="7" ht="22" customHeight="1">
      <c r="A7" s="33" t="inlineStr">
        <is>
          <t>F4</t>
        </is>
      </c>
      <c r="B7" s="10" t="inlineStr">
        <is>
          <t>FOCUS: Far 端机构余量 (Far end mechanism margin)</t>
        </is>
      </c>
      <c r="C7" s="44" t="n">
        <v>0.97</v>
      </c>
      <c r="D7" s="45" t="n">
        <v>97</v>
      </c>
      <c r="E7" s="44">
        <f>C7/D7</f>
        <v/>
      </c>
    </row>
    <row r="8" ht="22" customHeight="1">
      <c r="A8" s="33" t="inlineStr">
        <is>
          <t>F5</t>
        </is>
      </c>
      <c r="B8" s="8" t="inlineStr">
        <is>
          <t>FOCUS: TELE INF(VIS) ～ WIDE INF(VIS)</t>
        </is>
      </c>
      <c r="C8" s="42" t="n">
        <v>1.29</v>
      </c>
      <c r="D8" s="43" t="n">
        <v>129</v>
      </c>
      <c r="E8" s="42">
        <f>C8/D8</f>
        <v/>
      </c>
    </row>
    <row r="9" ht="22" customHeight="1">
      <c r="A9" s="35" t="inlineStr">
        <is>
          <t>Z1</t>
        </is>
      </c>
      <c r="B9" s="10" t="inlineStr">
        <is>
          <t>ZOOM: TELE ～ Focus (NEAR) 3 m IR</t>
        </is>
      </c>
      <c r="C9" s="44" t="n">
        <v>6.12</v>
      </c>
      <c r="D9" s="45" t="n">
        <v>306</v>
      </c>
      <c r="E9" s="44">
        <f>C9/D9</f>
        <v/>
      </c>
    </row>
    <row r="10" ht="22" customHeight="1">
      <c r="A10" s="35" t="inlineStr">
        <is>
          <t>Z2</t>
        </is>
      </c>
      <c r="B10" s="8" t="inlineStr">
        <is>
          <t>ZOOM: TELE 端 ～ Zoom sensor</t>
        </is>
      </c>
      <c r="C10" s="42" t="n">
        <v>5.56</v>
      </c>
      <c r="D10" s="43" t="n">
        <v>278</v>
      </c>
      <c r="E10" s="42">
        <f>C10/D10</f>
        <v/>
      </c>
    </row>
    <row r="11" ht="22" customHeight="1">
      <c r="A11" s="35" t="inlineStr">
        <is>
          <t>Z3</t>
        </is>
      </c>
      <c r="B11" s="10" t="inlineStr">
        <is>
          <t>ZOOM: TELE — WIDE</t>
        </is>
      </c>
      <c r="C11" s="44" t="n">
        <v>19.42</v>
      </c>
      <c r="D11" s="45" t="n">
        <v>971</v>
      </c>
      <c r="E11" s="44">
        <f>C11/D11</f>
        <v/>
      </c>
    </row>
    <row r="12" ht="22" customHeight="1">
      <c r="A12" s="35" t="inlineStr">
        <is>
          <t>Z4</t>
        </is>
      </c>
      <c r="B12" s="8" t="inlineStr">
        <is>
          <t>ZOOM: TELE 端机构余量 (TELE end mechanism margin)</t>
        </is>
      </c>
      <c r="C12" s="42" t="n">
        <v>0.9399999999999999</v>
      </c>
      <c r="D12" s="43" t="n">
        <v>47</v>
      </c>
      <c r="E12" s="42">
        <f>C12/D12</f>
        <v/>
      </c>
    </row>
    <row r="13" ht="22" customHeight="1">
      <c r="A13" s="35" t="inlineStr">
        <is>
          <t>Z5</t>
        </is>
      </c>
      <c r="B13" s="10" t="inlineStr">
        <is>
          <t>ZOOM: WIDE 端机构余量 (WIDE end mechanism margin)</t>
        </is>
      </c>
      <c r="C13" s="44" t="n">
        <v>0.6</v>
      </c>
      <c r="D13" s="45" t="n">
        <v>30</v>
      </c>
      <c r="E13" s="44">
        <f>C13/D13</f>
        <v/>
      </c>
    </row>
    <row r="15" ht="18" customHeight="1">
      <c r="A15" s="14" t="inlineStr">
        <is>
          <t>Check column = Dimension / Step and should equal 0.01 mm (Focus) or 0.02 mm (Zoom).</t>
        </is>
      </c>
    </row>
  </sheetData>
  <mergeCells count="2">
    <mergeCell ref="A15:E15"/>
    <mergeCell ref="A1:E1"/>
  </mergeCells>
  <pageMargins left="0.75" right="0.75" top="1" bottom="1" header="0.5" footer="0.5"/>
  <pageSetup paperSize="9" fitToHeight="0" fitToWidth="1"/>
  <headerFooter>
    <oddHeader>&amp;LConfidential  ·  嘉兴中润光学&amp;RF139T-4  90.S08600.104</oddHeader>
    <oddFooter>&amp;C&amp;A  |  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50" customWidth="1" min="4" max="4"/>
  </cols>
  <sheetData>
    <row r="1" ht="24" customHeight="1">
      <c r="A1" s="4" t="inlineStr">
        <is>
          <t>12. 机构外形图  Mechanical Outside Drawing  (numeric callouts)</t>
        </is>
      </c>
      <c r="B1" s="5" t="n"/>
      <c r="C1" s="5" t="n"/>
      <c r="D1" s="5" t="n"/>
    </row>
    <row r="2" ht="22" customHeight="1">
      <c r="A2" s="6" t="inlineStr">
        <is>
          <t>Item</t>
        </is>
      </c>
      <c r="B2" s="6" t="inlineStr">
        <is>
          <t>Value</t>
        </is>
      </c>
      <c r="C2" s="6" t="inlineStr">
        <is>
          <t>Tolerance</t>
        </is>
      </c>
      <c r="D2" s="6" t="inlineStr">
        <is>
          <t>Note</t>
        </is>
      </c>
    </row>
    <row r="3" ht="28" customHeight="1">
      <c r="A3" s="8" t="inlineStr">
        <is>
          <t>Overall length</t>
        </is>
      </c>
      <c r="B3" s="8" t="inlineStr">
        <is>
          <t>83.88 mm</t>
        </is>
      </c>
      <c r="C3" s="8" t="inlineStr">
        <is>
          <t>±0.5</t>
        </is>
      </c>
      <c r="D3" s="8" t="inlineStr">
        <is>
          <t>PDF page 19</t>
        </is>
      </c>
    </row>
    <row r="4" ht="28" customHeight="1">
      <c r="A4" s="10" t="inlineStr">
        <is>
          <t>Barrel diameter</t>
        </is>
      </c>
      <c r="B4" s="10" t="inlineStr">
        <is>
          <t>Φ40 mm</t>
        </is>
      </c>
      <c r="C4" s="10" t="inlineStr">
        <is>
          <t>MAX 24.9 / 24.1 noted on FPC sides</t>
        </is>
      </c>
      <c r="D4" s="10" t="inlineStr">
        <is>
          <t>image plane / gold finger up</t>
        </is>
      </c>
    </row>
    <row r="5" ht="28" customHeight="1">
      <c r="A5" s="8" t="inlineStr">
        <is>
          <t>Mechanical back focus MBF</t>
        </is>
      </c>
      <c r="B5" s="8" t="inlineStr">
        <is>
          <t>+0.76 mm</t>
        </is>
      </c>
      <c r="C5" s="8" t="inlineStr">
        <is>
          <t>in air</t>
        </is>
      </c>
      <c r="D5" s="8" t="inlineStr">
        <is>
          <t>datum A</t>
        </is>
      </c>
    </row>
    <row r="6" ht="28" customHeight="1">
      <c r="A6" s="10" t="inlineStr">
        <is>
          <t>Datum A runout</t>
        </is>
      </c>
      <c r="B6" s="10" t="inlineStr">
        <is>
          <t>0.02</t>
        </is>
      </c>
      <c r="C6" s="10" t="inlineStr"/>
      <c r="D6" s="10" t="inlineStr">
        <is>
          <t>concentricity symbol</t>
        </is>
      </c>
    </row>
    <row r="7" ht="28" customHeight="1">
      <c r="A7" s="8" t="inlineStr">
        <is>
          <t>Mount / body stack</t>
        </is>
      </c>
      <c r="B7" s="8" t="inlineStr">
        <is>
          <t>6.75 / 25.93 mm</t>
        </is>
      </c>
      <c r="C7" s="8" t="inlineStr">
        <is>
          <t>±0.5</t>
        </is>
      </c>
      <c r="D7" s="8" t="inlineStr"/>
    </row>
    <row r="8" ht="28" customHeight="1">
      <c r="A8" s="10" t="inlineStr">
        <is>
          <t>58.27 / 32.27 / 33.37 mm</t>
        </is>
      </c>
      <c r="B8" s="10" t="inlineStr">
        <is>
          <t>see drawing</t>
        </is>
      </c>
      <c r="C8" s="10" t="inlineStr">
        <is>
          <t>±0.2 / ±0.2 / ±0.1</t>
        </is>
      </c>
      <c r="D8" s="10" t="inlineStr">
        <is>
          <t>axial stations</t>
        </is>
      </c>
    </row>
    <row r="9" ht="28" customHeight="1">
      <c r="A9" s="8" t="inlineStr">
        <is>
          <t>36.57 / 11.07 / 33.87 mm</t>
        </is>
      </c>
      <c r="B9" s="8" t="inlineStr">
        <is>
          <t>see drawing</t>
        </is>
      </c>
      <c r="C9" s="8" t="inlineStr">
        <is>
          <t>±0.2 / ±0.2 / ±0.1</t>
        </is>
      </c>
      <c r="D9" s="8" t="inlineStr"/>
    </row>
    <row r="10" ht="28" customHeight="1">
      <c r="A10" s="10" t="inlineStr">
        <is>
          <t>Holes Φ1.7 × depth 5</t>
        </is>
      </c>
      <c r="B10" s="10" t="inlineStr">
        <is>
          <t>multiple</t>
        </is>
      </c>
      <c r="C10" s="10" t="inlineStr"/>
      <c r="D10" s="10" t="inlineStr">
        <is>
          <t>incl. mold glue-relief</t>
        </is>
      </c>
    </row>
    <row r="11" ht="28" customHeight="1">
      <c r="A11" s="8" t="inlineStr">
        <is>
          <t>Unspecified linear tol.</t>
        </is>
      </c>
      <c r="B11" s="8" t="inlineStr">
        <is>
          <t>0–6: ±0.1; 6–30: ±0.15; 30–100: ±0.2; &gt;100: ±0.3</t>
        </is>
      </c>
      <c r="C11" s="8" t="inlineStr">
        <is>
          <t>angle ±0.5°</t>
        </is>
      </c>
      <c r="D11" s="8" t="inlineStr">
        <is>
          <t>A2, 1:1, mm</t>
        </is>
      </c>
    </row>
    <row r="12" ht="28" customHeight="1">
      <c r="A12" s="10" t="inlineStr">
        <is>
          <t>Drawing control</t>
        </is>
      </c>
      <c r="B12" s="10" t="inlineStr">
        <is>
          <t>Hunter / Skull / Owen 2021.08.24</t>
        </is>
      </c>
      <c r="C12" s="10" t="inlineStr">
        <is>
          <t>Rev A</t>
        </is>
      </c>
      <c r="D12" s="10" t="inlineStr">
        <is>
          <t>5X (104 组态) 外形图</t>
        </is>
      </c>
    </row>
    <row r="14" ht="18" customHeight="1">
      <c r="A14" s="14" t="inlineStr">
        <is>
          <t>CAD graphics cannot be reconstructed as cells. Use the original PDF page 19 as the mechanical authority. 2D viewpoint drawings are on pages 20–21; tabulated data is on sheet 14.</t>
        </is>
      </c>
    </row>
  </sheetData>
  <mergeCells count="2">
    <mergeCell ref="A1:D1"/>
    <mergeCell ref="A14:D14"/>
  </mergeCells>
  <pageMargins left="0.75" right="0.75" top="1" bottom="1" header="0.5" footer="0.5"/>
  <pageSetup paperSize="9" fitToHeight="0" fitToWidth="1"/>
  <headerFooter>
    <oddHeader>&amp;LConfidential  ·  嘉兴中润光学&amp;RF139T-4  90.S08600.104</oddHeader>
    <oddFooter>&amp;C&amp;A  |  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2" customWidth="1" min="3" max="3"/>
    <col width="22" customWidth="1" min="4" max="4"/>
    <col width="18" customWidth="1" min="5" max="5"/>
  </cols>
  <sheetData>
    <row r="1" ht="24" customHeight="1">
      <c r="A1" s="4" t="inlineStr">
        <is>
          <t>13. 2D视点图  2D View Point Drawing</t>
        </is>
      </c>
      <c r="B1" s="5" t="n"/>
      <c r="C1" s="5" t="n"/>
      <c r="D1" s="5" t="n"/>
      <c r="E1" s="5" t="n"/>
    </row>
    <row r="2" ht="24" customHeight="1">
      <c r="A2" s="46" t="inlineStr">
        <is>
          <t>5X 4K 最大视场角视点数据  View Point Data of Maximum View Angle</t>
        </is>
      </c>
      <c r="B2" s="47" t="n"/>
      <c r="C2" s="47" t="n"/>
      <c r="D2" s="47" t="n"/>
      <c r="E2" s="47" t="n"/>
    </row>
    <row r="3" ht="22" customHeight="1">
      <c r="A3" s="6" t="inlineStr">
        <is>
          <t>像高 Image Height</t>
        </is>
      </c>
      <c r="B3" s="6" t="inlineStr">
        <is>
          <t>视场角 FOV (°)</t>
        </is>
      </c>
      <c r="C3" s="6" t="inlineStr">
        <is>
          <t>视点高度 Height (mm)</t>
        </is>
      </c>
      <c r="D3" s="6" t="inlineStr">
        <is>
          <t>视点深度 Depth (mm)</t>
        </is>
      </c>
      <c r="E3" s="6" t="inlineStr">
        <is>
          <t>Axis</t>
        </is>
      </c>
    </row>
    <row r="4" ht="22" customHeight="1">
      <c r="A4" s="15" t="inlineStr">
        <is>
          <t>D: φ8.81+0.4</t>
        </is>
      </c>
      <c r="B4" s="26" t="n">
        <v>48.7</v>
      </c>
      <c r="C4" s="15" t="inlineStr">
        <is>
          <t>φ28.45</t>
        </is>
      </c>
      <c r="D4" s="48" t="n">
        <v>33.62</v>
      </c>
      <c r="E4" s="15" t="inlineStr">
        <is>
          <t>DFOV 48.7°</t>
        </is>
      </c>
    </row>
    <row r="5" ht="22" customHeight="1">
      <c r="A5" s="16" t="inlineStr">
        <is>
          <t>H: φ7.68+0.4</t>
        </is>
      </c>
      <c r="B5" s="28" t="n">
        <v>43.1</v>
      </c>
      <c r="C5" s="16" t="inlineStr">
        <is>
          <t>φ26.26</t>
        </is>
      </c>
      <c r="D5" s="49" t="n">
        <v>35.15</v>
      </c>
      <c r="E5" s="16" t="inlineStr">
        <is>
          <t>HFOV 43.1°</t>
        </is>
      </c>
    </row>
    <row r="6" ht="22" customHeight="1">
      <c r="A6" s="15" t="inlineStr">
        <is>
          <t>V: φ4.32+0.4</t>
        </is>
      </c>
      <c r="B6" s="26" t="n">
        <v>25.5</v>
      </c>
      <c r="C6" s="15" t="inlineStr">
        <is>
          <t>φ20.19</t>
        </is>
      </c>
      <c r="D6" s="48" t="n">
        <v>45.65</v>
      </c>
      <c r="E6" s="15" t="inlineStr">
        <is>
          <t>VFOV 25.5°</t>
        </is>
      </c>
    </row>
    <row r="8" ht="24" customHeight="1">
      <c r="A8" s="50" t="inlineStr">
        <is>
          <t>5X 4K 最高视点视点数据  View Point Data of Highest View Point</t>
        </is>
      </c>
      <c r="B8" s="51" t="n"/>
      <c r="C8" s="51" t="n"/>
      <c r="D8" s="51" t="n"/>
      <c r="E8" s="51" t="n"/>
    </row>
    <row r="9" ht="22" customHeight="1">
      <c r="A9" s="6" t="inlineStr">
        <is>
          <t>像高 Image Height</t>
        </is>
      </c>
      <c r="B9" s="6" t="inlineStr">
        <is>
          <t>视场角 FOV (°)</t>
        </is>
      </c>
      <c r="C9" s="6" t="inlineStr">
        <is>
          <t>视点高度 Height (mm)</t>
        </is>
      </c>
      <c r="D9" s="6" t="inlineStr">
        <is>
          <t>视点深度 Depth (mm)</t>
        </is>
      </c>
      <c r="E9" s="6" t="inlineStr">
        <is>
          <t>Axis</t>
        </is>
      </c>
    </row>
    <row r="10" ht="22" customHeight="1">
      <c r="A10" s="15" t="inlineStr">
        <is>
          <t>D: φ8.81+0.4</t>
        </is>
      </c>
      <c r="B10" s="26" t="n">
        <v>36.5</v>
      </c>
      <c r="C10" s="15" t="inlineStr">
        <is>
          <t>φ34.17</t>
        </is>
      </c>
      <c r="D10" s="48" t="n">
        <v>55.11</v>
      </c>
      <c r="E10" s="15" t="inlineStr">
        <is>
          <t>DFOV 36.5°</t>
        </is>
      </c>
    </row>
    <row r="11" ht="22" customHeight="1">
      <c r="A11" s="16" t="inlineStr">
        <is>
          <t>H: φ7.68+0.4</t>
        </is>
      </c>
      <c r="B11" s="28" t="n">
        <v>17.8</v>
      </c>
      <c r="C11" s="16" t="inlineStr">
        <is>
          <t>φ33.59</t>
        </is>
      </c>
      <c r="D11" s="49" t="n">
        <v>110.6</v>
      </c>
      <c r="E11" s="16" t="inlineStr">
        <is>
          <t>HFOV 17.8°</t>
        </is>
      </c>
    </row>
    <row r="12" ht="22" customHeight="1">
      <c r="A12" s="15" t="inlineStr">
        <is>
          <t>V: φ4.32+0.4</t>
        </is>
      </c>
      <c r="B12" s="26" t="n">
        <v>7.9</v>
      </c>
      <c r="C12" s="15" t="inlineStr">
        <is>
          <t>φ32.39</t>
        </is>
      </c>
      <c r="D12" s="48" t="n">
        <v>237.82</v>
      </c>
      <c r="E12" s="15" t="inlineStr">
        <is>
          <t>VFOV 7.9°</t>
        </is>
      </c>
    </row>
    <row r="14" ht="18" customHeight="1">
      <c r="A14" s="14" t="inlineStr">
        <is>
          <t>Drawings dated Hunter / Skull / Owen 2021/8/25. Title on PDF uses IMAX334; sensor in optical spec is IMX334.</t>
        </is>
      </c>
    </row>
  </sheetData>
  <mergeCells count="4">
    <mergeCell ref="A2:E2"/>
    <mergeCell ref="A14:E14"/>
    <mergeCell ref="A1:E1"/>
    <mergeCell ref="A8:E8"/>
  </mergeCells>
  <pageMargins left="0.75" right="0.75" top="1" bottom="1" header="0.5" footer="0.5"/>
  <pageSetup paperSize="9" fitToHeight="0" fitToWidth="1"/>
  <headerFooter>
    <oddHeader>&amp;LConfidential  ·  嘉兴中润光学&amp;RF139T-4  90.S08600.104</oddHeader>
    <oddFooter>&amp;C&amp;A  |  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</cols>
  <sheetData>
    <row r="1" ht="24" customHeight="1">
      <c r="A1" s="4" t="inlineStr">
        <is>
          <t>14. Iris &amp; Fno 规格  (Wide)  Iris Step / Diameter / Fno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</row>
    <row r="2" ht="32" customHeight="1">
      <c r="A2" s="52" t="inlineStr">
        <is>
          <t>下表为 Wide 时，Iris 步数、通光孔径与 Fno 的对应关系。 The following table shows the corresponding relationship between the Iris Step, Diameter and the Fno while Wide.</t>
        </is>
      </c>
    </row>
    <row r="3" ht="22" customHeight="1">
      <c r="A3" s="6" t="inlineStr">
        <is>
          <t>Iris Step</t>
        </is>
      </c>
      <c r="B3" s="6" t="inlineStr">
        <is>
          <t>Fno</t>
        </is>
      </c>
      <c r="C3" s="6" t="inlineStr">
        <is>
          <t>Diameter Φ (mm)</t>
        </is>
      </c>
      <c r="D3" s="6" t="inlineStr">
        <is>
          <t>Open Area (mm²)</t>
        </is>
      </c>
      <c r="E3" s="6" t="inlineStr">
        <is>
          <t>A+</t>
        </is>
      </c>
      <c r="F3" s="6" t="inlineStr">
        <is>
          <t>A-</t>
        </is>
      </c>
      <c r="G3" s="6" t="inlineStr">
        <is>
          <t>B+</t>
        </is>
      </c>
      <c r="H3" s="6" t="inlineStr">
        <is>
          <t>B-</t>
        </is>
      </c>
      <c r="I3" s="6" t="inlineStr">
        <is>
          <t>Area check π·(Φ/2)²</t>
        </is>
      </c>
      <c r="J3" s="6" t="inlineStr">
        <is>
          <t>State</t>
        </is>
      </c>
    </row>
    <row r="4" ht="18" customHeight="1">
      <c r="A4" s="19" t="n">
        <v>0</v>
      </c>
      <c r="B4" s="48" t="n">
        <v>1.29</v>
      </c>
      <c r="C4" s="48" t="n">
        <v>17.4</v>
      </c>
      <c r="D4" s="53" t="n">
        <v>237.787</v>
      </c>
      <c r="E4" s="17" t="inlineStr">
        <is>
          <t>H</t>
        </is>
      </c>
      <c r="F4" s="23" t="inlineStr">
        <is>
          <t>L</t>
        </is>
      </c>
      <c r="G4" s="23" t="inlineStr">
        <is>
          <t>L</t>
        </is>
      </c>
      <c r="H4" s="17" t="inlineStr">
        <is>
          <t>H</t>
        </is>
      </c>
      <c r="I4" s="53">
        <f>PI()*(C4/2)^2</f>
        <v/>
      </c>
      <c r="J4" s="15" t="inlineStr">
        <is>
          <t>HLLH</t>
        </is>
      </c>
    </row>
    <row r="5" ht="18" customHeight="1">
      <c r="A5" s="21" t="n">
        <v>1</v>
      </c>
      <c r="B5" s="49" t="n">
        <v>1.29</v>
      </c>
      <c r="C5" s="49" t="n">
        <v>17.4</v>
      </c>
      <c r="D5" s="54" t="n">
        <v>237.787</v>
      </c>
      <c r="E5" s="17" t="inlineStr">
        <is>
          <t>H</t>
        </is>
      </c>
      <c r="F5" s="23" t="inlineStr">
        <is>
          <t>L</t>
        </is>
      </c>
      <c r="G5" s="17" t="inlineStr">
        <is>
          <t>H</t>
        </is>
      </c>
      <c r="H5" s="23" t="inlineStr">
        <is>
          <t>L</t>
        </is>
      </c>
      <c r="I5" s="54">
        <f>PI()*(C5/2)^2</f>
        <v/>
      </c>
      <c r="J5" s="16" t="inlineStr">
        <is>
          <t>HLHL</t>
        </is>
      </c>
    </row>
    <row r="6" ht="18" customHeight="1">
      <c r="A6" s="19" t="n">
        <v>2</v>
      </c>
      <c r="B6" s="48" t="n">
        <v>1.3</v>
      </c>
      <c r="C6" s="48" t="n">
        <v>17.31</v>
      </c>
      <c r="D6" s="53" t="n">
        <v>235.302</v>
      </c>
      <c r="E6" s="23" t="inlineStr">
        <is>
          <t>L</t>
        </is>
      </c>
      <c r="F6" s="17" t="inlineStr">
        <is>
          <t>H</t>
        </is>
      </c>
      <c r="G6" s="17" t="inlineStr">
        <is>
          <t>H</t>
        </is>
      </c>
      <c r="H6" s="23" t="inlineStr">
        <is>
          <t>L</t>
        </is>
      </c>
      <c r="I6" s="53">
        <f>PI()*(C6/2)^2</f>
        <v/>
      </c>
      <c r="J6" s="15" t="inlineStr">
        <is>
          <t>LHHL</t>
        </is>
      </c>
    </row>
    <row r="7" ht="18" customHeight="1">
      <c r="A7" s="21" t="n">
        <v>3</v>
      </c>
      <c r="B7" s="49" t="n">
        <v>1.31</v>
      </c>
      <c r="C7" s="49" t="n">
        <v>17.21</v>
      </c>
      <c r="D7" s="54" t="n">
        <v>232.509</v>
      </c>
      <c r="E7" s="23" t="inlineStr">
        <is>
          <t>L</t>
        </is>
      </c>
      <c r="F7" s="17" t="inlineStr">
        <is>
          <t>H</t>
        </is>
      </c>
      <c r="G7" s="23" t="inlineStr">
        <is>
          <t>L</t>
        </is>
      </c>
      <c r="H7" s="17" t="inlineStr">
        <is>
          <t>H</t>
        </is>
      </c>
      <c r="I7" s="54">
        <f>PI()*(C7/2)^2</f>
        <v/>
      </c>
      <c r="J7" s="16" t="inlineStr">
        <is>
          <t>LHLH</t>
        </is>
      </c>
    </row>
    <row r="8" ht="18" customHeight="1">
      <c r="A8" s="19" t="n">
        <v>4</v>
      </c>
      <c r="B8" s="48" t="n">
        <v>1.31</v>
      </c>
      <c r="C8" s="48" t="n">
        <v>17.1</v>
      </c>
      <c r="D8" s="53" t="n">
        <v>229.429</v>
      </c>
      <c r="E8" s="17" t="inlineStr">
        <is>
          <t>H</t>
        </is>
      </c>
      <c r="F8" s="23" t="inlineStr">
        <is>
          <t>L</t>
        </is>
      </c>
      <c r="G8" s="23" t="inlineStr">
        <is>
          <t>L</t>
        </is>
      </c>
      <c r="H8" s="17" t="inlineStr">
        <is>
          <t>H</t>
        </is>
      </c>
      <c r="I8" s="53">
        <f>PI()*(C8/2)^2</f>
        <v/>
      </c>
      <c r="J8" s="15" t="inlineStr">
        <is>
          <t>HLLH</t>
        </is>
      </c>
    </row>
    <row r="9" ht="18" customHeight="1">
      <c r="A9" s="21" t="n">
        <v>5</v>
      </c>
      <c r="B9" s="49" t="n">
        <v>1.32</v>
      </c>
      <c r="C9" s="49" t="n">
        <v>16.97</v>
      </c>
      <c r="D9" s="54" t="n">
        <v>226.13</v>
      </c>
      <c r="E9" s="17" t="inlineStr">
        <is>
          <t>H</t>
        </is>
      </c>
      <c r="F9" s="23" t="inlineStr">
        <is>
          <t>L</t>
        </is>
      </c>
      <c r="G9" s="17" t="inlineStr">
        <is>
          <t>H</t>
        </is>
      </c>
      <c r="H9" s="23" t="inlineStr">
        <is>
          <t>L</t>
        </is>
      </c>
      <c r="I9" s="54">
        <f>PI()*(C9/2)^2</f>
        <v/>
      </c>
      <c r="J9" s="16" t="inlineStr">
        <is>
          <t>HLHL</t>
        </is>
      </c>
    </row>
    <row r="10" ht="18" customHeight="1">
      <c r="A10" s="19" t="n">
        <v>6</v>
      </c>
      <c r="B10" s="48" t="n">
        <v>1.33</v>
      </c>
      <c r="C10" s="48" t="n">
        <v>16.84</v>
      </c>
      <c r="D10" s="53" t="n">
        <v>222.644</v>
      </c>
      <c r="E10" s="23" t="inlineStr">
        <is>
          <t>L</t>
        </is>
      </c>
      <c r="F10" s="17" t="inlineStr">
        <is>
          <t>H</t>
        </is>
      </c>
      <c r="G10" s="17" t="inlineStr">
        <is>
          <t>H</t>
        </is>
      </c>
      <c r="H10" s="23" t="inlineStr">
        <is>
          <t>L</t>
        </is>
      </c>
      <c r="I10" s="53">
        <f>PI()*(C10/2)^2</f>
        <v/>
      </c>
      <c r="J10" s="15" t="inlineStr">
        <is>
          <t>LHHL</t>
        </is>
      </c>
    </row>
    <row r="11" ht="18" customHeight="1">
      <c r="A11" s="21" t="n">
        <v>7</v>
      </c>
      <c r="B11" s="49" t="n">
        <v>1.34</v>
      </c>
      <c r="C11" s="49" t="n">
        <v>16.7</v>
      </c>
      <c r="D11" s="54" t="n">
        <v>218.988</v>
      </c>
      <c r="E11" s="23" t="inlineStr">
        <is>
          <t>L</t>
        </is>
      </c>
      <c r="F11" s="17" t="inlineStr">
        <is>
          <t>H</t>
        </is>
      </c>
      <c r="G11" s="23" t="inlineStr">
        <is>
          <t>L</t>
        </is>
      </c>
      <c r="H11" s="17" t="inlineStr">
        <is>
          <t>H</t>
        </is>
      </c>
      <c r="I11" s="54">
        <f>PI()*(C11/2)^2</f>
        <v/>
      </c>
      <c r="J11" s="16" t="inlineStr">
        <is>
          <t>LHLH</t>
        </is>
      </c>
    </row>
    <row r="12" ht="18" customHeight="1">
      <c r="A12" s="19" t="n">
        <v>8</v>
      </c>
      <c r="B12" s="48" t="n">
        <v>1.36</v>
      </c>
      <c r="C12" s="48" t="n">
        <v>16.56</v>
      </c>
      <c r="D12" s="53" t="n">
        <v>215.172</v>
      </c>
      <c r="E12" s="17" t="inlineStr">
        <is>
          <t>H</t>
        </is>
      </c>
      <c r="F12" s="23" t="inlineStr">
        <is>
          <t>L</t>
        </is>
      </c>
      <c r="G12" s="23" t="inlineStr">
        <is>
          <t>L</t>
        </is>
      </c>
      <c r="H12" s="17" t="inlineStr">
        <is>
          <t>H</t>
        </is>
      </c>
      <c r="I12" s="53">
        <f>PI()*(C12/2)^2</f>
        <v/>
      </c>
      <c r="J12" s="15" t="inlineStr">
        <is>
          <t>HLLH</t>
        </is>
      </c>
    </row>
    <row r="13" ht="18" customHeight="1">
      <c r="A13" s="21" t="n">
        <v>9</v>
      </c>
      <c r="B13" s="49" t="n">
        <v>1.37</v>
      </c>
      <c r="C13" s="49" t="n">
        <v>16.4</v>
      </c>
      <c r="D13" s="54" t="n">
        <v>211.204</v>
      </c>
      <c r="E13" s="17" t="inlineStr">
        <is>
          <t>H</t>
        </is>
      </c>
      <c r="F13" s="23" t="inlineStr">
        <is>
          <t>L</t>
        </is>
      </c>
      <c r="G13" s="17" t="inlineStr">
        <is>
          <t>H</t>
        </is>
      </c>
      <c r="H13" s="23" t="inlineStr">
        <is>
          <t>L</t>
        </is>
      </c>
      <c r="I13" s="54">
        <f>PI()*(C13/2)^2</f>
        <v/>
      </c>
      <c r="J13" s="16" t="inlineStr">
        <is>
          <t>HLHL</t>
        </is>
      </c>
    </row>
    <row r="14" ht="18" customHeight="1">
      <c r="A14" s="19" t="n">
        <v>10</v>
      </c>
      <c r="B14" s="48" t="n">
        <v>1.38</v>
      </c>
      <c r="C14" s="48" t="n">
        <v>16.25</v>
      </c>
      <c r="D14" s="53" t="n">
        <v>207.189</v>
      </c>
      <c r="E14" s="23" t="inlineStr">
        <is>
          <t>L</t>
        </is>
      </c>
      <c r="F14" s="17" t="inlineStr">
        <is>
          <t>H</t>
        </is>
      </c>
      <c r="G14" s="17" t="inlineStr">
        <is>
          <t>H</t>
        </is>
      </c>
      <c r="H14" s="23" t="inlineStr">
        <is>
          <t>L</t>
        </is>
      </c>
      <c r="I14" s="53">
        <f>PI()*(C14/2)^2</f>
        <v/>
      </c>
      <c r="J14" s="15" t="inlineStr">
        <is>
          <t>LHHL</t>
        </is>
      </c>
    </row>
    <row r="15" ht="18" customHeight="1">
      <c r="A15" s="21" t="n">
        <v>11</v>
      </c>
      <c r="B15" s="49" t="n">
        <v>1.39</v>
      </c>
      <c r="C15" s="49" t="n">
        <v>16.09</v>
      </c>
      <c r="D15" s="54" t="n">
        <v>203.149</v>
      </c>
      <c r="E15" s="23" t="inlineStr">
        <is>
          <t>L</t>
        </is>
      </c>
      <c r="F15" s="17" t="inlineStr">
        <is>
          <t>H</t>
        </is>
      </c>
      <c r="G15" s="23" t="inlineStr">
        <is>
          <t>L</t>
        </is>
      </c>
      <c r="H15" s="17" t="inlineStr">
        <is>
          <t>H</t>
        </is>
      </c>
      <c r="I15" s="54">
        <f>PI()*(C15/2)^2</f>
        <v/>
      </c>
      <c r="J15" s="16" t="inlineStr">
        <is>
          <t>LHLH</t>
        </is>
      </c>
    </row>
    <row r="16" ht="18" customHeight="1">
      <c r="A16" s="19" t="n">
        <v>12</v>
      </c>
      <c r="B16" s="48" t="n">
        <v>1.41</v>
      </c>
      <c r="C16" s="48" t="n">
        <v>15.93</v>
      </c>
      <c r="D16" s="53" t="n">
        <v>199.088</v>
      </c>
      <c r="E16" s="17" t="inlineStr">
        <is>
          <t>H</t>
        </is>
      </c>
      <c r="F16" s="23" t="inlineStr">
        <is>
          <t>L</t>
        </is>
      </c>
      <c r="G16" s="23" t="inlineStr">
        <is>
          <t>L</t>
        </is>
      </c>
      <c r="H16" s="17" t="inlineStr">
        <is>
          <t>H</t>
        </is>
      </c>
      <c r="I16" s="53">
        <f>PI()*(C16/2)^2</f>
        <v/>
      </c>
      <c r="J16" s="15" t="inlineStr">
        <is>
          <t>HLLH</t>
        </is>
      </c>
    </row>
    <row r="17" ht="18" customHeight="1">
      <c r="A17" s="21" t="n">
        <v>13</v>
      </c>
      <c r="B17" s="49" t="n">
        <v>1.42</v>
      </c>
      <c r="C17" s="49" t="n">
        <v>15.76</v>
      </c>
      <c r="D17" s="54" t="n">
        <v>195.009</v>
      </c>
      <c r="E17" s="17" t="inlineStr">
        <is>
          <t>H</t>
        </is>
      </c>
      <c r="F17" s="23" t="inlineStr">
        <is>
          <t>L</t>
        </is>
      </c>
      <c r="G17" s="17" t="inlineStr">
        <is>
          <t>H</t>
        </is>
      </c>
      <c r="H17" s="23" t="inlineStr">
        <is>
          <t>L</t>
        </is>
      </c>
      <c r="I17" s="54">
        <f>PI()*(C17/2)^2</f>
        <v/>
      </c>
      <c r="J17" s="16" t="inlineStr">
        <is>
          <t>HLHL</t>
        </is>
      </c>
    </row>
    <row r="18" ht="18" customHeight="1">
      <c r="A18" s="19" t="n">
        <v>14</v>
      </c>
      <c r="B18" s="48" t="n">
        <v>1.44</v>
      </c>
      <c r="C18" s="48" t="n">
        <v>15.59</v>
      </c>
      <c r="D18" s="53" t="n">
        <v>190.912</v>
      </c>
      <c r="E18" s="23" t="inlineStr">
        <is>
          <t>L</t>
        </is>
      </c>
      <c r="F18" s="17" t="inlineStr">
        <is>
          <t>H</t>
        </is>
      </c>
      <c r="G18" s="17" t="inlineStr">
        <is>
          <t>H</t>
        </is>
      </c>
      <c r="H18" s="23" t="inlineStr">
        <is>
          <t>L</t>
        </is>
      </c>
      <c r="I18" s="53">
        <f>PI()*(C18/2)^2</f>
        <v/>
      </c>
      <c r="J18" s="15" t="inlineStr">
        <is>
          <t>LHHL</t>
        </is>
      </c>
    </row>
    <row r="19" ht="18" customHeight="1">
      <c r="A19" s="21" t="n">
        <v>15</v>
      </c>
      <c r="B19" s="49" t="n">
        <v>1.45</v>
      </c>
      <c r="C19" s="49" t="n">
        <v>15.43</v>
      </c>
      <c r="D19" s="54" t="n">
        <v>186.801</v>
      </c>
      <c r="E19" s="23" t="inlineStr">
        <is>
          <t>L</t>
        </is>
      </c>
      <c r="F19" s="17" t="inlineStr">
        <is>
          <t>H</t>
        </is>
      </c>
      <c r="G19" s="23" t="inlineStr">
        <is>
          <t>L</t>
        </is>
      </c>
      <c r="H19" s="17" t="inlineStr">
        <is>
          <t>H</t>
        </is>
      </c>
      <c r="I19" s="54">
        <f>PI()*(C19/2)^2</f>
        <v/>
      </c>
      <c r="J19" s="16" t="inlineStr">
        <is>
          <t>LHLH</t>
        </is>
      </c>
    </row>
    <row r="20" ht="18" customHeight="1">
      <c r="A20" s="19" t="n">
        <v>16</v>
      </c>
      <c r="B20" s="48" t="n">
        <v>1.47</v>
      </c>
      <c r="C20" s="48" t="n">
        <v>15.25</v>
      </c>
      <c r="D20" s="53" t="n">
        <v>182.676</v>
      </c>
      <c r="E20" s="17" t="inlineStr">
        <is>
          <t>H</t>
        </is>
      </c>
      <c r="F20" s="23" t="inlineStr">
        <is>
          <t>L</t>
        </is>
      </c>
      <c r="G20" s="23" t="inlineStr">
        <is>
          <t>L</t>
        </is>
      </c>
      <c r="H20" s="17" t="inlineStr">
        <is>
          <t>H</t>
        </is>
      </c>
      <c r="I20" s="53">
        <f>PI()*(C20/2)^2</f>
        <v/>
      </c>
      <c r="J20" s="15" t="inlineStr">
        <is>
          <t>HLLH</t>
        </is>
      </c>
    </row>
    <row r="21" ht="18" customHeight="1">
      <c r="A21" s="21" t="n">
        <v>17</v>
      </c>
      <c r="B21" s="49" t="n">
        <v>1.48</v>
      </c>
      <c r="C21" s="49" t="n">
        <v>15.08</v>
      </c>
      <c r="D21" s="54" t="n">
        <v>178.54</v>
      </c>
      <c r="E21" s="17" t="inlineStr">
        <is>
          <t>H</t>
        </is>
      </c>
      <c r="F21" s="23" t="inlineStr">
        <is>
          <t>L</t>
        </is>
      </c>
      <c r="G21" s="17" t="inlineStr">
        <is>
          <t>H</t>
        </is>
      </c>
      <c r="H21" s="23" t="inlineStr">
        <is>
          <t>L</t>
        </is>
      </c>
      <c r="I21" s="54">
        <f>PI()*(C21/2)^2</f>
        <v/>
      </c>
      <c r="J21" s="16" t="inlineStr">
        <is>
          <t>HLHL</t>
        </is>
      </c>
    </row>
    <row r="22" ht="18" customHeight="1">
      <c r="A22" s="19" t="n">
        <v>18</v>
      </c>
      <c r="B22" s="48" t="n">
        <v>1.5</v>
      </c>
      <c r="C22" s="48" t="n">
        <v>14.91</v>
      </c>
      <c r="D22" s="53" t="n">
        <v>174.395</v>
      </c>
      <c r="E22" s="23" t="inlineStr">
        <is>
          <t>L</t>
        </is>
      </c>
      <c r="F22" s="17" t="inlineStr">
        <is>
          <t>H</t>
        </is>
      </c>
      <c r="G22" s="17" t="inlineStr">
        <is>
          <t>H</t>
        </is>
      </c>
      <c r="H22" s="23" t="inlineStr">
        <is>
          <t>L</t>
        </is>
      </c>
      <c r="I22" s="53">
        <f>PI()*(C22/2)^2</f>
        <v/>
      </c>
      <c r="J22" s="15" t="inlineStr">
        <is>
          <t>LHHL</t>
        </is>
      </c>
    </row>
    <row r="23" ht="18" customHeight="1">
      <c r="A23" s="21" t="n">
        <v>19</v>
      </c>
      <c r="B23" s="49" t="n">
        <v>1.52</v>
      </c>
      <c r="C23" s="49" t="n">
        <v>14.73</v>
      </c>
      <c r="D23" s="54" t="n">
        <v>170.243</v>
      </c>
      <c r="E23" s="23" t="inlineStr">
        <is>
          <t>L</t>
        </is>
      </c>
      <c r="F23" s="17" t="inlineStr">
        <is>
          <t>H</t>
        </is>
      </c>
      <c r="G23" s="23" t="inlineStr">
        <is>
          <t>L</t>
        </is>
      </c>
      <c r="H23" s="17" t="inlineStr">
        <is>
          <t>H</t>
        </is>
      </c>
      <c r="I23" s="54">
        <f>PI()*(C23/2)^2</f>
        <v/>
      </c>
      <c r="J23" s="16" t="inlineStr">
        <is>
          <t>LHLH</t>
        </is>
      </c>
    </row>
    <row r="24" ht="18" customHeight="1">
      <c r="A24" s="19" t="n">
        <v>20</v>
      </c>
      <c r="B24" s="48" t="n">
        <v>1.54</v>
      </c>
      <c r="C24" s="48" t="n">
        <v>14.55</v>
      </c>
      <c r="D24" s="53" t="n">
        <v>166.085</v>
      </c>
      <c r="E24" s="17" t="inlineStr">
        <is>
          <t>H</t>
        </is>
      </c>
      <c r="F24" s="23" t="inlineStr">
        <is>
          <t>L</t>
        </is>
      </c>
      <c r="G24" s="23" t="inlineStr">
        <is>
          <t>L</t>
        </is>
      </c>
      <c r="H24" s="17" t="inlineStr">
        <is>
          <t>H</t>
        </is>
      </c>
      <c r="I24" s="53">
        <f>PI()*(C24/2)^2</f>
        <v/>
      </c>
      <c r="J24" s="15" t="inlineStr">
        <is>
          <t>HLLH</t>
        </is>
      </c>
    </row>
    <row r="25" ht="18" customHeight="1">
      <c r="A25" s="21" t="n">
        <v>21</v>
      </c>
      <c r="B25" s="49" t="n">
        <v>1.56</v>
      </c>
      <c r="C25" s="49" t="n">
        <v>14.36</v>
      </c>
      <c r="D25" s="54" t="n">
        <v>161.924</v>
      </c>
      <c r="E25" s="17" t="inlineStr">
        <is>
          <t>H</t>
        </is>
      </c>
      <c r="F25" s="23" t="inlineStr">
        <is>
          <t>L</t>
        </is>
      </c>
      <c r="G25" s="17" t="inlineStr">
        <is>
          <t>H</t>
        </is>
      </c>
      <c r="H25" s="23" t="inlineStr">
        <is>
          <t>L</t>
        </is>
      </c>
      <c r="I25" s="54">
        <f>PI()*(C25/2)^2</f>
        <v/>
      </c>
      <c r="J25" s="16" t="inlineStr">
        <is>
          <t>HLHL</t>
        </is>
      </c>
    </row>
    <row r="26" ht="18" customHeight="1">
      <c r="A26" s="19" t="n">
        <v>22</v>
      </c>
      <c r="B26" s="48" t="n">
        <v>1.58</v>
      </c>
      <c r="C26" s="48" t="n">
        <v>14.18</v>
      </c>
      <c r="D26" s="53" t="n">
        <v>157.762</v>
      </c>
      <c r="E26" s="23" t="inlineStr">
        <is>
          <t>L</t>
        </is>
      </c>
      <c r="F26" s="17" t="inlineStr">
        <is>
          <t>H</t>
        </is>
      </c>
      <c r="G26" s="17" t="inlineStr">
        <is>
          <t>H</t>
        </is>
      </c>
      <c r="H26" s="23" t="inlineStr">
        <is>
          <t>L</t>
        </is>
      </c>
      <c r="I26" s="53">
        <f>PI()*(C26/2)^2</f>
        <v/>
      </c>
      <c r="J26" s="15" t="inlineStr">
        <is>
          <t>LHHL</t>
        </is>
      </c>
    </row>
    <row r="27" ht="18" customHeight="1">
      <c r="A27" s="21" t="n">
        <v>23</v>
      </c>
      <c r="B27" s="49" t="n">
        <v>1.6</v>
      </c>
      <c r="C27" s="49" t="n">
        <v>13.99</v>
      </c>
      <c r="D27" s="54" t="n">
        <v>153.601</v>
      </c>
      <c r="E27" s="23" t="inlineStr">
        <is>
          <t>L</t>
        </is>
      </c>
      <c r="F27" s="17" t="inlineStr">
        <is>
          <t>H</t>
        </is>
      </c>
      <c r="G27" s="23" t="inlineStr">
        <is>
          <t>L</t>
        </is>
      </c>
      <c r="H27" s="17" t="inlineStr">
        <is>
          <t>H</t>
        </is>
      </c>
      <c r="I27" s="54">
        <f>PI()*(C27/2)^2</f>
        <v/>
      </c>
      <c r="J27" s="16" t="inlineStr">
        <is>
          <t>LHLH</t>
        </is>
      </c>
    </row>
    <row r="28" ht="18" customHeight="1">
      <c r="A28" s="19" t="n">
        <v>24</v>
      </c>
      <c r="B28" s="48" t="n">
        <v>1.62</v>
      </c>
      <c r="C28" s="48" t="n">
        <v>13.8</v>
      </c>
      <c r="D28" s="53" t="n">
        <v>149.444</v>
      </c>
      <c r="E28" s="17" t="inlineStr">
        <is>
          <t>H</t>
        </is>
      </c>
      <c r="F28" s="23" t="inlineStr">
        <is>
          <t>L</t>
        </is>
      </c>
      <c r="G28" s="23" t="inlineStr">
        <is>
          <t>L</t>
        </is>
      </c>
      <c r="H28" s="17" t="inlineStr">
        <is>
          <t>H</t>
        </is>
      </c>
      <c r="I28" s="53">
        <f>PI()*(C28/2)^2</f>
        <v/>
      </c>
      <c r="J28" s="15" t="inlineStr">
        <is>
          <t>HLLH</t>
        </is>
      </c>
    </row>
    <row r="29" ht="18" customHeight="1">
      <c r="A29" s="21" t="n">
        <v>25</v>
      </c>
      <c r="B29" s="49" t="n">
        <v>1.64</v>
      </c>
      <c r="C29" s="49" t="n">
        <v>13.6</v>
      </c>
      <c r="D29" s="54" t="n">
        <v>145.291</v>
      </c>
      <c r="E29" s="17" t="inlineStr">
        <is>
          <t>H</t>
        </is>
      </c>
      <c r="F29" s="23" t="inlineStr">
        <is>
          <t>L</t>
        </is>
      </c>
      <c r="G29" s="17" t="inlineStr">
        <is>
          <t>H</t>
        </is>
      </c>
      <c r="H29" s="23" t="inlineStr">
        <is>
          <t>L</t>
        </is>
      </c>
      <c r="I29" s="54">
        <f>PI()*(C29/2)^2</f>
        <v/>
      </c>
      <c r="J29" s="16" t="inlineStr">
        <is>
          <t>HLHL</t>
        </is>
      </c>
    </row>
    <row r="30" ht="18" customHeight="1">
      <c r="A30" s="19" t="n">
        <v>26</v>
      </c>
      <c r="B30" s="48" t="n">
        <v>1.67</v>
      </c>
      <c r="C30" s="48" t="n">
        <v>13.41</v>
      </c>
      <c r="D30" s="53" t="n">
        <v>141.147</v>
      </c>
      <c r="E30" s="23" t="inlineStr">
        <is>
          <t>L</t>
        </is>
      </c>
      <c r="F30" s="17" t="inlineStr">
        <is>
          <t>H</t>
        </is>
      </c>
      <c r="G30" s="17" t="inlineStr">
        <is>
          <t>H</t>
        </is>
      </c>
      <c r="H30" s="23" t="inlineStr">
        <is>
          <t>L</t>
        </is>
      </c>
      <c r="I30" s="53">
        <f>PI()*(C30/2)^2</f>
        <v/>
      </c>
      <c r="J30" s="15" t="inlineStr">
        <is>
          <t>LHHL</t>
        </is>
      </c>
    </row>
    <row r="31" ht="18" customHeight="1">
      <c r="A31" s="21" t="n">
        <v>27</v>
      </c>
      <c r="B31" s="49" t="n">
        <v>1.69</v>
      </c>
      <c r="C31" s="49" t="n">
        <v>13.21</v>
      </c>
      <c r="D31" s="54" t="n">
        <v>137.012</v>
      </c>
      <c r="E31" s="23" t="inlineStr">
        <is>
          <t>L</t>
        </is>
      </c>
      <c r="F31" s="17" t="inlineStr">
        <is>
          <t>H</t>
        </is>
      </c>
      <c r="G31" s="23" t="inlineStr">
        <is>
          <t>L</t>
        </is>
      </c>
      <c r="H31" s="17" t="inlineStr">
        <is>
          <t>H</t>
        </is>
      </c>
      <c r="I31" s="54">
        <f>PI()*(C31/2)^2</f>
        <v/>
      </c>
      <c r="J31" s="16" t="inlineStr">
        <is>
          <t>LHLH</t>
        </is>
      </c>
    </row>
    <row r="32" ht="18" customHeight="1">
      <c r="A32" s="19" t="n">
        <v>28</v>
      </c>
      <c r="B32" s="48" t="n">
        <v>1.72</v>
      </c>
      <c r="C32" s="48" t="n">
        <v>13.01</v>
      </c>
      <c r="D32" s="53" t="n">
        <v>132.889</v>
      </c>
      <c r="E32" s="17" t="inlineStr">
        <is>
          <t>H</t>
        </is>
      </c>
      <c r="F32" s="23" t="inlineStr">
        <is>
          <t>L</t>
        </is>
      </c>
      <c r="G32" s="23" t="inlineStr">
        <is>
          <t>L</t>
        </is>
      </c>
      <c r="H32" s="17" t="inlineStr">
        <is>
          <t>H</t>
        </is>
      </c>
      <c r="I32" s="53">
        <f>PI()*(C32/2)^2</f>
        <v/>
      </c>
      <c r="J32" s="15" t="inlineStr">
        <is>
          <t>HLLH</t>
        </is>
      </c>
    </row>
    <row r="33" ht="18" customHeight="1">
      <c r="A33" s="21" t="n">
        <v>29</v>
      </c>
      <c r="B33" s="49" t="n">
        <v>1.74</v>
      </c>
      <c r="C33" s="49" t="n">
        <v>12.81</v>
      </c>
      <c r="D33" s="54" t="n">
        <v>128.781</v>
      </c>
      <c r="E33" s="17" t="inlineStr">
        <is>
          <t>H</t>
        </is>
      </c>
      <c r="F33" s="23" t="inlineStr">
        <is>
          <t>L</t>
        </is>
      </c>
      <c r="G33" s="17" t="inlineStr">
        <is>
          <t>H</t>
        </is>
      </c>
      <c r="H33" s="23" t="inlineStr">
        <is>
          <t>L</t>
        </is>
      </c>
      <c r="I33" s="54">
        <f>PI()*(C33/2)^2</f>
        <v/>
      </c>
      <c r="J33" s="16" t="inlineStr">
        <is>
          <t>HLHL</t>
        </is>
      </c>
    </row>
    <row r="34" ht="18" customHeight="1">
      <c r="A34" s="19" t="n">
        <v>30</v>
      </c>
      <c r="B34" s="48" t="n">
        <v>1.77</v>
      </c>
      <c r="C34" s="48" t="n">
        <v>12.6</v>
      </c>
      <c r="D34" s="53" t="n">
        <v>124.689</v>
      </c>
      <c r="E34" s="23" t="inlineStr">
        <is>
          <t>L</t>
        </is>
      </c>
      <c r="F34" s="17" t="inlineStr">
        <is>
          <t>H</t>
        </is>
      </c>
      <c r="G34" s="17" t="inlineStr">
        <is>
          <t>H</t>
        </is>
      </c>
      <c r="H34" s="23" t="inlineStr">
        <is>
          <t>L</t>
        </is>
      </c>
      <c r="I34" s="53">
        <f>PI()*(C34/2)^2</f>
        <v/>
      </c>
      <c r="J34" s="15" t="inlineStr">
        <is>
          <t>LHHL</t>
        </is>
      </c>
    </row>
    <row r="35" ht="18" customHeight="1">
      <c r="A35" s="21" t="n">
        <v>31</v>
      </c>
      <c r="B35" s="49" t="n">
        <v>1.8</v>
      </c>
      <c r="C35" s="49" t="n">
        <v>12.4</v>
      </c>
      <c r="D35" s="54" t="n">
        <v>120.616</v>
      </c>
      <c r="E35" s="23" t="inlineStr">
        <is>
          <t>L</t>
        </is>
      </c>
      <c r="F35" s="17" t="inlineStr">
        <is>
          <t>H</t>
        </is>
      </c>
      <c r="G35" s="23" t="inlineStr">
        <is>
          <t>L</t>
        </is>
      </c>
      <c r="H35" s="17" t="inlineStr">
        <is>
          <t>H</t>
        </is>
      </c>
      <c r="I35" s="54">
        <f>PI()*(C35/2)^2</f>
        <v/>
      </c>
      <c r="J35" s="16" t="inlineStr">
        <is>
          <t>LHLH</t>
        </is>
      </c>
    </row>
    <row r="36" ht="18" customHeight="1">
      <c r="A36" s="19" t="n">
        <v>32</v>
      </c>
      <c r="B36" s="48" t="n">
        <v>1.83</v>
      </c>
      <c r="C36" s="48" t="n">
        <v>12.19</v>
      </c>
      <c r="D36" s="53" t="n">
        <v>116.565</v>
      </c>
      <c r="E36" s="17" t="inlineStr">
        <is>
          <t>H</t>
        </is>
      </c>
      <c r="F36" s="23" t="inlineStr">
        <is>
          <t>L</t>
        </is>
      </c>
      <c r="G36" s="23" t="inlineStr">
        <is>
          <t>L</t>
        </is>
      </c>
      <c r="H36" s="17" t="inlineStr">
        <is>
          <t>H</t>
        </is>
      </c>
      <c r="I36" s="53">
        <f>PI()*(C36/2)^2</f>
        <v/>
      </c>
      <c r="J36" s="15" t="inlineStr">
        <is>
          <t>HLLH</t>
        </is>
      </c>
    </row>
    <row r="37" ht="18" customHeight="1">
      <c r="A37" s="21" t="n">
        <v>33</v>
      </c>
      <c r="B37" s="49" t="n">
        <v>1.86</v>
      </c>
      <c r="C37" s="49" t="n">
        <v>11.97</v>
      </c>
      <c r="D37" s="54" t="n">
        <v>112.537</v>
      </c>
      <c r="E37" s="17" t="inlineStr">
        <is>
          <t>H</t>
        </is>
      </c>
      <c r="F37" s="23" t="inlineStr">
        <is>
          <t>L</t>
        </is>
      </c>
      <c r="G37" s="17" t="inlineStr">
        <is>
          <t>H</t>
        </is>
      </c>
      <c r="H37" s="23" t="inlineStr">
        <is>
          <t>L</t>
        </is>
      </c>
      <c r="I37" s="54">
        <f>PI()*(C37/2)^2</f>
        <v/>
      </c>
      <c r="J37" s="16" t="inlineStr">
        <is>
          <t>HLHL</t>
        </is>
      </c>
    </row>
    <row r="38" ht="18" customHeight="1">
      <c r="A38" s="19" t="n">
        <v>34</v>
      </c>
      <c r="B38" s="48" t="n">
        <v>1.89</v>
      </c>
      <c r="C38" s="48" t="n">
        <v>11.76</v>
      </c>
      <c r="D38" s="53" t="n">
        <v>108.536</v>
      </c>
      <c r="E38" s="23" t="inlineStr">
        <is>
          <t>L</t>
        </is>
      </c>
      <c r="F38" s="17" t="inlineStr">
        <is>
          <t>H</t>
        </is>
      </c>
      <c r="G38" s="17" t="inlineStr">
        <is>
          <t>H</t>
        </is>
      </c>
      <c r="H38" s="23" t="inlineStr">
        <is>
          <t>L</t>
        </is>
      </c>
      <c r="I38" s="53">
        <f>PI()*(C38/2)^2</f>
        <v/>
      </c>
      <c r="J38" s="15" t="inlineStr">
        <is>
          <t>LHHL</t>
        </is>
      </c>
    </row>
    <row r="39" ht="18" customHeight="1">
      <c r="A39" s="21" t="n">
        <v>35</v>
      </c>
      <c r="B39" s="49" t="n">
        <v>1.93</v>
      </c>
      <c r="C39" s="49" t="n">
        <v>11.54</v>
      </c>
      <c r="D39" s="54" t="n">
        <v>104.562</v>
      </c>
      <c r="E39" s="23" t="inlineStr">
        <is>
          <t>L</t>
        </is>
      </c>
      <c r="F39" s="17" t="inlineStr">
        <is>
          <t>H</t>
        </is>
      </c>
      <c r="G39" s="23" t="inlineStr">
        <is>
          <t>L</t>
        </is>
      </c>
      <c r="H39" s="17" t="inlineStr">
        <is>
          <t>H</t>
        </is>
      </c>
      <c r="I39" s="54">
        <f>PI()*(C39/2)^2</f>
        <v/>
      </c>
      <c r="J39" s="16" t="inlineStr">
        <is>
          <t>LHLH</t>
        </is>
      </c>
    </row>
    <row r="40" ht="18" customHeight="1">
      <c r="A40" s="19" t="n">
        <v>36</v>
      </c>
      <c r="B40" s="48" t="n">
        <v>1.97</v>
      </c>
      <c r="C40" s="48" t="n">
        <v>11.32</v>
      </c>
      <c r="D40" s="53" t="n">
        <v>100.62</v>
      </c>
      <c r="E40" s="17" t="inlineStr">
        <is>
          <t>H</t>
        </is>
      </c>
      <c r="F40" s="23" t="inlineStr">
        <is>
          <t>L</t>
        </is>
      </c>
      <c r="G40" s="23" t="inlineStr">
        <is>
          <t>L</t>
        </is>
      </c>
      <c r="H40" s="17" t="inlineStr">
        <is>
          <t>H</t>
        </is>
      </c>
      <c r="I40" s="53">
        <f>PI()*(C40/2)^2</f>
        <v/>
      </c>
      <c r="J40" s="15" t="inlineStr">
        <is>
          <t>HLLH</t>
        </is>
      </c>
    </row>
    <row r="41" ht="18" customHeight="1">
      <c r="A41" s="21" t="n">
        <v>37</v>
      </c>
      <c r="B41" s="49" t="n">
        <v>2.01</v>
      </c>
      <c r="C41" s="49" t="n">
        <v>11.1</v>
      </c>
      <c r="D41" s="54" t="n">
        <v>96.711</v>
      </c>
      <c r="E41" s="17" t="inlineStr">
        <is>
          <t>H</t>
        </is>
      </c>
      <c r="F41" s="23" t="inlineStr">
        <is>
          <t>L</t>
        </is>
      </c>
      <c r="G41" s="17" t="inlineStr">
        <is>
          <t>H</t>
        </is>
      </c>
      <c r="H41" s="23" t="inlineStr">
        <is>
          <t>L</t>
        </is>
      </c>
      <c r="I41" s="54">
        <f>PI()*(C41/2)^2</f>
        <v/>
      </c>
      <c r="J41" s="16" t="inlineStr">
        <is>
          <t>HLHL</t>
        </is>
      </c>
    </row>
    <row r="42" ht="18" customHeight="1">
      <c r="A42" s="19" t="n">
        <v>38</v>
      </c>
      <c r="B42" s="48" t="n">
        <v>2.05</v>
      </c>
      <c r="C42" s="48" t="n">
        <v>10.87</v>
      </c>
      <c r="D42" s="53" t="n">
        <v>92.83799999999999</v>
      </c>
      <c r="E42" s="23" t="inlineStr">
        <is>
          <t>L</t>
        </is>
      </c>
      <c r="F42" s="17" t="inlineStr">
        <is>
          <t>H</t>
        </is>
      </c>
      <c r="G42" s="17" t="inlineStr">
        <is>
          <t>H</t>
        </is>
      </c>
      <c r="H42" s="23" t="inlineStr">
        <is>
          <t>L</t>
        </is>
      </c>
      <c r="I42" s="53">
        <f>PI()*(C42/2)^2</f>
        <v/>
      </c>
      <c r="J42" s="15" t="inlineStr">
        <is>
          <t>LHHL</t>
        </is>
      </c>
    </row>
    <row r="43" ht="18" customHeight="1">
      <c r="A43" s="21" t="n">
        <v>39</v>
      </c>
      <c r="B43" s="49" t="n">
        <v>2.09</v>
      </c>
      <c r="C43" s="49" t="n">
        <v>10.65</v>
      </c>
      <c r="D43" s="54" t="n">
        <v>89.003</v>
      </c>
      <c r="E43" s="23" t="inlineStr">
        <is>
          <t>L</t>
        </is>
      </c>
      <c r="F43" s="17" t="inlineStr">
        <is>
          <t>H</t>
        </is>
      </c>
      <c r="G43" s="23" t="inlineStr">
        <is>
          <t>L</t>
        </is>
      </c>
      <c r="H43" s="17" t="inlineStr">
        <is>
          <t>H</t>
        </is>
      </c>
      <c r="I43" s="54">
        <f>PI()*(C43/2)^2</f>
        <v/>
      </c>
      <c r="J43" s="16" t="inlineStr">
        <is>
          <t>LHLH</t>
        </is>
      </c>
    </row>
    <row r="44" ht="18" customHeight="1">
      <c r="A44" s="19" t="n">
        <v>40</v>
      </c>
      <c r="B44" s="48" t="n">
        <v>2.13</v>
      </c>
      <c r="C44" s="48" t="n">
        <v>10.42</v>
      </c>
      <c r="D44" s="53" t="n">
        <v>85.209</v>
      </c>
      <c r="E44" s="17" t="inlineStr">
        <is>
          <t>H</t>
        </is>
      </c>
      <c r="F44" s="23" t="inlineStr">
        <is>
          <t>L</t>
        </is>
      </c>
      <c r="G44" s="23" t="inlineStr">
        <is>
          <t>L</t>
        </is>
      </c>
      <c r="H44" s="17" t="inlineStr">
        <is>
          <t>H</t>
        </is>
      </c>
      <c r="I44" s="53">
        <f>PI()*(C44/2)^2</f>
        <v/>
      </c>
      <c r="J44" s="15" t="inlineStr">
        <is>
          <t>HLLH</t>
        </is>
      </c>
    </row>
    <row r="45" ht="18" customHeight="1">
      <c r="A45" s="21" t="n">
        <v>41</v>
      </c>
      <c r="B45" s="49" t="n">
        <v>2.18</v>
      </c>
      <c r="C45" s="49" t="n">
        <v>10.19</v>
      </c>
      <c r="D45" s="54" t="n">
        <v>81.458</v>
      </c>
      <c r="E45" s="17" t="inlineStr">
        <is>
          <t>H</t>
        </is>
      </c>
      <c r="F45" s="23" t="inlineStr">
        <is>
          <t>L</t>
        </is>
      </c>
      <c r="G45" s="17" t="inlineStr">
        <is>
          <t>H</t>
        </is>
      </c>
      <c r="H45" s="23" t="inlineStr">
        <is>
          <t>L</t>
        </is>
      </c>
      <c r="I45" s="54">
        <f>PI()*(C45/2)^2</f>
        <v/>
      </c>
      <c r="J45" s="16" t="inlineStr">
        <is>
          <t>HLHL</t>
        </is>
      </c>
    </row>
    <row r="46" ht="18" customHeight="1">
      <c r="A46" s="19" t="n">
        <v>42</v>
      </c>
      <c r="B46" s="48" t="n">
        <v>2.23</v>
      </c>
      <c r="C46" s="48" t="n">
        <v>9.949999999999999</v>
      </c>
      <c r="D46" s="53" t="n">
        <v>77.753</v>
      </c>
      <c r="E46" s="23" t="inlineStr">
        <is>
          <t>L</t>
        </is>
      </c>
      <c r="F46" s="17" t="inlineStr">
        <is>
          <t>H</t>
        </is>
      </c>
      <c r="G46" s="17" t="inlineStr">
        <is>
          <t>H</t>
        </is>
      </c>
      <c r="H46" s="23" t="inlineStr">
        <is>
          <t>L</t>
        </is>
      </c>
      <c r="I46" s="53">
        <f>PI()*(C46/2)^2</f>
        <v/>
      </c>
      <c r="J46" s="15" t="inlineStr">
        <is>
          <t>LHHL</t>
        </is>
      </c>
    </row>
    <row r="47" ht="18" customHeight="1">
      <c r="A47" s="21" t="n">
        <v>43</v>
      </c>
      <c r="B47" s="49" t="n">
        <v>2.29</v>
      </c>
      <c r="C47" s="49" t="n">
        <v>9.720000000000001</v>
      </c>
      <c r="D47" s="54" t="n">
        <v>74.09699999999999</v>
      </c>
      <c r="E47" s="23" t="inlineStr">
        <is>
          <t>L</t>
        </is>
      </c>
      <c r="F47" s="17" t="inlineStr">
        <is>
          <t>H</t>
        </is>
      </c>
      <c r="G47" s="23" t="inlineStr">
        <is>
          <t>L</t>
        </is>
      </c>
      <c r="H47" s="17" t="inlineStr">
        <is>
          <t>H</t>
        </is>
      </c>
      <c r="I47" s="54">
        <f>PI()*(C47/2)^2</f>
        <v/>
      </c>
      <c r="J47" s="16" t="inlineStr">
        <is>
          <t>LHLH</t>
        </is>
      </c>
    </row>
    <row r="48" ht="18" customHeight="1">
      <c r="A48" s="19" t="n">
        <v>44</v>
      </c>
      <c r="B48" s="48" t="n">
        <v>2.34</v>
      </c>
      <c r="C48" s="48" t="n">
        <v>9.48</v>
      </c>
      <c r="D48" s="53" t="n">
        <v>70.491</v>
      </c>
      <c r="E48" s="17" t="inlineStr">
        <is>
          <t>H</t>
        </is>
      </c>
      <c r="F48" s="23" t="inlineStr">
        <is>
          <t>L</t>
        </is>
      </c>
      <c r="G48" s="23" t="inlineStr">
        <is>
          <t>L</t>
        </is>
      </c>
      <c r="H48" s="17" t="inlineStr">
        <is>
          <t>H</t>
        </is>
      </c>
      <c r="I48" s="53">
        <f>PI()*(C48/2)^2</f>
        <v/>
      </c>
      <c r="J48" s="15" t="inlineStr">
        <is>
          <t>HLLH</t>
        </is>
      </c>
    </row>
    <row r="49" ht="18" customHeight="1">
      <c r="A49" s="21" t="n">
        <v>45</v>
      </c>
      <c r="B49" s="49" t="n">
        <v>2.41</v>
      </c>
      <c r="C49" s="49" t="n">
        <v>9.23</v>
      </c>
      <c r="D49" s="54" t="n">
        <v>66.93899999999999</v>
      </c>
      <c r="E49" s="17" t="inlineStr">
        <is>
          <t>H</t>
        </is>
      </c>
      <c r="F49" s="23" t="inlineStr">
        <is>
          <t>L</t>
        </is>
      </c>
      <c r="G49" s="17" t="inlineStr">
        <is>
          <t>H</t>
        </is>
      </c>
      <c r="H49" s="23" t="inlineStr">
        <is>
          <t>L</t>
        </is>
      </c>
      <c r="I49" s="54">
        <f>PI()*(C49/2)^2</f>
        <v/>
      </c>
      <c r="J49" s="16" t="inlineStr">
        <is>
          <t>HLHL</t>
        </is>
      </c>
    </row>
    <row r="50" ht="18" customHeight="1">
      <c r="A50" s="19" t="n">
        <v>46</v>
      </c>
      <c r="B50" s="48" t="n">
        <v>2.47</v>
      </c>
      <c r="C50" s="48" t="n">
        <v>8.99</v>
      </c>
      <c r="D50" s="53" t="n">
        <v>63.444</v>
      </c>
      <c r="E50" s="23" t="inlineStr">
        <is>
          <t>L</t>
        </is>
      </c>
      <c r="F50" s="17" t="inlineStr">
        <is>
          <t>H</t>
        </is>
      </c>
      <c r="G50" s="17" t="inlineStr">
        <is>
          <t>H</t>
        </is>
      </c>
      <c r="H50" s="23" t="inlineStr">
        <is>
          <t>L</t>
        </is>
      </c>
      <c r="I50" s="53">
        <f>PI()*(C50/2)^2</f>
        <v/>
      </c>
      <c r="J50" s="15" t="inlineStr">
        <is>
          <t>LHHL</t>
        </is>
      </c>
    </row>
    <row r="51" ht="18" customHeight="1">
      <c r="A51" s="21" t="n">
        <v>47</v>
      </c>
      <c r="B51" s="49" t="n">
        <v>2.54</v>
      </c>
      <c r="C51" s="49" t="n">
        <v>8.74</v>
      </c>
      <c r="D51" s="54" t="n">
        <v>60.008</v>
      </c>
      <c r="E51" s="23" t="inlineStr">
        <is>
          <t>L</t>
        </is>
      </c>
      <c r="F51" s="17" t="inlineStr">
        <is>
          <t>H</t>
        </is>
      </c>
      <c r="G51" s="23" t="inlineStr">
        <is>
          <t>L</t>
        </is>
      </c>
      <c r="H51" s="17" t="inlineStr">
        <is>
          <t>H</t>
        </is>
      </c>
      <c r="I51" s="54">
        <f>PI()*(C51/2)^2</f>
        <v/>
      </c>
      <c r="J51" s="16" t="inlineStr">
        <is>
          <t>LHLH</t>
        </is>
      </c>
    </row>
    <row r="52" ht="18" customHeight="1">
      <c r="A52" s="19" t="n">
        <v>48</v>
      </c>
      <c r="B52" s="48" t="n">
        <v>2.61</v>
      </c>
      <c r="C52" s="48" t="n">
        <v>8.49</v>
      </c>
      <c r="D52" s="53" t="n">
        <v>56.633</v>
      </c>
      <c r="E52" s="17" t="inlineStr">
        <is>
          <t>H</t>
        </is>
      </c>
      <c r="F52" s="23" t="inlineStr">
        <is>
          <t>L</t>
        </is>
      </c>
      <c r="G52" s="23" t="inlineStr">
        <is>
          <t>L</t>
        </is>
      </c>
      <c r="H52" s="17" t="inlineStr">
        <is>
          <t>H</t>
        </is>
      </c>
      <c r="I52" s="53">
        <f>PI()*(C52/2)^2</f>
        <v/>
      </c>
      <c r="J52" s="15" t="inlineStr">
        <is>
          <t>HLLH</t>
        </is>
      </c>
    </row>
    <row r="53" ht="18" customHeight="1">
      <c r="A53" s="21" t="n">
        <v>49</v>
      </c>
      <c r="B53" s="49" t="n">
        <v>2.69</v>
      </c>
      <c r="C53" s="49" t="n">
        <v>8.24</v>
      </c>
      <c r="D53" s="54" t="n">
        <v>53.323</v>
      </c>
      <c r="E53" s="17" t="inlineStr">
        <is>
          <t>H</t>
        </is>
      </c>
      <c r="F53" s="23" t="inlineStr">
        <is>
          <t>L</t>
        </is>
      </c>
      <c r="G53" s="17" t="inlineStr">
        <is>
          <t>H</t>
        </is>
      </c>
      <c r="H53" s="23" t="inlineStr">
        <is>
          <t>L</t>
        </is>
      </c>
      <c r="I53" s="54">
        <f>PI()*(C53/2)^2</f>
        <v/>
      </c>
      <c r="J53" s="16" t="inlineStr">
        <is>
          <t>HLHL</t>
        </is>
      </c>
    </row>
    <row r="54" ht="18" customHeight="1">
      <c r="A54" s="19" t="n">
        <v>50</v>
      </c>
      <c r="B54" s="48" t="n">
        <v>2.78</v>
      </c>
      <c r="C54" s="48" t="n">
        <v>7.99</v>
      </c>
      <c r="D54" s="53" t="n">
        <v>50.081</v>
      </c>
      <c r="E54" s="23" t="inlineStr">
        <is>
          <t>L</t>
        </is>
      </c>
      <c r="F54" s="17" t="inlineStr">
        <is>
          <t>H</t>
        </is>
      </c>
      <c r="G54" s="17" t="inlineStr">
        <is>
          <t>H</t>
        </is>
      </c>
      <c r="H54" s="23" t="inlineStr">
        <is>
          <t>L</t>
        </is>
      </c>
      <c r="I54" s="53">
        <f>PI()*(C54/2)^2</f>
        <v/>
      </c>
      <c r="J54" s="15" t="inlineStr">
        <is>
          <t>LHHL</t>
        </is>
      </c>
    </row>
    <row r="55" ht="18" customHeight="1">
      <c r="A55" s="21" t="n">
        <v>51</v>
      </c>
      <c r="B55" s="49" t="n">
        <v>2.87</v>
      </c>
      <c r="C55" s="49" t="n">
        <v>7.73</v>
      </c>
      <c r="D55" s="54" t="n">
        <v>46.909</v>
      </c>
      <c r="E55" s="23" t="inlineStr">
        <is>
          <t>L</t>
        </is>
      </c>
      <c r="F55" s="17" t="inlineStr">
        <is>
          <t>H</t>
        </is>
      </c>
      <c r="G55" s="23" t="inlineStr">
        <is>
          <t>L</t>
        </is>
      </c>
      <c r="H55" s="17" t="inlineStr">
        <is>
          <t>H</t>
        </is>
      </c>
      <c r="I55" s="54">
        <f>PI()*(C55/2)^2</f>
        <v/>
      </c>
      <c r="J55" s="16" t="inlineStr">
        <is>
          <t>LHLH</t>
        </is>
      </c>
    </row>
    <row r="56" ht="18" customHeight="1">
      <c r="A56" s="19" t="n">
        <v>52</v>
      </c>
      <c r="B56" s="48" t="n">
        <v>2.97</v>
      </c>
      <c r="C56" s="48" t="n">
        <v>7.47</v>
      </c>
      <c r="D56" s="53" t="n">
        <v>43.81</v>
      </c>
      <c r="E56" s="17" t="inlineStr">
        <is>
          <t>H</t>
        </is>
      </c>
      <c r="F56" s="23" t="inlineStr">
        <is>
          <t>L</t>
        </is>
      </c>
      <c r="G56" s="23" t="inlineStr">
        <is>
          <t>L</t>
        </is>
      </c>
      <c r="H56" s="17" t="inlineStr">
        <is>
          <t>H</t>
        </is>
      </c>
      <c r="I56" s="53">
        <f>PI()*(C56/2)^2</f>
        <v/>
      </c>
      <c r="J56" s="15" t="inlineStr">
        <is>
          <t>HLLH</t>
        </is>
      </c>
    </row>
    <row r="57" ht="18" customHeight="1">
      <c r="A57" s="21" t="n">
        <v>53</v>
      </c>
      <c r="B57" s="49" t="n">
        <v>3.08</v>
      </c>
      <c r="C57" s="49" t="n">
        <v>7.21</v>
      </c>
      <c r="D57" s="54" t="n">
        <v>40.788</v>
      </c>
      <c r="E57" s="17" t="inlineStr">
        <is>
          <t>H</t>
        </is>
      </c>
      <c r="F57" s="23" t="inlineStr">
        <is>
          <t>L</t>
        </is>
      </c>
      <c r="G57" s="17" t="inlineStr">
        <is>
          <t>H</t>
        </is>
      </c>
      <c r="H57" s="23" t="inlineStr">
        <is>
          <t>L</t>
        </is>
      </c>
      <c r="I57" s="54">
        <f>PI()*(C57/2)^2</f>
        <v/>
      </c>
      <c r="J57" s="16" t="inlineStr">
        <is>
          <t>HLHL</t>
        </is>
      </c>
    </row>
    <row r="58" ht="18" customHeight="1">
      <c r="A58" s="19" t="n">
        <v>54</v>
      </c>
      <c r="B58" s="48" t="n">
        <v>3.19</v>
      </c>
      <c r="C58" s="48" t="n">
        <v>6.94</v>
      </c>
      <c r="D58" s="53" t="n">
        <v>37.845</v>
      </c>
      <c r="E58" s="23" t="inlineStr">
        <is>
          <t>L</t>
        </is>
      </c>
      <c r="F58" s="17" t="inlineStr">
        <is>
          <t>H</t>
        </is>
      </c>
      <c r="G58" s="17" t="inlineStr">
        <is>
          <t>H</t>
        </is>
      </c>
      <c r="H58" s="23" t="inlineStr">
        <is>
          <t>L</t>
        </is>
      </c>
      <c r="I58" s="53">
        <f>PI()*(C58/2)^2</f>
        <v/>
      </c>
      <c r="J58" s="15" t="inlineStr">
        <is>
          <t>LHHL</t>
        </is>
      </c>
    </row>
    <row r="59" ht="18" customHeight="1">
      <c r="A59" s="21" t="n">
        <v>55</v>
      </c>
      <c r="B59" s="49" t="n">
        <v>3.32</v>
      </c>
      <c r="C59" s="49" t="n">
        <v>6.68</v>
      </c>
      <c r="D59" s="54" t="n">
        <v>34.984</v>
      </c>
      <c r="E59" s="23" t="inlineStr">
        <is>
          <t>L</t>
        </is>
      </c>
      <c r="F59" s="17" t="inlineStr">
        <is>
          <t>H</t>
        </is>
      </c>
      <c r="G59" s="23" t="inlineStr">
        <is>
          <t>L</t>
        </is>
      </c>
      <c r="H59" s="17" t="inlineStr">
        <is>
          <t>H</t>
        </is>
      </c>
      <c r="I59" s="54">
        <f>PI()*(C59/2)^2</f>
        <v/>
      </c>
      <c r="J59" s="16" t="inlineStr">
        <is>
          <t>LHLH</t>
        </is>
      </c>
    </row>
    <row r="60" ht="18" customHeight="1">
      <c r="A60" s="19" t="n">
        <v>56</v>
      </c>
      <c r="B60" s="48" t="n">
        <v>3.46</v>
      </c>
      <c r="C60" s="48" t="n">
        <v>6.41</v>
      </c>
      <c r="D60" s="53" t="n">
        <v>32.21</v>
      </c>
      <c r="E60" s="17" t="inlineStr">
        <is>
          <t>H</t>
        </is>
      </c>
      <c r="F60" s="23" t="inlineStr">
        <is>
          <t>L</t>
        </is>
      </c>
      <c r="G60" s="23" t="inlineStr">
        <is>
          <t>L</t>
        </is>
      </c>
      <c r="H60" s="17" t="inlineStr">
        <is>
          <t>H</t>
        </is>
      </c>
      <c r="I60" s="53">
        <f>PI()*(C60/2)^2</f>
        <v/>
      </c>
      <c r="J60" s="15" t="inlineStr">
        <is>
          <t>HLLH</t>
        </is>
      </c>
    </row>
    <row r="61" ht="18" customHeight="1">
      <c r="A61" s="21" t="n">
        <v>57</v>
      </c>
      <c r="B61" s="49" t="n">
        <v>3.61</v>
      </c>
      <c r="C61" s="49" t="n">
        <v>6.13</v>
      </c>
      <c r="D61" s="54" t="n">
        <v>29.526</v>
      </c>
      <c r="E61" s="17" t="inlineStr">
        <is>
          <t>H</t>
        </is>
      </c>
      <c r="F61" s="23" t="inlineStr">
        <is>
          <t>L</t>
        </is>
      </c>
      <c r="G61" s="17" t="inlineStr">
        <is>
          <t>H</t>
        </is>
      </c>
      <c r="H61" s="23" t="inlineStr">
        <is>
          <t>L</t>
        </is>
      </c>
      <c r="I61" s="54">
        <f>PI()*(C61/2)^2</f>
        <v/>
      </c>
      <c r="J61" s="16" t="inlineStr">
        <is>
          <t>HLHL</t>
        </is>
      </c>
    </row>
    <row r="62" ht="18" customHeight="1">
      <c r="A62" s="19" t="n">
        <v>58</v>
      </c>
      <c r="B62" s="48" t="n">
        <v>3.78</v>
      </c>
      <c r="C62" s="48" t="n">
        <v>5.86</v>
      </c>
      <c r="D62" s="53" t="n">
        <v>26.935</v>
      </c>
      <c r="E62" s="23" t="inlineStr">
        <is>
          <t>L</t>
        </is>
      </c>
      <c r="F62" s="17" t="inlineStr">
        <is>
          <t>H</t>
        </is>
      </c>
      <c r="G62" s="17" t="inlineStr">
        <is>
          <t>H</t>
        </is>
      </c>
      <c r="H62" s="23" t="inlineStr">
        <is>
          <t>L</t>
        </is>
      </c>
      <c r="I62" s="53">
        <f>PI()*(C62/2)^2</f>
        <v/>
      </c>
      <c r="J62" s="15" t="inlineStr">
        <is>
          <t>LHHL</t>
        </is>
      </c>
    </row>
    <row r="63" ht="18" customHeight="1">
      <c r="A63" s="21" t="n">
        <v>59</v>
      </c>
      <c r="B63" s="49" t="n">
        <v>3.97</v>
      </c>
      <c r="C63" s="49" t="n">
        <v>5.58</v>
      </c>
      <c r="D63" s="54" t="n">
        <v>24.442</v>
      </c>
      <c r="E63" s="23" t="inlineStr">
        <is>
          <t>L</t>
        </is>
      </c>
      <c r="F63" s="17" t="inlineStr">
        <is>
          <t>H</t>
        </is>
      </c>
      <c r="G63" s="23" t="inlineStr">
        <is>
          <t>L</t>
        </is>
      </c>
      <c r="H63" s="17" t="inlineStr">
        <is>
          <t>H</t>
        </is>
      </c>
      <c r="I63" s="54">
        <f>PI()*(C63/2)^2</f>
        <v/>
      </c>
      <c r="J63" s="16" t="inlineStr">
        <is>
          <t>LHLH</t>
        </is>
      </c>
    </row>
    <row r="64" ht="18" customHeight="1">
      <c r="A64" s="19" t="n">
        <v>60</v>
      </c>
      <c r="B64" s="48" t="n">
        <v>4.18</v>
      </c>
      <c r="C64" s="48" t="n">
        <v>5.3</v>
      </c>
      <c r="D64" s="53" t="n">
        <v>22.05</v>
      </c>
      <c r="E64" s="17" t="inlineStr">
        <is>
          <t>H</t>
        </is>
      </c>
      <c r="F64" s="23" t="inlineStr">
        <is>
          <t>L</t>
        </is>
      </c>
      <c r="G64" s="23" t="inlineStr">
        <is>
          <t>L</t>
        </is>
      </c>
      <c r="H64" s="17" t="inlineStr">
        <is>
          <t>H</t>
        </is>
      </c>
      <c r="I64" s="53">
        <f>PI()*(C64/2)^2</f>
        <v/>
      </c>
      <c r="J64" s="15" t="inlineStr">
        <is>
          <t>HLLH</t>
        </is>
      </c>
    </row>
    <row r="65" ht="18" customHeight="1">
      <c r="A65" s="21" t="n">
        <v>61</v>
      </c>
      <c r="B65" s="49" t="n">
        <v>4.41</v>
      </c>
      <c r="C65" s="49" t="n">
        <v>5.02</v>
      </c>
      <c r="D65" s="54" t="n">
        <v>19.765</v>
      </c>
      <c r="E65" s="17" t="inlineStr">
        <is>
          <t>H</t>
        </is>
      </c>
      <c r="F65" s="23" t="inlineStr">
        <is>
          <t>L</t>
        </is>
      </c>
      <c r="G65" s="17" t="inlineStr">
        <is>
          <t>H</t>
        </is>
      </c>
      <c r="H65" s="23" t="inlineStr">
        <is>
          <t>L</t>
        </is>
      </c>
      <c r="I65" s="54">
        <f>PI()*(C65/2)^2</f>
        <v/>
      </c>
      <c r="J65" s="16" t="inlineStr">
        <is>
          <t>HLHL</t>
        </is>
      </c>
    </row>
    <row r="66" ht="18" customHeight="1">
      <c r="A66" s="19" t="n">
        <v>62</v>
      </c>
      <c r="B66" s="48" t="n">
        <v>4.68</v>
      </c>
      <c r="C66" s="48" t="n">
        <v>4.73</v>
      </c>
      <c r="D66" s="53" t="n">
        <v>17.591</v>
      </c>
      <c r="E66" s="23" t="inlineStr">
        <is>
          <t>L</t>
        </is>
      </c>
      <c r="F66" s="17" t="inlineStr">
        <is>
          <t>H</t>
        </is>
      </c>
      <c r="G66" s="17" t="inlineStr">
        <is>
          <t>H</t>
        </is>
      </c>
      <c r="H66" s="23" t="inlineStr">
        <is>
          <t>L</t>
        </is>
      </c>
      <c r="I66" s="53">
        <f>PI()*(C66/2)^2</f>
        <v/>
      </c>
      <c r="J66" s="15" t="inlineStr">
        <is>
          <t>LHHL</t>
        </is>
      </c>
    </row>
    <row r="67" ht="18" customHeight="1">
      <c r="A67" s="21" t="n">
        <v>63</v>
      </c>
      <c r="B67" s="49" t="n">
        <v>4.97</v>
      </c>
      <c r="C67" s="49" t="n">
        <v>4.45</v>
      </c>
      <c r="D67" s="54" t="n">
        <v>15.535</v>
      </c>
      <c r="E67" s="23" t="inlineStr">
        <is>
          <t>L</t>
        </is>
      </c>
      <c r="F67" s="17" t="inlineStr">
        <is>
          <t>H</t>
        </is>
      </c>
      <c r="G67" s="23" t="inlineStr">
        <is>
          <t>L</t>
        </is>
      </c>
      <c r="H67" s="17" t="inlineStr">
        <is>
          <t>H</t>
        </is>
      </c>
      <c r="I67" s="54">
        <f>PI()*(C67/2)^2</f>
        <v/>
      </c>
      <c r="J67" s="16" t="inlineStr">
        <is>
          <t>LHLH</t>
        </is>
      </c>
    </row>
    <row r="68" ht="18" customHeight="1">
      <c r="A68" s="19" t="n">
        <v>64</v>
      </c>
      <c r="B68" s="48" t="n">
        <v>5.32</v>
      </c>
      <c r="C68" s="48" t="n">
        <v>4.16</v>
      </c>
      <c r="D68" s="53" t="n">
        <v>13.602</v>
      </c>
      <c r="E68" s="17" t="inlineStr">
        <is>
          <t>H</t>
        </is>
      </c>
      <c r="F68" s="23" t="inlineStr">
        <is>
          <t>L</t>
        </is>
      </c>
      <c r="G68" s="23" t="inlineStr">
        <is>
          <t>L</t>
        </is>
      </c>
      <c r="H68" s="17" t="inlineStr">
        <is>
          <t>H</t>
        </is>
      </c>
      <c r="I68" s="53">
        <f>PI()*(C68/2)^2</f>
        <v/>
      </c>
      <c r="J68" s="15" t="inlineStr">
        <is>
          <t>HLLH</t>
        </is>
      </c>
    </row>
    <row r="69" ht="18" customHeight="1">
      <c r="A69" s="21" t="n">
        <v>65</v>
      </c>
      <c r="B69" s="49" t="n">
        <v>5.7</v>
      </c>
      <c r="C69" s="49" t="n">
        <v>3.88</v>
      </c>
      <c r="D69" s="54" t="n">
        <v>11.801</v>
      </c>
      <c r="E69" s="17" t="inlineStr">
        <is>
          <t>H</t>
        </is>
      </c>
      <c r="F69" s="23" t="inlineStr">
        <is>
          <t>L</t>
        </is>
      </c>
      <c r="G69" s="17" t="inlineStr">
        <is>
          <t>H</t>
        </is>
      </c>
      <c r="H69" s="23" t="inlineStr">
        <is>
          <t>L</t>
        </is>
      </c>
      <c r="I69" s="54">
        <f>PI()*(C69/2)^2</f>
        <v/>
      </c>
      <c r="J69" s="16" t="inlineStr">
        <is>
          <t>HLHL</t>
        </is>
      </c>
    </row>
    <row r="70" ht="18" customHeight="1">
      <c r="A70" s="19" t="n">
        <v>66</v>
      </c>
      <c r="B70" s="48" t="n">
        <v>6.16</v>
      </c>
      <c r="C70" s="48" t="n">
        <v>3.59</v>
      </c>
      <c r="D70" s="53" t="n">
        <v>10.136</v>
      </c>
      <c r="E70" s="23" t="inlineStr">
        <is>
          <t>L</t>
        </is>
      </c>
      <c r="F70" s="17" t="inlineStr">
        <is>
          <t>H</t>
        </is>
      </c>
      <c r="G70" s="17" t="inlineStr">
        <is>
          <t>H</t>
        </is>
      </c>
      <c r="H70" s="23" t="inlineStr">
        <is>
          <t>L</t>
        </is>
      </c>
      <c r="I70" s="53">
        <f>PI()*(C70/2)^2</f>
        <v/>
      </c>
      <c r="J70" s="15" t="inlineStr">
        <is>
          <t>LHHL</t>
        </is>
      </c>
    </row>
    <row r="71" ht="18" customHeight="1">
      <c r="A71" s="21" t="n">
        <v>67</v>
      </c>
      <c r="B71" s="49" t="n">
        <v>6.68</v>
      </c>
      <c r="C71" s="49" t="n">
        <v>3.31</v>
      </c>
      <c r="D71" s="54" t="n">
        <v>8.606</v>
      </c>
      <c r="E71" s="23" t="inlineStr">
        <is>
          <t>L</t>
        </is>
      </c>
      <c r="F71" s="17" t="inlineStr">
        <is>
          <t>H</t>
        </is>
      </c>
      <c r="G71" s="23" t="inlineStr">
        <is>
          <t>L</t>
        </is>
      </c>
      <c r="H71" s="17" t="inlineStr">
        <is>
          <t>H</t>
        </is>
      </c>
      <c r="I71" s="54">
        <f>PI()*(C71/2)^2</f>
        <v/>
      </c>
      <c r="J71" s="16" t="inlineStr">
        <is>
          <t>LHLH</t>
        </is>
      </c>
    </row>
    <row r="72" ht="18" customHeight="1">
      <c r="A72" s="19" t="n">
        <v>68</v>
      </c>
      <c r="B72" s="48" t="n">
        <v>7.3</v>
      </c>
      <c r="C72" s="48" t="n">
        <v>3.03</v>
      </c>
      <c r="D72" s="53" t="n">
        <v>7.209</v>
      </c>
      <c r="E72" s="17" t="inlineStr">
        <is>
          <t>H</t>
        </is>
      </c>
      <c r="F72" s="23" t="inlineStr">
        <is>
          <t>L</t>
        </is>
      </c>
      <c r="G72" s="23" t="inlineStr">
        <is>
          <t>L</t>
        </is>
      </c>
      <c r="H72" s="17" t="inlineStr">
        <is>
          <t>H</t>
        </is>
      </c>
      <c r="I72" s="53">
        <f>PI()*(C72/2)^2</f>
        <v/>
      </c>
      <c r="J72" s="15" t="inlineStr">
        <is>
          <t>HLLH</t>
        </is>
      </c>
    </row>
    <row r="73" ht="18" customHeight="1">
      <c r="A73" s="21" t="n">
        <v>69</v>
      </c>
      <c r="B73" s="49" t="n">
        <v>8.039999999999999</v>
      </c>
      <c r="C73" s="49" t="n">
        <v>2.75</v>
      </c>
      <c r="D73" s="54" t="n">
        <v>5.943</v>
      </c>
      <c r="E73" s="17" t="inlineStr">
        <is>
          <t>H</t>
        </is>
      </c>
      <c r="F73" s="23" t="inlineStr">
        <is>
          <t>L</t>
        </is>
      </c>
      <c r="G73" s="17" t="inlineStr">
        <is>
          <t>H</t>
        </is>
      </c>
      <c r="H73" s="23" t="inlineStr">
        <is>
          <t>L</t>
        </is>
      </c>
      <c r="I73" s="54">
        <f>PI()*(C73/2)^2</f>
        <v/>
      </c>
      <c r="J73" s="16" t="inlineStr">
        <is>
          <t>HLHL</t>
        </is>
      </c>
    </row>
    <row r="74" ht="18" customHeight="1">
      <c r="A74" s="19" t="n">
        <v>70</v>
      </c>
      <c r="B74" s="48" t="n">
        <v>8.949999999999999</v>
      </c>
      <c r="C74" s="48" t="n">
        <v>2.47</v>
      </c>
      <c r="D74" s="53" t="n">
        <v>4.806</v>
      </c>
      <c r="E74" s="23" t="inlineStr">
        <is>
          <t>L</t>
        </is>
      </c>
      <c r="F74" s="17" t="inlineStr">
        <is>
          <t>H</t>
        </is>
      </c>
      <c r="G74" s="17" t="inlineStr">
        <is>
          <t>H</t>
        </is>
      </c>
      <c r="H74" s="23" t="inlineStr">
        <is>
          <t>L</t>
        </is>
      </c>
      <c r="I74" s="53">
        <f>PI()*(C74/2)^2</f>
        <v/>
      </c>
      <c r="J74" s="15" t="inlineStr">
        <is>
          <t>LHHL</t>
        </is>
      </c>
    </row>
    <row r="75" ht="18" customHeight="1">
      <c r="A75" s="21" t="n">
        <v>71</v>
      </c>
      <c r="B75" s="49" t="n">
        <v>10.05</v>
      </c>
      <c r="C75" s="49" t="n">
        <v>2.2</v>
      </c>
      <c r="D75" s="54" t="n">
        <v>3.796</v>
      </c>
      <c r="E75" s="23" t="inlineStr">
        <is>
          <t>L</t>
        </is>
      </c>
      <c r="F75" s="17" t="inlineStr">
        <is>
          <t>H</t>
        </is>
      </c>
      <c r="G75" s="23" t="inlineStr">
        <is>
          <t>L</t>
        </is>
      </c>
      <c r="H75" s="17" t="inlineStr">
        <is>
          <t>H</t>
        </is>
      </c>
      <c r="I75" s="54">
        <f>PI()*(C75/2)^2</f>
        <v/>
      </c>
      <c r="J75" s="16" t="inlineStr">
        <is>
          <t>LHLH</t>
        </is>
      </c>
    </row>
    <row r="76" ht="18" customHeight="1">
      <c r="A76" s="19" t="n">
        <v>72</v>
      </c>
      <c r="B76" s="48" t="n">
        <v>11.46</v>
      </c>
      <c r="C76" s="48" t="n">
        <v>1.93</v>
      </c>
      <c r="D76" s="53" t="n">
        <v>2.91</v>
      </c>
      <c r="E76" s="17" t="inlineStr">
        <is>
          <t>H</t>
        </is>
      </c>
      <c r="F76" s="23" t="inlineStr">
        <is>
          <t>L</t>
        </is>
      </c>
      <c r="G76" s="23" t="inlineStr">
        <is>
          <t>L</t>
        </is>
      </c>
      <c r="H76" s="17" t="inlineStr">
        <is>
          <t>H</t>
        </is>
      </c>
      <c r="I76" s="53">
        <f>PI()*(C76/2)^2</f>
        <v/>
      </c>
      <c r="J76" s="15" t="inlineStr">
        <is>
          <t>HLLH</t>
        </is>
      </c>
    </row>
    <row r="77" ht="18" customHeight="1">
      <c r="A77" s="21" t="n">
        <v>73</v>
      </c>
      <c r="B77" s="49" t="n">
        <v>13.4</v>
      </c>
      <c r="C77" s="49" t="n">
        <v>1.65</v>
      </c>
      <c r="D77" s="54" t="n">
        <v>2.146</v>
      </c>
      <c r="E77" s="17" t="inlineStr">
        <is>
          <t>H</t>
        </is>
      </c>
      <c r="F77" s="23" t="inlineStr">
        <is>
          <t>L</t>
        </is>
      </c>
      <c r="G77" s="17" t="inlineStr">
        <is>
          <t>H</t>
        </is>
      </c>
      <c r="H77" s="23" t="inlineStr">
        <is>
          <t>L</t>
        </is>
      </c>
      <c r="I77" s="54">
        <f>PI()*(C77/2)^2</f>
        <v/>
      </c>
      <c r="J77" s="16" t="inlineStr">
        <is>
          <t>HLHL</t>
        </is>
      </c>
    </row>
    <row r="78" ht="18" customHeight="1">
      <c r="A78" s="19" t="n">
        <v>74</v>
      </c>
      <c r="B78" s="48" t="n">
        <v>16.02</v>
      </c>
      <c r="C78" s="48" t="n">
        <v>1.38</v>
      </c>
      <c r="D78" s="53" t="n">
        <v>1.503</v>
      </c>
      <c r="E78" s="23" t="inlineStr">
        <is>
          <t>L</t>
        </is>
      </c>
      <c r="F78" s="17" t="inlineStr">
        <is>
          <t>H</t>
        </is>
      </c>
      <c r="G78" s="17" t="inlineStr">
        <is>
          <t>H</t>
        </is>
      </c>
      <c r="H78" s="23" t="inlineStr">
        <is>
          <t>L</t>
        </is>
      </c>
      <c r="I78" s="53">
        <f>PI()*(C78/2)^2</f>
        <v/>
      </c>
      <c r="J78" s="15" t="inlineStr">
        <is>
          <t>LHHL</t>
        </is>
      </c>
    </row>
    <row r="79" ht="18" customHeight="1">
      <c r="A79" s="21" t="n">
        <v>75</v>
      </c>
      <c r="B79" s="49" t="n">
        <v>19.74</v>
      </c>
      <c r="C79" s="49" t="n">
        <v>1.12</v>
      </c>
      <c r="D79" s="54" t="n">
        <v>0.977</v>
      </c>
      <c r="E79" s="23" t="inlineStr">
        <is>
          <t>L</t>
        </is>
      </c>
      <c r="F79" s="17" t="inlineStr">
        <is>
          <t>H</t>
        </is>
      </c>
      <c r="G79" s="23" t="inlineStr">
        <is>
          <t>L</t>
        </is>
      </c>
      <c r="H79" s="17" t="inlineStr">
        <is>
          <t>H</t>
        </is>
      </c>
      <c r="I79" s="54">
        <f>PI()*(C79/2)^2</f>
        <v/>
      </c>
      <c r="J79" s="16" t="inlineStr">
        <is>
          <t>LHLH</t>
        </is>
      </c>
    </row>
    <row r="80" ht="18" customHeight="1">
      <c r="A80" s="19" t="n">
        <v>76</v>
      </c>
      <c r="B80" s="48" t="n">
        <v>26.01</v>
      </c>
      <c r="C80" s="48" t="n">
        <v>0.85</v>
      </c>
      <c r="D80" s="53" t="n">
        <v>0.5659999999999999</v>
      </c>
      <c r="E80" s="17" t="inlineStr">
        <is>
          <t>H</t>
        </is>
      </c>
      <c r="F80" s="23" t="inlineStr">
        <is>
          <t>L</t>
        </is>
      </c>
      <c r="G80" s="23" t="inlineStr">
        <is>
          <t>L</t>
        </is>
      </c>
      <c r="H80" s="17" t="inlineStr">
        <is>
          <t>H</t>
        </is>
      </c>
      <c r="I80" s="53">
        <f>PI()*(C80/2)^2</f>
        <v/>
      </c>
      <c r="J80" s="15" t="inlineStr">
        <is>
          <t>HLLH</t>
        </is>
      </c>
    </row>
    <row r="81" ht="18" customHeight="1">
      <c r="A81" s="21" t="n">
        <v>77</v>
      </c>
      <c r="B81" s="49" t="n">
        <v>38.11</v>
      </c>
      <c r="C81" s="49" t="n">
        <v>0.58</v>
      </c>
      <c r="D81" s="54" t="n">
        <v>0.267</v>
      </c>
      <c r="E81" s="17" t="inlineStr">
        <is>
          <t>H</t>
        </is>
      </c>
      <c r="F81" s="23" t="inlineStr">
        <is>
          <t>L</t>
        </is>
      </c>
      <c r="G81" s="17" t="inlineStr">
        <is>
          <t>H</t>
        </is>
      </c>
      <c r="H81" s="23" t="inlineStr">
        <is>
          <t>L</t>
        </is>
      </c>
      <c r="I81" s="54">
        <f>PI()*(C81/2)^2</f>
        <v/>
      </c>
      <c r="J81" s="16" t="inlineStr">
        <is>
          <t>HLHL</t>
        </is>
      </c>
    </row>
    <row r="82" ht="18" customHeight="1">
      <c r="A82" s="19" t="n">
        <v>78</v>
      </c>
      <c r="B82" s="48" t="n">
        <v>69.08</v>
      </c>
      <c r="C82" s="48" t="n">
        <v>0.32</v>
      </c>
      <c r="D82" s="53" t="n">
        <v>0.078</v>
      </c>
      <c r="E82" s="23" t="inlineStr">
        <is>
          <t>L</t>
        </is>
      </c>
      <c r="F82" s="17" t="inlineStr">
        <is>
          <t>H</t>
        </is>
      </c>
      <c r="G82" s="17" t="inlineStr">
        <is>
          <t>H</t>
        </is>
      </c>
      <c r="H82" s="23" t="inlineStr">
        <is>
          <t>L</t>
        </is>
      </c>
      <c r="I82" s="53">
        <f>PI()*(C82/2)^2</f>
        <v/>
      </c>
      <c r="J82" s="15" t="inlineStr">
        <is>
          <t>LHHL</t>
        </is>
      </c>
    </row>
    <row r="83" ht="18" customHeight="1">
      <c r="A83" s="21" t="n">
        <v>79</v>
      </c>
      <c r="B83" s="49" t="n">
        <v>276.24</v>
      </c>
      <c r="C83" s="49" t="n">
        <v>0.08</v>
      </c>
      <c r="D83" s="54" t="n">
        <v>0.005</v>
      </c>
      <c r="E83" s="23" t="inlineStr">
        <is>
          <t>L</t>
        </is>
      </c>
      <c r="F83" s="17" t="inlineStr">
        <is>
          <t>H</t>
        </is>
      </c>
      <c r="G83" s="23" t="inlineStr">
        <is>
          <t>L</t>
        </is>
      </c>
      <c r="H83" s="17" t="inlineStr">
        <is>
          <t>H</t>
        </is>
      </c>
      <c r="I83" s="54">
        <f>PI()*(C83/2)^2</f>
        <v/>
      </c>
      <c r="J83" s="16" t="inlineStr">
        <is>
          <t>LHLH</t>
        </is>
      </c>
    </row>
    <row r="84" ht="18" customHeight="1">
      <c r="A84" s="19" t="n">
        <v>80</v>
      </c>
      <c r="B84" s="55" t="n"/>
      <c r="C84" s="48" t="n">
        <v>0</v>
      </c>
      <c r="D84" s="53" t="n">
        <v>0</v>
      </c>
      <c r="E84" s="17" t="inlineStr">
        <is>
          <t>H</t>
        </is>
      </c>
      <c r="F84" s="23" t="inlineStr">
        <is>
          <t>L</t>
        </is>
      </c>
      <c r="G84" s="23" t="inlineStr">
        <is>
          <t>L</t>
        </is>
      </c>
      <c r="H84" s="17" t="inlineStr">
        <is>
          <t>H</t>
        </is>
      </c>
      <c r="I84" s="53">
        <f>PI()*(C84/2)^2</f>
        <v/>
      </c>
      <c r="J84" s="15" t="inlineStr">
        <is>
          <t>closed</t>
        </is>
      </c>
    </row>
    <row r="85" ht="18" customHeight="1">
      <c r="A85" s="21" t="n">
        <v>81</v>
      </c>
      <c r="B85" s="55" t="n"/>
      <c r="C85" s="49" t="n">
        <v>0</v>
      </c>
      <c r="D85" s="54" t="n">
        <v>0</v>
      </c>
      <c r="E85" s="17" t="inlineStr">
        <is>
          <t>H</t>
        </is>
      </c>
      <c r="F85" s="23" t="inlineStr">
        <is>
          <t>L</t>
        </is>
      </c>
      <c r="G85" s="17" t="inlineStr">
        <is>
          <t>H</t>
        </is>
      </c>
      <c r="H85" s="23" t="inlineStr">
        <is>
          <t>L</t>
        </is>
      </c>
      <c r="I85" s="54">
        <f>PI()*(C85/2)^2</f>
        <v/>
      </c>
      <c r="J85" s="16" t="inlineStr">
        <is>
          <t>closed</t>
        </is>
      </c>
    </row>
    <row r="86" ht="18" customHeight="1">
      <c r="A86" s="19" t="n">
        <v>82</v>
      </c>
      <c r="B86" s="55" t="n"/>
      <c r="C86" s="48" t="n">
        <v>0</v>
      </c>
      <c r="D86" s="53" t="n">
        <v>0</v>
      </c>
      <c r="E86" s="23" t="inlineStr">
        <is>
          <t>L</t>
        </is>
      </c>
      <c r="F86" s="17" t="inlineStr">
        <is>
          <t>H</t>
        </is>
      </c>
      <c r="G86" s="17" t="inlineStr">
        <is>
          <t>H</t>
        </is>
      </c>
      <c r="H86" s="23" t="inlineStr">
        <is>
          <t>L</t>
        </is>
      </c>
      <c r="I86" s="53">
        <f>PI()*(C86/2)^2</f>
        <v/>
      </c>
      <c r="J86" s="15" t="inlineStr">
        <is>
          <t>closed</t>
        </is>
      </c>
    </row>
    <row r="87" ht="18" customHeight="1">
      <c r="A87" s="21" t="n">
        <v>83</v>
      </c>
      <c r="B87" s="55" t="n"/>
      <c r="C87" s="49" t="n">
        <v>0</v>
      </c>
      <c r="D87" s="54" t="n">
        <v>0</v>
      </c>
      <c r="E87" s="23" t="inlineStr">
        <is>
          <t>L</t>
        </is>
      </c>
      <c r="F87" s="17" t="inlineStr">
        <is>
          <t>H</t>
        </is>
      </c>
      <c r="G87" s="23" t="inlineStr">
        <is>
          <t>L</t>
        </is>
      </c>
      <c r="H87" s="17" t="inlineStr">
        <is>
          <t>H</t>
        </is>
      </c>
      <c r="I87" s="54">
        <f>PI()*(C87/2)^2</f>
        <v/>
      </c>
      <c r="J87" s="16" t="inlineStr">
        <is>
          <t>closed</t>
        </is>
      </c>
    </row>
    <row r="89" ht="18" customHeight="1">
      <c r="A89" s="14" t="inlineStr">
        <is>
          <t>Steps 80–83 have diameter/area = 0 (fully closed); Fno is blank in the PDF. Area check column recomputes π·(Φ/2)² from Diameter for verification against Open Area.</t>
        </is>
      </c>
    </row>
  </sheetData>
  <autoFilter ref="A3:J87"/>
  <mergeCells count="3">
    <mergeCell ref="A1:J1"/>
    <mergeCell ref="A89:J89"/>
    <mergeCell ref="A2:J2"/>
  </mergeCells>
  <conditionalFormatting sqref="B4:B8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pageSetup orientation="landscape" paperSize="9" fitToHeight="0" fitToWidth="1"/>
  <headerFooter>
    <oddHeader>&amp;LConfidential  ·  嘉兴中润光学&amp;RF139T-4  90.S08600.104</oddHeader>
    <oddFooter>&amp;C&amp;A  | 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90" customWidth="1" min="3" max="3"/>
  </cols>
  <sheetData>
    <row r="1" ht="24" customHeight="1">
      <c r="A1" s="4" t="inlineStr">
        <is>
          <t>15. 外观检验规格  Appearance Check Spec</t>
        </is>
      </c>
      <c r="B1" s="5" t="n"/>
      <c r="C1" s="5" t="n"/>
    </row>
    <row r="2" ht="22" customHeight="1">
      <c r="A2" s="6" t="inlineStr">
        <is>
          <t>NO.</t>
        </is>
      </c>
      <c r="B2" s="6" t="inlineStr">
        <is>
          <t>项目 Item</t>
        </is>
      </c>
      <c r="C2" s="6" t="inlineStr">
        <is>
          <t>描述 Description</t>
        </is>
      </c>
    </row>
    <row r="3" ht="140" customHeight="1">
      <c r="A3" s="19" t="n">
        <v>1</v>
      </c>
      <c r="B3" s="8" t="inlineStr">
        <is>
          <t>外观检测
Appearance Inspection</t>
        </is>
      </c>
      <c r="C3" s="8" t="inlineStr">
        <is>
          <t>1) 检测方式 Check Method: Indoor table lamp, visual. Eye-to-sample 30 cm ± 5 cm.
2) 检查工具 Inspection tool: Scratch/dig film ruler.
3) 检测标准 Check Standard:
   a) 线伤/点伤 Scratches/Spots of lenses/filters: MIL 60-40. Total scratch length of a single lens or filter &lt; 1/2 diameter. Acceptable if scratches/spots disappear after rotation.
   b) FPC: slight creases acceptable if they do not affect lens performance.
   c) Lens external: slight scratches acceptable if they do not affect performance.
   d) Lens inside: refer to MIL 60-40.
4) 参考文献 Reference: MIL-PRF-13830B performance standard.</t>
        </is>
      </c>
    </row>
  </sheetData>
  <mergeCells count="1">
    <mergeCell ref="A1:C1"/>
  </mergeCells>
  <pageMargins left="0.75" right="0.75" top="1" bottom="1" header="0.5" footer="0.5"/>
  <pageSetup paperSize="9" fitToHeight="0" fitToWidth="1"/>
  <headerFooter>
    <oddHeader>&amp;LConfidential  ·  嘉兴中润光学&amp;RF139T-4  90.S08600.104</oddHeader>
    <oddFooter>&amp;C&amp;A  | 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PDF to Excel conversion</dc:creator>
  <dc:title>F139T-4 Product Specification</dc:title>
  <dc:subject>1/1.8 5X Zoom/Focus Lens IMX334</dc:subject>
  <dcterms:created xsi:type="dcterms:W3CDTF">2026-08-21T03:04:08Z</dcterms:created>
  <dcterms:modified xsi:type="dcterms:W3CDTF">2026-08-21T03:04:08Z</dcterms:modified>
  <cp:category>Product Specification</cp:category>
</cp:coreProperties>
</file>