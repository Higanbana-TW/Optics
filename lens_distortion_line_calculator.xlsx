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逆畸變計算器" sheetId="1" state="visible" r:id="rId1"/>
    <sheet name="使用說明" sheetId="2" state="visible" r:id="rId2"/>
  </sheets>
  <definedNames>
    <definedName name="_xlnm._FilterDatabase" localSheetId="0" hidden="1">'逆畸變計算器'!$A$18:$B$218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3" borderId="1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3" borderId="1" pivotButton="0" quotePrefix="0" xfId="0"/>
    <xf numFmtId="164" fontId="0" fillId="0" borderId="1" pivotButton="0" quotePrefix="0" xfId="0"/>
    <xf numFmtId="164" fontId="0" fillId="5" borderId="1" pivotButton="0" quotePrefix="0" xfId="0"/>
    <xf numFmtId="0" fontId="3" fillId="2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Sensor：目標長方形與正向驗證</a:t>
            </a:r>
          </a:p>
        </rich>
      </tx>
    </title>
    <plotArea>
      <scatterChart>
        <ser>
          <idx val="0"/>
          <order val="0"/>
          <tx>
            <v>Sensor 目標</v>
          </tx>
          <spPr>
            <a:ln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'逆畸變計算器'!$H$27:$H$227</f>
            </numRef>
          </xVal>
          <yVal>
            <numRef>
              <f>'逆畸變計算器'!$I$27:$I$227</f>
            </numRef>
          </yVal>
        </ser>
        <ser>
          <idx val="1"/>
          <order val="1"/>
          <tx>
            <v>正向驗證</v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'逆畸變計算器'!$Q$27:$Q$227</f>
            </numRef>
          </xVal>
          <yVal>
            <numRef>
              <f>'逆畸變計算器'!$R$27:$R$227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 (pixel)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 (pixel，向下為正)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物方：需要製作的預變形曲邊</a:t>
            </a:r>
          </a:p>
        </rich>
      </tx>
    </title>
    <plotArea>
      <scatterChart>
        <ser>
          <idx val="0"/>
          <order val="0"/>
          <tx>
            <v>物方預變形</v>
          </tx>
          <spPr>
            <a:ln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'逆畸變計算器'!$O$27:$O$227</f>
            </numRef>
          </xVal>
          <yVal>
            <numRef>
              <f>'逆畸變計算器'!$P$27:$P$227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物方 X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物方 Y (mm)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230</row>
      <rowOff>0</rowOff>
    </from>
    <ext cx="61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230</row>
      <rowOff>0</rowOff>
    </from>
    <ext cx="61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7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9" customWidth="1" min="4" max="4"/>
    <col width="18" customWidth="1" min="5" max="5"/>
    <col width="16" customWidth="1" min="6" max="6"/>
    <col width="9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1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</cols>
  <sheetData>
    <row r="1" ht="30" customHeight="1">
      <c r="A1" s="1" t="inlineStr">
        <is>
          <t>Lens Distortion 長方形逆向預變形計算器</t>
        </is>
      </c>
    </row>
    <row r="2">
      <c r="A2" s="2" t="inlineStr">
        <is>
          <t>先定義 sensor 上希望看到的正常長方形，再反算物方預變形邊界；黃色欄位為輸入。</t>
        </is>
      </c>
    </row>
    <row r="3">
      <c r="A3" s="3" t="inlineStr">
        <is>
          <t>鏡頭／Sensor 輸入</t>
        </is>
      </c>
      <c r="D3" s="3" t="inlineStr">
        <is>
          <t>Sensor 目標長方形</t>
        </is>
      </c>
    </row>
    <row r="4">
      <c r="A4" t="inlineStr">
        <is>
          <t>Sensor pixel size</t>
        </is>
      </c>
      <c r="B4" s="4" t="n">
        <v>3.45</v>
      </c>
      <c r="C4" t="inlineStr">
        <is>
          <t>µm/pixel</t>
        </is>
      </c>
      <c r="D4" t="inlineStr">
        <is>
          <t>中心 X</t>
        </is>
      </c>
      <c r="E4" s="4" t="n">
        <v>960</v>
      </c>
      <c r="F4" t="inlineStr">
        <is>
          <t>pixel</t>
        </is>
      </c>
    </row>
    <row r="5">
      <c r="A5" t="inlineStr">
        <is>
          <t>Lens 有效焦距 EFL</t>
        </is>
      </c>
      <c r="B5" s="4" t="n">
        <v>4</v>
      </c>
      <c r="C5" t="inlineStr">
        <is>
          <t>mm</t>
        </is>
      </c>
      <c r="D5" t="inlineStr">
        <is>
          <t>中心 Y</t>
        </is>
      </c>
      <c r="E5" s="4" t="n">
        <v>540</v>
      </c>
      <c r="F5" t="inlineStr">
        <is>
          <t>pixel</t>
        </is>
      </c>
    </row>
    <row r="6">
      <c r="A6" t="inlineStr">
        <is>
          <t>物方平面至入瞳距離</t>
        </is>
      </c>
      <c r="B6" s="4" t="n">
        <v>1000</v>
      </c>
      <c r="C6" t="inlineStr">
        <is>
          <t>mm</t>
        </is>
      </c>
      <c r="D6" t="inlineStr">
        <is>
          <t>寬度</t>
        </is>
      </c>
      <c r="E6" s="4" t="n">
        <v>800</v>
      </c>
      <c r="F6" t="inlineStr">
        <is>
          <t>pixel</t>
        </is>
      </c>
    </row>
    <row r="7">
      <c r="A7" t="inlineStr">
        <is>
          <t>光軸中心 X</t>
        </is>
      </c>
      <c r="B7" s="4" t="n">
        <v>960</v>
      </c>
      <c r="C7" t="inlineStr">
        <is>
          <t>pixel</t>
        </is>
      </c>
      <c r="D7" t="inlineStr">
        <is>
          <t>高度</t>
        </is>
      </c>
      <c r="E7" s="4" t="n">
        <v>400</v>
      </c>
      <c r="F7" t="inlineStr">
        <is>
          <t>pixel</t>
        </is>
      </c>
    </row>
    <row r="8">
      <c r="A8" t="inlineStr">
        <is>
          <t>光軸中心 Y</t>
        </is>
      </c>
      <c r="B8" s="4" t="n">
        <v>540</v>
      </c>
      <c r="C8" t="inlineStr">
        <is>
          <t>pixel</t>
        </is>
      </c>
      <c r="D8" t="inlineStr">
        <is>
          <t>旋轉角</t>
        </is>
      </c>
      <c r="E8" s="4" t="n">
        <v>0</v>
      </c>
      <c r="F8" t="inlineStr">
        <is>
          <t>degree，順時針</t>
        </is>
      </c>
    </row>
    <row r="9">
      <c r="D9" t="inlineStr">
        <is>
          <t>每邊取樣段數</t>
        </is>
      </c>
      <c r="E9" s="4" t="n">
        <v>25</v>
      </c>
      <c r="F9" t="inlineStr">
        <is>
          <t>2～50</t>
        </is>
      </c>
    </row>
    <row r="11">
      <c r="A11" s="5" t="inlineStr">
        <is>
          <t>輸入檢查</t>
        </is>
      </c>
      <c r="B11" s="6">
        <f>IF(AND(B4&gt;0,B5&gt;0,B6&gt;0,E6&gt;0,E7&gt;0,E9&gt;=2,E9&lt;=50),"OK","錯誤：數值範圍")</f>
        <v/>
      </c>
      <c r="C11" s="6" t="n"/>
      <c r="D11" s="6" t="inlineStr">
        <is>
          <t>最大邊界點數</t>
        </is>
      </c>
      <c r="E11" s="6">
        <f>4*E9+1</f>
        <v/>
      </c>
    </row>
    <row r="12">
      <c r="A12" s="6" t="n"/>
      <c r="B12" s="6" t="n"/>
      <c r="C12" s="6" t="n"/>
      <c r="D12" s="7" t="inlineStr">
        <is>
          <t>有效畸變表列數</t>
        </is>
      </c>
      <c r="E12" s="8">
        <f>COUNT(A19:A218)</f>
        <v/>
      </c>
    </row>
    <row r="13">
      <c r="A13" s="6" t="n"/>
      <c r="B13" s="6" t="n"/>
      <c r="C13" s="6" t="n"/>
      <c r="D13" s="7" t="inlineStr">
        <is>
          <t>畸變表狀態</t>
        </is>
      </c>
      <c r="E13" s="8">
        <f>IF(E12&lt;2,"錯誤：至少 2 列",IF(A19&lt;&gt;0,"錯誤：首列半視角須為 0",IF(COUNTBLANK(A19:INDEX(A:A,18+E12))+COUNTBLANK(B19:INDEX(B:B,18+E12))&gt;0,"錯誤：中間不可空白",IF(SUMPRODUCT(--(A20:INDEX(A:A,18+E12)&lt;=A19:INDEX(A:A,17+E12)))&gt;0,"錯誤：半視角須遞增",IF(SUMPRODUCT(--(D20:INDEX(D:D,18+E12)&lt;=D19:INDEX(D:D,17+E12)))&gt;0,"錯誤：畸變像高須遞增","OK")))))</f>
        <v/>
      </c>
    </row>
    <row r="14">
      <c r="A14" s="6" t="n"/>
      <c r="B14" s="6" t="n"/>
      <c r="C14" s="6" t="n"/>
      <c r="D14" s="7" t="inlineStr">
        <is>
          <t>目標範圍</t>
        </is>
      </c>
      <c r="E14" s="8">
        <f>IF(MAX(L19:L22)&gt;MAX(D19:D218),"警告：超出表格，使用端點角度","OK")</f>
        <v/>
      </c>
    </row>
    <row r="17">
      <c r="A17" s="3" t="inlineStr">
        <is>
          <t>Lens distortion table（最多 200 筆）</t>
        </is>
      </c>
      <c r="G17" s="3" t="inlineStr">
        <is>
          <t>物方預變形四角與正向驗證</t>
        </is>
      </c>
    </row>
    <row r="18" ht="42" customHeight="1">
      <c r="A18" s="9" t="inlineStr">
        <is>
          <t>半視角 θ
(degree)</t>
        </is>
      </c>
      <c r="B18" s="9" t="inlineStr">
        <is>
          <t>Optical distortion
(%)</t>
        </is>
      </c>
      <c r="C18" s="9" t="inlineStr">
        <is>
          <t>理想 sensor 半徑
(mm)</t>
        </is>
      </c>
      <c r="D18" s="9" t="inlineStr">
        <is>
          <t>畸變 sensor 半徑
(mm)</t>
        </is>
      </c>
      <c r="E18" s="9" t="inlineStr">
        <is>
          <t>物方半徑
(mm)</t>
        </is>
      </c>
      <c r="G18" s="9" t="inlineStr">
        <is>
          <t>點</t>
        </is>
      </c>
      <c r="H18" s="9" t="inlineStr">
        <is>
          <t>目標 X
(pixel)</t>
        </is>
      </c>
      <c r="I18" s="9" t="inlineStr">
        <is>
          <t>目標 Y
(pixel)</t>
        </is>
      </c>
      <c r="J18" s="9" t="inlineStr">
        <is>
          <t>相對 X
(pixel)</t>
        </is>
      </c>
      <c r="K18" s="9" t="inlineStr">
        <is>
          <t>相對 Y
(pixel)</t>
        </is>
      </c>
      <c r="L18" s="9" t="inlineStr">
        <is>
          <t>目標半徑
(mm)</t>
        </is>
      </c>
      <c r="M18" s="9" t="inlineStr">
        <is>
          <t>反查半視角
(degree)</t>
        </is>
      </c>
      <c r="N18" s="9" t="inlineStr">
        <is>
          <t>物方半徑
(mm)</t>
        </is>
      </c>
      <c r="O18" s="9" t="inlineStr">
        <is>
          <t>物方 X
(mm)</t>
        </is>
      </c>
      <c r="P18" s="9" t="inlineStr">
        <is>
          <t>物方 Y
(mm)</t>
        </is>
      </c>
      <c r="Q18" s="9" t="inlineStr">
        <is>
          <t>驗證 X
(pixel)</t>
        </is>
      </c>
      <c r="R18" s="9" t="inlineStr">
        <is>
          <t>驗證 Y
(pixel)</t>
        </is>
      </c>
      <c r="S18" s="9" t="inlineStr">
        <is>
          <t>誤差
(pixel)</t>
        </is>
      </c>
    </row>
    <row r="19">
      <c r="A19" s="10" t="n">
        <v>0</v>
      </c>
      <c r="B19" s="10" t="n">
        <v>0</v>
      </c>
      <c r="C19" s="11">
        <f>IF(A19="","",$B$5*TAN(RADIANS(A19)))</f>
        <v/>
      </c>
      <c r="D19" s="11">
        <f>IF(C19="","",C19*(1+B19/100))</f>
        <v/>
      </c>
      <c r="E19" s="11">
        <f>IF(A19="","",$B$6*TAN(RADIANS(A19)))</f>
        <v/>
      </c>
      <c r="G19" s="12" t="inlineStr">
        <is>
          <t>P1</t>
        </is>
      </c>
      <c r="H19" s="12">
        <f>$E$4+V19*COS(RADIANS($E$8))-W19*SIN(RADIANS($E$8))</f>
        <v/>
      </c>
      <c r="I19" s="12">
        <f>$E$5+V19*SIN(RADIANS($E$8))+W19*COS(RADIANS($E$8))</f>
        <v/>
      </c>
      <c r="J19" s="12">
        <f>IF(H19="","",H19-$B$7)</f>
        <v/>
      </c>
      <c r="K19" s="12">
        <f>IF(I19="","",I19-$B$8)</f>
        <v/>
      </c>
      <c r="L19" s="12">
        <f>IFERROR(SQRT(J19^2+K19^2)*$B$4/1000,"")</f>
        <v/>
      </c>
      <c r="M19" s="12">
        <f>IF(OR($E$13&lt;&gt;"OK",L19=""),"",IF(L19&lt;=$D$19,$A$19,IF(L19&gt;=INDEX($D$19:$D$218,$E$12),INDEX($A$19:$A$218,$E$12),INDEX($A$19:$A$218,MATCH(L19,$D$19:INDEX($D$19:$D$218,$E$12),1))+(L19-INDEX($D$19:$D$218,MATCH(L19,$D$19:INDEX($D$19:$D$218,$E$12),1)))*(INDEX($A$19:$A$218,MATCH(L19,$D$19:INDEX($D$19:$D$218,$E$12),1)+1)-INDEX($A$19:$A$218,MATCH(L19,$D$19:INDEX($D$19:$D$218,$E$12),1)))/(INDEX($D$19:$D$218,MATCH(L19,$D$19:INDEX($D$19:$D$218,$E$12),1)+1)-INDEX($D$19:$D$218,MATCH(L19,$D$19:INDEX($D$19:$D$218,$E$12),1))))))</f>
        <v/>
      </c>
      <c r="N19" s="12">
        <f>IF(M19="","",$B$6*TAN(RADIANS(M19)))</f>
        <v/>
      </c>
      <c r="O19" s="12">
        <f>IF(N19="","",IF(L19=0,0,-N19*J19/SQRT(J19^2+K19^2)))</f>
        <v/>
      </c>
      <c r="P19" s="12">
        <f>IF(N19="","",IF(L19=0,0,N19*K19/SQRT(J19^2+K19^2)))</f>
        <v/>
      </c>
      <c r="Q19" s="12">
        <f>IF(N19="","",IF(N19=0,$B$7,$B$7-Y19*O19/N19))</f>
        <v/>
      </c>
      <c r="R19" s="12">
        <f>IF(N19="","",IF(N19=0,$B$8,$B$8+Y19*P19/N19))</f>
        <v/>
      </c>
      <c r="S19" s="12">
        <f>IFERROR(SQRT((Q19-H19)^2+(R19-I19)^2),"")</f>
        <v/>
      </c>
      <c r="V19">
        <f>-$E$6/2</f>
        <v/>
      </c>
      <c r="W19">
        <f>-$E$7/2</f>
        <v/>
      </c>
      <c r="X19">
        <f>IF(OR($E$13&lt;&gt;"OK",M19=""),"",IF(M19&lt;=$A$19,$D$19,IF(M19&gt;=INDEX($A$19:$A$218,$E$12),INDEX($D$19:$D$218,$E$12),INDEX($D$19:$D$218,MATCH(M19,$A$19:INDEX($A$19:$A$218,$E$12),1))+(M19-INDEX($A$19:$A$218,MATCH(M19,$A$19:INDEX($A$19:$A$218,$E$12),1)))*(INDEX($D$19:$D$218,MATCH(M19,$A$19:INDEX($A$19:$A$218,$E$12),1)+1)-INDEX($D$19:$D$218,MATCH(M19,$A$19:INDEX($A$19:$A$218,$E$12),1)))/(INDEX($A$19:$A$218,MATCH(M19,$A$19:INDEX($A$19:$A$218,$E$12),1)+1)-INDEX($A$19:$A$218,MATCH(M19,$A$19:INDEX($A$19:$A$218,$E$12),1))))))</f>
        <v/>
      </c>
      <c r="Y19">
        <f>IF(X19="","",X19*1000/$B$4)</f>
        <v/>
      </c>
    </row>
    <row r="20">
      <c r="A20" s="10" t="n">
        <v>10</v>
      </c>
      <c r="B20" s="10" t="n">
        <v>-0.5</v>
      </c>
      <c r="C20" s="11">
        <f>IF(A20="","",$B$5*TAN(RADIANS(A20)))</f>
        <v/>
      </c>
      <c r="D20" s="11">
        <f>IF(C20="","",C20*(1+B20/100))</f>
        <v/>
      </c>
      <c r="E20" s="11">
        <f>IF(A20="","",$B$6*TAN(RADIANS(A20)))</f>
        <v/>
      </c>
      <c r="G20" s="12" t="inlineStr">
        <is>
          <t>P2</t>
        </is>
      </c>
      <c r="H20" s="12">
        <f>$E$4+V20*COS(RADIANS($E$8))-W20*SIN(RADIANS($E$8))</f>
        <v/>
      </c>
      <c r="I20" s="12">
        <f>$E$5+V20*SIN(RADIANS($E$8))+W20*COS(RADIANS($E$8))</f>
        <v/>
      </c>
      <c r="J20" s="12">
        <f>IF(H20="","",H20-$B$7)</f>
        <v/>
      </c>
      <c r="K20" s="12">
        <f>IF(I20="","",I20-$B$8)</f>
        <v/>
      </c>
      <c r="L20" s="12">
        <f>IFERROR(SQRT(J20^2+K20^2)*$B$4/1000,"")</f>
        <v/>
      </c>
      <c r="M20" s="12">
        <f>IF(OR($E$13&lt;&gt;"OK",L20=""),"",IF(L20&lt;=$D$19,$A$19,IF(L20&gt;=INDEX($D$19:$D$218,$E$12),INDEX($A$19:$A$218,$E$12),INDEX($A$19:$A$218,MATCH(L20,$D$19:INDEX($D$19:$D$218,$E$12),1))+(L20-INDEX($D$19:$D$218,MATCH(L20,$D$19:INDEX($D$19:$D$218,$E$12),1)))*(INDEX($A$19:$A$218,MATCH(L20,$D$19:INDEX($D$19:$D$218,$E$12),1)+1)-INDEX($A$19:$A$218,MATCH(L20,$D$19:INDEX($D$19:$D$218,$E$12),1)))/(INDEX($D$19:$D$218,MATCH(L20,$D$19:INDEX($D$19:$D$218,$E$12),1)+1)-INDEX($D$19:$D$218,MATCH(L20,$D$19:INDEX($D$19:$D$218,$E$12),1))))))</f>
        <v/>
      </c>
      <c r="N20" s="12">
        <f>IF(M20="","",$B$6*TAN(RADIANS(M20)))</f>
        <v/>
      </c>
      <c r="O20" s="12">
        <f>IF(N20="","",IF(L20=0,0,-N20*J20/SQRT(J20^2+K20^2)))</f>
        <v/>
      </c>
      <c r="P20" s="12">
        <f>IF(N20="","",IF(L20=0,0,N20*K20/SQRT(J20^2+K20^2)))</f>
        <v/>
      </c>
      <c r="Q20" s="12">
        <f>IF(N20="","",IF(N20=0,$B$7,$B$7-Y20*O20/N20))</f>
        <v/>
      </c>
      <c r="R20" s="12">
        <f>IF(N20="","",IF(N20=0,$B$8,$B$8+Y20*P20/N20))</f>
        <v/>
      </c>
      <c r="S20" s="12">
        <f>IFERROR(SQRT((Q20-H20)^2+(R20-I20)^2),"")</f>
        <v/>
      </c>
      <c r="V20">
        <f>$E$6/2</f>
        <v/>
      </c>
      <c r="W20">
        <f>-$E$7/2</f>
        <v/>
      </c>
      <c r="X20">
        <f>IF(OR($E$13&lt;&gt;"OK",M20=""),"",IF(M20&lt;=$A$19,$D$19,IF(M20&gt;=INDEX($A$19:$A$218,$E$12),INDEX($D$19:$D$218,$E$12),INDEX($D$19:$D$218,MATCH(M20,$A$19:INDEX($A$19:$A$218,$E$12),1))+(M20-INDEX($A$19:$A$218,MATCH(M20,$A$19:INDEX($A$19:$A$218,$E$12),1)))*(INDEX($D$19:$D$218,MATCH(M20,$A$19:INDEX($A$19:$A$218,$E$12),1)+1)-INDEX($D$19:$D$218,MATCH(M20,$A$19:INDEX($A$19:$A$218,$E$12),1)))/(INDEX($A$19:$A$218,MATCH(M20,$A$19:INDEX($A$19:$A$218,$E$12),1)+1)-INDEX($A$19:$A$218,MATCH(M20,$A$19:INDEX($A$19:$A$218,$E$12),1))))))</f>
        <v/>
      </c>
      <c r="Y20">
        <f>IF(X20="","",X20*1000/$B$4)</f>
        <v/>
      </c>
    </row>
    <row r="21">
      <c r="A21" s="10" t="n">
        <v>20</v>
      </c>
      <c r="B21" s="10" t="n">
        <v>-2</v>
      </c>
      <c r="C21" s="11">
        <f>IF(A21="","",$B$5*TAN(RADIANS(A21)))</f>
        <v/>
      </c>
      <c r="D21" s="11">
        <f>IF(C21="","",C21*(1+B21/100))</f>
        <v/>
      </c>
      <c r="E21" s="11">
        <f>IF(A21="","",$B$6*TAN(RADIANS(A21)))</f>
        <v/>
      </c>
      <c r="G21" s="12" t="inlineStr">
        <is>
          <t>P3</t>
        </is>
      </c>
      <c r="H21" s="12">
        <f>$E$4+V21*COS(RADIANS($E$8))-W21*SIN(RADIANS($E$8))</f>
        <v/>
      </c>
      <c r="I21" s="12">
        <f>$E$5+V21*SIN(RADIANS($E$8))+W21*COS(RADIANS($E$8))</f>
        <v/>
      </c>
      <c r="J21" s="12">
        <f>IF(H21="","",H21-$B$7)</f>
        <v/>
      </c>
      <c r="K21" s="12">
        <f>IF(I21="","",I21-$B$8)</f>
        <v/>
      </c>
      <c r="L21" s="12">
        <f>IFERROR(SQRT(J21^2+K21^2)*$B$4/1000,"")</f>
        <v/>
      </c>
      <c r="M21" s="12">
        <f>IF(OR($E$13&lt;&gt;"OK",L21=""),"",IF(L21&lt;=$D$19,$A$19,IF(L21&gt;=INDEX($D$19:$D$218,$E$12),INDEX($A$19:$A$218,$E$12),INDEX($A$19:$A$218,MATCH(L21,$D$19:INDEX($D$19:$D$218,$E$12),1))+(L21-INDEX($D$19:$D$218,MATCH(L21,$D$19:INDEX($D$19:$D$218,$E$12),1)))*(INDEX($A$19:$A$218,MATCH(L21,$D$19:INDEX($D$19:$D$218,$E$12),1)+1)-INDEX($A$19:$A$218,MATCH(L21,$D$19:INDEX($D$19:$D$218,$E$12),1)))/(INDEX($D$19:$D$218,MATCH(L21,$D$19:INDEX($D$19:$D$218,$E$12),1)+1)-INDEX($D$19:$D$218,MATCH(L21,$D$19:INDEX($D$19:$D$218,$E$12),1))))))</f>
        <v/>
      </c>
      <c r="N21" s="12">
        <f>IF(M21="","",$B$6*TAN(RADIANS(M21)))</f>
        <v/>
      </c>
      <c r="O21" s="12">
        <f>IF(N21="","",IF(L21=0,0,-N21*J21/SQRT(J21^2+K21^2)))</f>
        <v/>
      </c>
      <c r="P21" s="12">
        <f>IF(N21="","",IF(L21=0,0,N21*K21/SQRT(J21^2+K21^2)))</f>
        <v/>
      </c>
      <c r="Q21" s="12">
        <f>IF(N21="","",IF(N21=0,$B$7,$B$7-Y21*O21/N21))</f>
        <v/>
      </c>
      <c r="R21" s="12">
        <f>IF(N21="","",IF(N21=0,$B$8,$B$8+Y21*P21/N21))</f>
        <v/>
      </c>
      <c r="S21" s="12">
        <f>IFERROR(SQRT((Q21-H21)^2+(R21-I21)^2),"")</f>
        <v/>
      </c>
      <c r="V21">
        <f>$E$6/2</f>
        <v/>
      </c>
      <c r="W21">
        <f>$E$7/2</f>
        <v/>
      </c>
      <c r="X21">
        <f>IF(OR($E$13&lt;&gt;"OK",M21=""),"",IF(M21&lt;=$A$19,$D$19,IF(M21&gt;=INDEX($A$19:$A$218,$E$12),INDEX($D$19:$D$218,$E$12),INDEX($D$19:$D$218,MATCH(M21,$A$19:INDEX($A$19:$A$218,$E$12),1))+(M21-INDEX($A$19:$A$218,MATCH(M21,$A$19:INDEX($A$19:$A$218,$E$12),1)))*(INDEX($D$19:$D$218,MATCH(M21,$A$19:INDEX($A$19:$A$218,$E$12),1)+1)-INDEX($D$19:$D$218,MATCH(M21,$A$19:INDEX($A$19:$A$218,$E$12),1)))/(INDEX($A$19:$A$218,MATCH(M21,$A$19:INDEX($A$19:$A$218,$E$12),1)+1)-INDEX($A$19:$A$218,MATCH(M21,$A$19:INDEX($A$19:$A$218,$E$12),1))))))</f>
        <v/>
      </c>
      <c r="Y21">
        <f>IF(X21="","",X21*1000/$B$4)</f>
        <v/>
      </c>
    </row>
    <row r="22">
      <c r="A22" s="10" t="n">
        <v>30</v>
      </c>
      <c r="B22" s="10" t="n">
        <v>-4.5</v>
      </c>
      <c r="C22" s="11">
        <f>IF(A22="","",$B$5*TAN(RADIANS(A22)))</f>
        <v/>
      </c>
      <c r="D22" s="11">
        <f>IF(C22="","",C22*(1+B22/100))</f>
        <v/>
      </c>
      <c r="E22" s="11">
        <f>IF(A22="","",$B$6*TAN(RADIANS(A22)))</f>
        <v/>
      </c>
      <c r="G22" s="12" t="inlineStr">
        <is>
          <t>P4</t>
        </is>
      </c>
      <c r="H22" s="12">
        <f>$E$4+V22*COS(RADIANS($E$8))-W22*SIN(RADIANS($E$8))</f>
        <v/>
      </c>
      <c r="I22" s="12">
        <f>$E$5+V22*SIN(RADIANS($E$8))+W22*COS(RADIANS($E$8))</f>
        <v/>
      </c>
      <c r="J22" s="12">
        <f>IF(H22="","",H22-$B$7)</f>
        <v/>
      </c>
      <c r="K22" s="12">
        <f>IF(I22="","",I22-$B$8)</f>
        <v/>
      </c>
      <c r="L22" s="12">
        <f>IFERROR(SQRT(J22^2+K22^2)*$B$4/1000,"")</f>
        <v/>
      </c>
      <c r="M22" s="12">
        <f>IF(OR($E$13&lt;&gt;"OK",L22=""),"",IF(L22&lt;=$D$19,$A$19,IF(L22&gt;=INDEX($D$19:$D$218,$E$12),INDEX($A$19:$A$218,$E$12),INDEX($A$19:$A$218,MATCH(L22,$D$19:INDEX($D$19:$D$218,$E$12),1))+(L22-INDEX($D$19:$D$218,MATCH(L22,$D$19:INDEX($D$19:$D$218,$E$12),1)))*(INDEX($A$19:$A$218,MATCH(L22,$D$19:INDEX($D$19:$D$218,$E$12),1)+1)-INDEX($A$19:$A$218,MATCH(L22,$D$19:INDEX($D$19:$D$218,$E$12),1)))/(INDEX($D$19:$D$218,MATCH(L22,$D$19:INDEX($D$19:$D$218,$E$12),1)+1)-INDEX($D$19:$D$218,MATCH(L22,$D$19:INDEX($D$19:$D$218,$E$12),1))))))</f>
        <v/>
      </c>
      <c r="N22" s="12">
        <f>IF(M22="","",$B$6*TAN(RADIANS(M22)))</f>
        <v/>
      </c>
      <c r="O22" s="12">
        <f>IF(N22="","",IF(L22=0,0,-N22*J22/SQRT(J22^2+K22^2)))</f>
        <v/>
      </c>
      <c r="P22" s="12">
        <f>IF(N22="","",IF(L22=0,0,N22*K22/SQRT(J22^2+K22^2)))</f>
        <v/>
      </c>
      <c r="Q22" s="12">
        <f>IF(N22="","",IF(N22=0,$B$7,$B$7-Y22*O22/N22))</f>
        <v/>
      </c>
      <c r="R22" s="12">
        <f>IF(N22="","",IF(N22=0,$B$8,$B$8+Y22*P22/N22))</f>
        <v/>
      </c>
      <c r="S22" s="12">
        <f>IFERROR(SQRT((Q22-H22)^2+(R22-I22)^2),"")</f>
        <v/>
      </c>
      <c r="V22">
        <f>-$E$6/2</f>
        <v/>
      </c>
      <c r="W22">
        <f>$E$7/2</f>
        <v/>
      </c>
      <c r="X22">
        <f>IF(OR($E$13&lt;&gt;"OK",M22=""),"",IF(M22&lt;=$A$19,$D$19,IF(M22&gt;=INDEX($A$19:$A$218,$E$12),INDEX($D$19:$D$218,$E$12),INDEX($D$19:$D$218,MATCH(M22,$A$19:INDEX($A$19:$A$218,$E$12),1))+(M22-INDEX($A$19:$A$218,MATCH(M22,$A$19:INDEX($A$19:$A$218,$E$12),1)))*(INDEX($D$19:$D$218,MATCH(M22,$A$19:INDEX($A$19:$A$218,$E$12),1)+1)-INDEX($D$19:$D$218,MATCH(M22,$A$19:INDEX($A$19:$A$218,$E$12),1)))/(INDEX($A$19:$A$218,MATCH(M22,$A$19:INDEX($A$19:$A$218,$E$12),1)+1)-INDEX($A$19:$A$218,MATCH(M22,$A$19:INDEX($A$19:$A$218,$E$12),1))))))</f>
        <v/>
      </c>
      <c r="Y22">
        <f>IF(X22="","",X22*1000/$B$4)</f>
        <v/>
      </c>
    </row>
    <row r="23">
      <c r="A23" s="10" t="n">
        <v>40</v>
      </c>
      <c r="B23" s="10" t="n">
        <v>-8</v>
      </c>
      <c r="C23" s="11">
        <f>IF(A23="","",$B$5*TAN(RADIANS(A23)))</f>
        <v/>
      </c>
      <c r="D23" s="11">
        <f>IF(C23="","",C23*(1+B23/100))</f>
        <v/>
      </c>
      <c r="E23" s="11">
        <f>IF(A23="","",$B$6*TAN(RADIANS(A23)))</f>
        <v/>
      </c>
    </row>
    <row r="24">
      <c r="A24" s="10" t="n"/>
      <c r="B24" s="10" t="n"/>
      <c r="C24" s="11">
        <f>IF(A24="","",$B$5*TAN(RADIANS(A24)))</f>
        <v/>
      </c>
      <c r="D24" s="11">
        <f>IF(C24="","",C24*(1+B24/100))</f>
        <v/>
      </c>
      <c r="E24" s="11">
        <f>IF(A24="","",$B$6*TAN(RADIANS(A24)))</f>
        <v/>
      </c>
    </row>
    <row r="25">
      <c r="A25" s="10" t="n"/>
      <c r="B25" s="10" t="n"/>
      <c r="C25" s="11">
        <f>IF(A25="","",$B$5*TAN(RADIANS(A25)))</f>
        <v/>
      </c>
      <c r="D25" s="11">
        <f>IF(C25="","",C25*(1+B25/100))</f>
        <v/>
      </c>
      <c r="E25" s="11">
        <f>IF(A25="","",$B$6*TAN(RADIANS(A25)))</f>
        <v/>
      </c>
      <c r="G25" s="3" t="inlineStr">
        <is>
          <t>完整預變形曲邊座標（每邊最多 50 段）</t>
        </is>
      </c>
    </row>
    <row r="26" ht="42" customHeight="1">
      <c r="A26" s="10" t="n"/>
      <c r="B26" s="10" t="n"/>
      <c r="C26" s="11">
        <f>IF(A26="","",$B$5*TAN(RADIANS(A26)))</f>
        <v/>
      </c>
      <c r="D26" s="11">
        <f>IF(C26="","",C26*(1+B26/100))</f>
        <v/>
      </c>
      <c r="E26" s="11">
        <f>IF(A26="","",$B$6*TAN(RADIANS(A26)))</f>
        <v/>
      </c>
      <c r="G26" s="9" t="inlineStr">
        <is>
          <t>點</t>
        </is>
      </c>
      <c r="H26" s="9" t="inlineStr">
        <is>
          <t>目標 X
(pixel)</t>
        </is>
      </c>
      <c r="I26" s="9" t="inlineStr">
        <is>
          <t>目標 Y
(pixel)</t>
        </is>
      </c>
      <c r="J26" s="9" t="inlineStr">
        <is>
          <t>相對 X
(pixel)</t>
        </is>
      </c>
      <c r="K26" s="9" t="inlineStr">
        <is>
          <t>相對 Y
(pixel)</t>
        </is>
      </c>
      <c r="L26" s="9" t="inlineStr">
        <is>
          <t>目標半徑
(mm)</t>
        </is>
      </c>
      <c r="M26" s="9" t="inlineStr">
        <is>
          <t>反查半視角
(degree)</t>
        </is>
      </c>
      <c r="N26" s="9" t="inlineStr">
        <is>
          <t>物方半徑
(mm)</t>
        </is>
      </c>
      <c r="O26" s="9" t="inlineStr">
        <is>
          <t>物方 X
(mm)</t>
        </is>
      </c>
      <c r="P26" s="9" t="inlineStr">
        <is>
          <t>物方 Y
(mm)</t>
        </is>
      </c>
      <c r="Q26" s="9" t="inlineStr">
        <is>
          <t>驗證 X
(pixel)</t>
        </is>
      </c>
      <c r="R26" s="9" t="inlineStr">
        <is>
          <t>驗證 Y
(pixel)</t>
        </is>
      </c>
      <c r="S26" s="9" t="inlineStr">
        <is>
          <t>誤差
(pixel)</t>
        </is>
      </c>
    </row>
    <row r="27">
      <c r="A27" s="10" t="n"/>
      <c r="B27" s="10" t="n"/>
      <c r="C27" s="11">
        <f>IF(A27="","",$B$5*TAN(RADIANS(A27)))</f>
        <v/>
      </c>
      <c r="D27" s="11">
        <f>IF(C27="","",C27*(1+B27/100))</f>
        <v/>
      </c>
      <c r="E27" s="11">
        <f>IF(A27="","",$B$6*TAN(RADIANS(A27)))</f>
        <v/>
      </c>
      <c r="G27" s="12">
        <f>IF(U27="","",T27)</f>
        <v/>
      </c>
      <c r="H27" s="12">
        <f>IF(U27="","",$E$4+V27*COS(RADIANS($E$8))-W27*SIN(RADIANS($E$8)))</f>
        <v/>
      </c>
      <c r="I27" s="12">
        <f>IF(U27="","",$E$5+V27*SIN(RADIANS($E$8))+W27*COS(RADIANS($E$8)))</f>
        <v/>
      </c>
      <c r="J27" s="12">
        <f>IF(H27="","",H27-$B$7)</f>
        <v/>
      </c>
      <c r="K27" s="12">
        <f>IF(I27="","",I27-$B$8)</f>
        <v/>
      </c>
      <c r="L27" s="12">
        <f>IFERROR(SQRT(J27^2+K27^2)*$B$4/1000,"")</f>
        <v/>
      </c>
      <c r="M27" s="12">
        <f>IF(OR($E$13&lt;&gt;"OK",L27=""),"",IF(L27&lt;=$D$19,$A$19,IF(L27&gt;=INDEX($D$19:$D$218,$E$12),INDEX($A$19:$A$218,$E$12),INDEX($A$19:$A$218,MATCH(L27,$D$19:INDEX($D$19:$D$218,$E$12),1))+(L27-INDEX($D$19:$D$218,MATCH(L27,$D$19:INDEX($D$19:$D$218,$E$12),1)))*(INDEX($A$19:$A$218,MATCH(L27,$D$19:INDEX($D$19:$D$218,$E$12),1)+1)-INDEX($A$19:$A$218,MATCH(L27,$D$19:INDEX($D$19:$D$218,$E$12),1)))/(INDEX($D$19:$D$218,MATCH(L27,$D$19:INDEX($D$19:$D$218,$E$12),1)+1)-INDEX($D$19:$D$218,MATCH(L27,$D$19:INDEX($D$19:$D$218,$E$12),1))))))</f>
        <v/>
      </c>
      <c r="N27" s="12">
        <f>IF(M27="","",$B$6*TAN(RADIANS(M27)))</f>
        <v/>
      </c>
      <c r="O27" s="12">
        <f>IF(N27="","",IF(L27=0,0,-N27*J27/SQRT(J27^2+K27^2)))</f>
        <v/>
      </c>
      <c r="P27" s="12">
        <f>IF(N27="","",IF(L27=0,0,N27*K27/SQRT(J27^2+K27^2)))</f>
        <v/>
      </c>
      <c r="Q27" s="12">
        <f>IF(N27="","",IF(N27=0,$B$7,$B$7-Y27*O27/N27))</f>
        <v/>
      </c>
      <c r="R27" s="12">
        <f>IF(N27="","",IF(N27=0,$B$8,$B$8+Y27*P27/N27))</f>
        <v/>
      </c>
      <c r="S27" s="12">
        <f>IFERROR(SQRT((Q27-H27)^2+(R27-I27)^2),"")</f>
        <v/>
      </c>
      <c r="T27">
        <f>0</f>
        <v/>
      </c>
      <c r="U27">
        <f>IF(T27&gt;4*$E$9,"",MIN(INT(T27/$E$9)+1,4))</f>
        <v/>
      </c>
      <c r="V27">
        <f>IF(T27=4*$E$9,-$E$6/2,IF(U27="","",CHOOSE(U27,-$E$6/2+MOD(T27,$E$9)/$E$9*$E$6,$E$6/2,$E$6/2-MOD(T27,$E$9)/$E$9*$E$6,-$E$6/2)))</f>
        <v/>
      </c>
      <c r="W27">
        <f>IF(T27=4*$E$9,-$E$7/2,IF(U27="","",CHOOSE(U27,-$E$7/2,-$E$7/2+MOD(T27,$E$9)/$E$9*$E$7,$E$7/2,$E$7/2-MOD(T27,$E$9)/$E$9*$E$7)))</f>
        <v/>
      </c>
      <c r="X27">
        <f>IF(OR($E$13&lt;&gt;"OK",M27=""),"",IF(M27&lt;=$A$19,$D$19,IF(M27&gt;=INDEX($A$19:$A$218,$E$12),INDEX($D$19:$D$218,$E$12),INDEX($D$19:$D$218,MATCH(M27,$A$19:INDEX($A$19:$A$218,$E$12),1))+(M27-INDEX($A$19:$A$218,MATCH(M27,$A$19:INDEX($A$19:$A$218,$E$12),1)))*(INDEX($D$19:$D$218,MATCH(M27,$A$19:INDEX($A$19:$A$218,$E$12),1)+1)-INDEX($D$19:$D$218,MATCH(M27,$A$19:INDEX($A$19:$A$218,$E$12),1)))/(INDEX($A$19:$A$218,MATCH(M27,$A$19:INDEX($A$19:$A$218,$E$12),1)+1)-INDEX($A$19:$A$218,MATCH(M27,$A$19:INDEX($A$19:$A$218,$E$12),1))))))</f>
        <v/>
      </c>
      <c r="Y27">
        <f>IF(X27="","",X27*1000/$B$4)</f>
        <v/>
      </c>
    </row>
    <row r="28">
      <c r="A28" s="10" t="n"/>
      <c r="B28" s="10" t="n"/>
      <c r="C28" s="11">
        <f>IF(A28="","",$B$5*TAN(RADIANS(A28)))</f>
        <v/>
      </c>
      <c r="D28" s="11">
        <f>IF(C28="","",C28*(1+B28/100))</f>
        <v/>
      </c>
      <c r="E28" s="11">
        <f>IF(A28="","",$B$6*TAN(RADIANS(A28)))</f>
        <v/>
      </c>
      <c r="G28" s="12">
        <f>IF(U28="","",T28)</f>
        <v/>
      </c>
      <c r="H28" s="12">
        <f>IF(U28="","",$E$4+V28*COS(RADIANS($E$8))-W28*SIN(RADIANS($E$8)))</f>
        <v/>
      </c>
      <c r="I28" s="12">
        <f>IF(U28="","",$E$5+V28*SIN(RADIANS($E$8))+W28*COS(RADIANS($E$8)))</f>
        <v/>
      </c>
      <c r="J28" s="12">
        <f>IF(H28="","",H28-$B$7)</f>
        <v/>
      </c>
      <c r="K28" s="12">
        <f>IF(I28="","",I28-$B$8)</f>
        <v/>
      </c>
      <c r="L28" s="12">
        <f>IFERROR(SQRT(J28^2+K28^2)*$B$4/1000,"")</f>
        <v/>
      </c>
      <c r="M28" s="12">
        <f>IF(OR($E$13&lt;&gt;"OK",L28=""),"",IF(L28&lt;=$D$19,$A$19,IF(L28&gt;=INDEX($D$19:$D$218,$E$12),INDEX($A$19:$A$218,$E$12),INDEX($A$19:$A$218,MATCH(L28,$D$19:INDEX($D$19:$D$218,$E$12),1))+(L28-INDEX($D$19:$D$218,MATCH(L28,$D$19:INDEX($D$19:$D$218,$E$12),1)))*(INDEX($A$19:$A$218,MATCH(L28,$D$19:INDEX($D$19:$D$218,$E$12),1)+1)-INDEX($A$19:$A$218,MATCH(L28,$D$19:INDEX($D$19:$D$218,$E$12),1)))/(INDEX($D$19:$D$218,MATCH(L28,$D$19:INDEX($D$19:$D$218,$E$12),1)+1)-INDEX($D$19:$D$218,MATCH(L28,$D$19:INDEX($D$19:$D$218,$E$12),1))))))</f>
        <v/>
      </c>
      <c r="N28" s="12">
        <f>IF(M28="","",$B$6*TAN(RADIANS(M28)))</f>
        <v/>
      </c>
      <c r="O28" s="12">
        <f>IF(N28="","",IF(L28=0,0,-N28*J28/SQRT(J28^2+K28^2)))</f>
        <v/>
      </c>
      <c r="P28" s="12">
        <f>IF(N28="","",IF(L28=0,0,N28*K28/SQRT(J28^2+K28^2)))</f>
        <v/>
      </c>
      <c r="Q28" s="12">
        <f>IF(N28="","",IF(N28=0,$B$7,$B$7-Y28*O28/N28))</f>
        <v/>
      </c>
      <c r="R28" s="12">
        <f>IF(N28="","",IF(N28=0,$B$8,$B$8+Y28*P28/N28))</f>
        <v/>
      </c>
      <c r="S28" s="12">
        <f>IFERROR(SQRT((Q28-H28)^2+(R28-I28)^2),"")</f>
        <v/>
      </c>
      <c r="T28">
        <f>1</f>
        <v/>
      </c>
      <c r="U28">
        <f>IF(T28&gt;4*$E$9,"",MIN(INT(T28/$E$9)+1,4))</f>
        <v/>
      </c>
      <c r="V28">
        <f>IF(T28=4*$E$9,-$E$6/2,IF(U28="","",CHOOSE(U28,-$E$6/2+MOD(T28,$E$9)/$E$9*$E$6,$E$6/2,$E$6/2-MOD(T28,$E$9)/$E$9*$E$6,-$E$6/2)))</f>
        <v/>
      </c>
      <c r="W28">
        <f>IF(T28=4*$E$9,-$E$7/2,IF(U28="","",CHOOSE(U28,-$E$7/2,-$E$7/2+MOD(T28,$E$9)/$E$9*$E$7,$E$7/2,$E$7/2-MOD(T28,$E$9)/$E$9*$E$7)))</f>
        <v/>
      </c>
      <c r="X28">
        <f>IF(OR($E$13&lt;&gt;"OK",M28=""),"",IF(M28&lt;=$A$19,$D$19,IF(M28&gt;=INDEX($A$19:$A$218,$E$12),INDEX($D$19:$D$218,$E$12),INDEX($D$19:$D$218,MATCH(M28,$A$19:INDEX($A$19:$A$218,$E$12),1))+(M28-INDEX($A$19:$A$218,MATCH(M28,$A$19:INDEX($A$19:$A$218,$E$12),1)))*(INDEX($D$19:$D$218,MATCH(M28,$A$19:INDEX($A$19:$A$218,$E$12),1)+1)-INDEX($D$19:$D$218,MATCH(M28,$A$19:INDEX($A$19:$A$218,$E$12),1)))/(INDEX($A$19:$A$218,MATCH(M28,$A$19:INDEX($A$19:$A$218,$E$12),1)+1)-INDEX($A$19:$A$218,MATCH(M28,$A$19:INDEX($A$19:$A$218,$E$12),1))))))</f>
        <v/>
      </c>
      <c r="Y28">
        <f>IF(X28="","",X28*1000/$B$4)</f>
        <v/>
      </c>
    </row>
    <row r="29">
      <c r="A29" s="10" t="n"/>
      <c r="B29" s="10" t="n"/>
      <c r="C29" s="11">
        <f>IF(A29="","",$B$5*TAN(RADIANS(A29)))</f>
        <v/>
      </c>
      <c r="D29" s="11">
        <f>IF(C29="","",C29*(1+B29/100))</f>
        <v/>
      </c>
      <c r="E29" s="11">
        <f>IF(A29="","",$B$6*TAN(RADIANS(A29)))</f>
        <v/>
      </c>
      <c r="G29" s="12">
        <f>IF(U29="","",T29)</f>
        <v/>
      </c>
      <c r="H29" s="12">
        <f>IF(U29="","",$E$4+V29*COS(RADIANS($E$8))-W29*SIN(RADIANS($E$8)))</f>
        <v/>
      </c>
      <c r="I29" s="12">
        <f>IF(U29="","",$E$5+V29*SIN(RADIANS($E$8))+W29*COS(RADIANS($E$8)))</f>
        <v/>
      </c>
      <c r="J29" s="12">
        <f>IF(H29="","",H29-$B$7)</f>
        <v/>
      </c>
      <c r="K29" s="12">
        <f>IF(I29="","",I29-$B$8)</f>
        <v/>
      </c>
      <c r="L29" s="12">
        <f>IFERROR(SQRT(J29^2+K29^2)*$B$4/1000,"")</f>
        <v/>
      </c>
      <c r="M29" s="12">
        <f>IF(OR($E$13&lt;&gt;"OK",L29=""),"",IF(L29&lt;=$D$19,$A$19,IF(L29&gt;=INDEX($D$19:$D$218,$E$12),INDEX($A$19:$A$218,$E$12),INDEX($A$19:$A$218,MATCH(L29,$D$19:INDEX($D$19:$D$218,$E$12),1))+(L29-INDEX($D$19:$D$218,MATCH(L29,$D$19:INDEX($D$19:$D$218,$E$12),1)))*(INDEX($A$19:$A$218,MATCH(L29,$D$19:INDEX($D$19:$D$218,$E$12),1)+1)-INDEX($A$19:$A$218,MATCH(L29,$D$19:INDEX($D$19:$D$218,$E$12),1)))/(INDEX($D$19:$D$218,MATCH(L29,$D$19:INDEX($D$19:$D$218,$E$12),1)+1)-INDEX($D$19:$D$218,MATCH(L29,$D$19:INDEX($D$19:$D$218,$E$12),1))))))</f>
        <v/>
      </c>
      <c r="N29" s="12">
        <f>IF(M29="","",$B$6*TAN(RADIANS(M29)))</f>
        <v/>
      </c>
      <c r="O29" s="12">
        <f>IF(N29="","",IF(L29=0,0,-N29*J29/SQRT(J29^2+K29^2)))</f>
        <v/>
      </c>
      <c r="P29" s="12">
        <f>IF(N29="","",IF(L29=0,0,N29*K29/SQRT(J29^2+K29^2)))</f>
        <v/>
      </c>
      <c r="Q29" s="12">
        <f>IF(N29="","",IF(N29=0,$B$7,$B$7-Y29*O29/N29))</f>
        <v/>
      </c>
      <c r="R29" s="12">
        <f>IF(N29="","",IF(N29=0,$B$8,$B$8+Y29*P29/N29))</f>
        <v/>
      </c>
      <c r="S29" s="12">
        <f>IFERROR(SQRT((Q29-H29)^2+(R29-I29)^2),"")</f>
        <v/>
      </c>
      <c r="T29">
        <f>2</f>
        <v/>
      </c>
      <c r="U29">
        <f>IF(T29&gt;4*$E$9,"",MIN(INT(T29/$E$9)+1,4))</f>
        <v/>
      </c>
      <c r="V29">
        <f>IF(T29=4*$E$9,-$E$6/2,IF(U29="","",CHOOSE(U29,-$E$6/2+MOD(T29,$E$9)/$E$9*$E$6,$E$6/2,$E$6/2-MOD(T29,$E$9)/$E$9*$E$6,-$E$6/2)))</f>
        <v/>
      </c>
      <c r="W29">
        <f>IF(T29=4*$E$9,-$E$7/2,IF(U29="","",CHOOSE(U29,-$E$7/2,-$E$7/2+MOD(T29,$E$9)/$E$9*$E$7,$E$7/2,$E$7/2-MOD(T29,$E$9)/$E$9*$E$7)))</f>
        <v/>
      </c>
      <c r="X29">
        <f>IF(OR($E$13&lt;&gt;"OK",M29=""),"",IF(M29&lt;=$A$19,$D$19,IF(M29&gt;=INDEX($A$19:$A$218,$E$12),INDEX($D$19:$D$218,$E$12),INDEX($D$19:$D$218,MATCH(M29,$A$19:INDEX($A$19:$A$218,$E$12),1))+(M29-INDEX($A$19:$A$218,MATCH(M29,$A$19:INDEX($A$19:$A$218,$E$12),1)))*(INDEX($D$19:$D$218,MATCH(M29,$A$19:INDEX($A$19:$A$218,$E$12),1)+1)-INDEX($D$19:$D$218,MATCH(M29,$A$19:INDEX($A$19:$A$218,$E$12),1)))/(INDEX($A$19:$A$218,MATCH(M29,$A$19:INDEX($A$19:$A$218,$E$12),1)+1)-INDEX($A$19:$A$218,MATCH(M29,$A$19:INDEX($A$19:$A$218,$E$12),1))))))</f>
        <v/>
      </c>
      <c r="Y29">
        <f>IF(X29="","",X29*1000/$B$4)</f>
        <v/>
      </c>
    </row>
    <row r="30">
      <c r="A30" s="10" t="n"/>
      <c r="B30" s="10" t="n"/>
      <c r="C30" s="11">
        <f>IF(A30="","",$B$5*TAN(RADIANS(A30)))</f>
        <v/>
      </c>
      <c r="D30" s="11">
        <f>IF(C30="","",C30*(1+B30/100))</f>
        <v/>
      </c>
      <c r="E30" s="11">
        <f>IF(A30="","",$B$6*TAN(RADIANS(A30)))</f>
        <v/>
      </c>
      <c r="G30" s="12">
        <f>IF(U30="","",T30)</f>
        <v/>
      </c>
      <c r="H30" s="12">
        <f>IF(U30="","",$E$4+V30*COS(RADIANS($E$8))-W30*SIN(RADIANS($E$8)))</f>
        <v/>
      </c>
      <c r="I30" s="12">
        <f>IF(U30="","",$E$5+V30*SIN(RADIANS($E$8))+W30*COS(RADIANS($E$8)))</f>
        <v/>
      </c>
      <c r="J30" s="12">
        <f>IF(H30="","",H30-$B$7)</f>
        <v/>
      </c>
      <c r="K30" s="12">
        <f>IF(I30="","",I30-$B$8)</f>
        <v/>
      </c>
      <c r="L30" s="12">
        <f>IFERROR(SQRT(J30^2+K30^2)*$B$4/1000,"")</f>
        <v/>
      </c>
      <c r="M30" s="12">
        <f>IF(OR($E$13&lt;&gt;"OK",L30=""),"",IF(L30&lt;=$D$19,$A$19,IF(L30&gt;=INDEX($D$19:$D$218,$E$12),INDEX($A$19:$A$218,$E$12),INDEX($A$19:$A$218,MATCH(L30,$D$19:INDEX($D$19:$D$218,$E$12),1))+(L30-INDEX($D$19:$D$218,MATCH(L30,$D$19:INDEX($D$19:$D$218,$E$12),1)))*(INDEX($A$19:$A$218,MATCH(L30,$D$19:INDEX($D$19:$D$218,$E$12),1)+1)-INDEX($A$19:$A$218,MATCH(L30,$D$19:INDEX($D$19:$D$218,$E$12),1)))/(INDEX($D$19:$D$218,MATCH(L30,$D$19:INDEX($D$19:$D$218,$E$12),1)+1)-INDEX($D$19:$D$218,MATCH(L30,$D$19:INDEX($D$19:$D$218,$E$12),1))))))</f>
        <v/>
      </c>
      <c r="N30" s="12">
        <f>IF(M30="","",$B$6*TAN(RADIANS(M30)))</f>
        <v/>
      </c>
      <c r="O30" s="12">
        <f>IF(N30="","",IF(L30=0,0,-N30*J30/SQRT(J30^2+K30^2)))</f>
        <v/>
      </c>
      <c r="P30" s="12">
        <f>IF(N30="","",IF(L30=0,0,N30*K30/SQRT(J30^2+K30^2)))</f>
        <v/>
      </c>
      <c r="Q30" s="12">
        <f>IF(N30="","",IF(N30=0,$B$7,$B$7-Y30*O30/N30))</f>
        <v/>
      </c>
      <c r="R30" s="12">
        <f>IF(N30="","",IF(N30=0,$B$8,$B$8+Y30*P30/N30))</f>
        <v/>
      </c>
      <c r="S30" s="12">
        <f>IFERROR(SQRT((Q30-H30)^2+(R30-I30)^2),"")</f>
        <v/>
      </c>
      <c r="T30">
        <f>3</f>
        <v/>
      </c>
      <c r="U30">
        <f>IF(T30&gt;4*$E$9,"",MIN(INT(T30/$E$9)+1,4))</f>
        <v/>
      </c>
      <c r="V30">
        <f>IF(T30=4*$E$9,-$E$6/2,IF(U30="","",CHOOSE(U30,-$E$6/2+MOD(T30,$E$9)/$E$9*$E$6,$E$6/2,$E$6/2-MOD(T30,$E$9)/$E$9*$E$6,-$E$6/2)))</f>
        <v/>
      </c>
      <c r="W30">
        <f>IF(T30=4*$E$9,-$E$7/2,IF(U30="","",CHOOSE(U30,-$E$7/2,-$E$7/2+MOD(T30,$E$9)/$E$9*$E$7,$E$7/2,$E$7/2-MOD(T30,$E$9)/$E$9*$E$7)))</f>
        <v/>
      </c>
      <c r="X30">
        <f>IF(OR($E$13&lt;&gt;"OK",M30=""),"",IF(M30&lt;=$A$19,$D$19,IF(M30&gt;=INDEX($A$19:$A$218,$E$12),INDEX($D$19:$D$218,$E$12),INDEX($D$19:$D$218,MATCH(M30,$A$19:INDEX($A$19:$A$218,$E$12),1))+(M30-INDEX($A$19:$A$218,MATCH(M30,$A$19:INDEX($A$19:$A$218,$E$12),1)))*(INDEX($D$19:$D$218,MATCH(M30,$A$19:INDEX($A$19:$A$218,$E$12),1)+1)-INDEX($D$19:$D$218,MATCH(M30,$A$19:INDEX($A$19:$A$218,$E$12),1)))/(INDEX($A$19:$A$218,MATCH(M30,$A$19:INDEX($A$19:$A$218,$E$12),1)+1)-INDEX($A$19:$A$218,MATCH(M30,$A$19:INDEX($A$19:$A$218,$E$12),1))))))</f>
        <v/>
      </c>
      <c r="Y30">
        <f>IF(X30="","",X30*1000/$B$4)</f>
        <v/>
      </c>
    </row>
    <row r="31">
      <c r="A31" s="10" t="n"/>
      <c r="B31" s="10" t="n"/>
      <c r="C31" s="11">
        <f>IF(A31="","",$B$5*TAN(RADIANS(A31)))</f>
        <v/>
      </c>
      <c r="D31" s="11">
        <f>IF(C31="","",C31*(1+B31/100))</f>
        <v/>
      </c>
      <c r="E31" s="11">
        <f>IF(A31="","",$B$6*TAN(RADIANS(A31)))</f>
        <v/>
      </c>
      <c r="G31" s="12">
        <f>IF(U31="","",T31)</f>
        <v/>
      </c>
      <c r="H31" s="12">
        <f>IF(U31="","",$E$4+V31*COS(RADIANS($E$8))-W31*SIN(RADIANS($E$8)))</f>
        <v/>
      </c>
      <c r="I31" s="12">
        <f>IF(U31="","",$E$5+V31*SIN(RADIANS($E$8))+W31*COS(RADIANS($E$8)))</f>
        <v/>
      </c>
      <c r="J31" s="12">
        <f>IF(H31="","",H31-$B$7)</f>
        <v/>
      </c>
      <c r="K31" s="12">
        <f>IF(I31="","",I31-$B$8)</f>
        <v/>
      </c>
      <c r="L31" s="12">
        <f>IFERROR(SQRT(J31^2+K31^2)*$B$4/1000,"")</f>
        <v/>
      </c>
      <c r="M31" s="12">
        <f>IF(OR($E$13&lt;&gt;"OK",L31=""),"",IF(L31&lt;=$D$19,$A$19,IF(L31&gt;=INDEX($D$19:$D$218,$E$12),INDEX($A$19:$A$218,$E$12),INDEX($A$19:$A$218,MATCH(L31,$D$19:INDEX($D$19:$D$218,$E$12),1))+(L31-INDEX($D$19:$D$218,MATCH(L31,$D$19:INDEX($D$19:$D$218,$E$12),1)))*(INDEX($A$19:$A$218,MATCH(L31,$D$19:INDEX($D$19:$D$218,$E$12),1)+1)-INDEX($A$19:$A$218,MATCH(L31,$D$19:INDEX($D$19:$D$218,$E$12),1)))/(INDEX($D$19:$D$218,MATCH(L31,$D$19:INDEX($D$19:$D$218,$E$12),1)+1)-INDEX($D$19:$D$218,MATCH(L31,$D$19:INDEX($D$19:$D$218,$E$12),1))))))</f>
        <v/>
      </c>
      <c r="N31" s="12">
        <f>IF(M31="","",$B$6*TAN(RADIANS(M31)))</f>
        <v/>
      </c>
      <c r="O31" s="12">
        <f>IF(N31="","",IF(L31=0,0,-N31*J31/SQRT(J31^2+K31^2)))</f>
        <v/>
      </c>
      <c r="P31" s="12">
        <f>IF(N31="","",IF(L31=0,0,N31*K31/SQRT(J31^2+K31^2)))</f>
        <v/>
      </c>
      <c r="Q31" s="12">
        <f>IF(N31="","",IF(N31=0,$B$7,$B$7-Y31*O31/N31))</f>
        <v/>
      </c>
      <c r="R31" s="12">
        <f>IF(N31="","",IF(N31=0,$B$8,$B$8+Y31*P31/N31))</f>
        <v/>
      </c>
      <c r="S31" s="12">
        <f>IFERROR(SQRT((Q31-H31)^2+(R31-I31)^2),"")</f>
        <v/>
      </c>
      <c r="T31">
        <f>4</f>
        <v/>
      </c>
      <c r="U31">
        <f>IF(T31&gt;4*$E$9,"",MIN(INT(T31/$E$9)+1,4))</f>
        <v/>
      </c>
      <c r="V31">
        <f>IF(T31=4*$E$9,-$E$6/2,IF(U31="","",CHOOSE(U31,-$E$6/2+MOD(T31,$E$9)/$E$9*$E$6,$E$6/2,$E$6/2-MOD(T31,$E$9)/$E$9*$E$6,-$E$6/2)))</f>
        <v/>
      </c>
      <c r="W31">
        <f>IF(T31=4*$E$9,-$E$7/2,IF(U31="","",CHOOSE(U31,-$E$7/2,-$E$7/2+MOD(T31,$E$9)/$E$9*$E$7,$E$7/2,$E$7/2-MOD(T31,$E$9)/$E$9*$E$7)))</f>
        <v/>
      </c>
      <c r="X31">
        <f>IF(OR($E$13&lt;&gt;"OK",M31=""),"",IF(M31&lt;=$A$19,$D$19,IF(M31&gt;=INDEX($A$19:$A$218,$E$12),INDEX($D$19:$D$218,$E$12),INDEX($D$19:$D$218,MATCH(M31,$A$19:INDEX($A$19:$A$218,$E$12),1))+(M31-INDEX($A$19:$A$218,MATCH(M31,$A$19:INDEX($A$19:$A$218,$E$12),1)))*(INDEX($D$19:$D$218,MATCH(M31,$A$19:INDEX($A$19:$A$218,$E$12),1)+1)-INDEX($D$19:$D$218,MATCH(M31,$A$19:INDEX($A$19:$A$218,$E$12),1)))/(INDEX($A$19:$A$218,MATCH(M31,$A$19:INDEX($A$19:$A$218,$E$12),1)+1)-INDEX($A$19:$A$218,MATCH(M31,$A$19:INDEX($A$19:$A$218,$E$12),1))))))</f>
        <v/>
      </c>
      <c r="Y31">
        <f>IF(X31="","",X31*1000/$B$4)</f>
        <v/>
      </c>
    </row>
    <row r="32">
      <c r="A32" s="10" t="n"/>
      <c r="B32" s="10" t="n"/>
      <c r="C32" s="11">
        <f>IF(A32="","",$B$5*TAN(RADIANS(A32)))</f>
        <v/>
      </c>
      <c r="D32" s="11">
        <f>IF(C32="","",C32*(1+B32/100))</f>
        <v/>
      </c>
      <c r="E32" s="11">
        <f>IF(A32="","",$B$6*TAN(RADIANS(A32)))</f>
        <v/>
      </c>
      <c r="G32" s="12">
        <f>IF(U32="","",T32)</f>
        <v/>
      </c>
      <c r="H32" s="12">
        <f>IF(U32="","",$E$4+V32*COS(RADIANS($E$8))-W32*SIN(RADIANS($E$8)))</f>
        <v/>
      </c>
      <c r="I32" s="12">
        <f>IF(U32="","",$E$5+V32*SIN(RADIANS($E$8))+W32*COS(RADIANS($E$8)))</f>
        <v/>
      </c>
      <c r="J32" s="12">
        <f>IF(H32="","",H32-$B$7)</f>
        <v/>
      </c>
      <c r="K32" s="12">
        <f>IF(I32="","",I32-$B$8)</f>
        <v/>
      </c>
      <c r="L32" s="12">
        <f>IFERROR(SQRT(J32^2+K32^2)*$B$4/1000,"")</f>
        <v/>
      </c>
      <c r="M32" s="12">
        <f>IF(OR($E$13&lt;&gt;"OK",L32=""),"",IF(L32&lt;=$D$19,$A$19,IF(L32&gt;=INDEX($D$19:$D$218,$E$12),INDEX($A$19:$A$218,$E$12),INDEX($A$19:$A$218,MATCH(L32,$D$19:INDEX($D$19:$D$218,$E$12),1))+(L32-INDEX($D$19:$D$218,MATCH(L32,$D$19:INDEX($D$19:$D$218,$E$12),1)))*(INDEX($A$19:$A$218,MATCH(L32,$D$19:INDEX($D$19:$D$218,$E$12),1)+1)-INDEX($A$19:$A$218,MATCH(L32,$D$19:INDEX($D$19:$D$218,$E$12),1)))/(INDEX($D$19:$D$218,MATCH(L32,$D$19:INDEX($D$19:$D$218,$E$12),1)+1)-INDEX($D$19:$D$218,MATCH(L32,$D$19:INDEX($D$19:$D$218,$E$12),1))))))</f>
        <v/>
      </c>
      <c r="N32" s="12">
        <f>IF(M32="","",$B$6*TAN(RADIANS(M32)))</f>
        <v/>
      </c>
      <c r="O32" s="12">
        <f>IF(N32="","",IF(L32=0,0,-N32*J32/SQRT(J32^2+K32^2)))</f>
        <v/>
      </c>
      <c r="P32" s="12">
        <f>IF(N32="","",IF(L32=0,0,N32*K32/SQRT(J32^2+K32^2)))</f>
        <v/>
      </c>
      <c r="Q32" s="12">
        <f>IF(N32="","",IF(N32=0,$B$7,$B$7-Y32*O32/N32))</f>
        <v/>
      </c>
      <c r="R32" s="12">
        <f>IF(N32="","",IF(N32=0,$B$8,$B$8+Y32*P32/N32))</f>
        <v/>
      </c>
      <c r="S32" s="12">
        <f>IFERROR(SQRT((Q32-H32)^2+(R32-I32)^2),"")</f>
        <v/>
      </c>
      <c r="T32">
        <f>5</f>
        <v/>
      </c>
      <c r="U32">
        <f>IF(T32&gt;4*$E$9,"",MIN(INT(T32/$E$9)+1,4))</f>
        <v/>
      </c>
      <c r="V32">
        <f>IF(T32=4*$E$9,-$E$6/2,IF(U32="","",CHOOSE(U32,-$E$6/2+MOD(T32,$E$9)/$E$9*$E$6,$E$6/2,$E$6/2-MOD(T32,$E$9)/$E$9*$E$6,-$E$6/2)))</f>
        <v/>
      </c>
      <c r="W32">
        <f>IF(T32=4*$E$9,-$E$7/2,IF(U32="","",CHOOSE(U32,-$E$7/2,-$E$7/2+MOD(T32,$E$9)/$E$9*$E$7,$E$7/2,$E$7/2-MOD(T32,$E$9)/$E$9*$E$7)))</f>
        <v/>
      </c>
      <c r="X32">
        <f>IF(OR($E$13&lt;&gt;"OK",M32=""),"",IF(M32&lt;=$A$19,$D$19,IF(M32&gt;=INDEX($A$19:$A$218,$E$12),INDEX($D$19:$D$218,$E$12),INDEX($D$19:$D$218,MATCH(M32,$A$19:INDEX($A$19:$A$218,$E$12),1))+(M32-INDEX($A$19:$A$218,MATCH(M32,$A$19:INDEX($A$19:$A$218,$E$12),1)))*(INDEX($D$19:$D$218,MATCH(M32,$A$19:INDEX($A$19:$A$218,$E$12),1)+1)-INDEX($D$19:$D$218,MATCH(M32,$A$19:INDEX($A$19:$A$218,$E$12),1)))/(INDEX($A$19:$A$218,MATCH(M32,$A$19:INDEX($A$19:$A$218,$E$12),1)+1)-INDEX($A$19:$A$218,MATCH(M32,$A$19:INDEX($A$19:$A$218,$E$12),1))))))</f>
        <v/>
      </c>
      <c r="Y32">
        <f>IF(X32="","",X32*1000/$B$4)</f>
        <v/>
      </c>
    </row>
    <row r="33">
      <c r="A33" s="10" t="n"/>
      <c r="B33" s="10" t="n"/>
      <c r="C33" s="11">
        <f>IF(A33="","",$B$5*TAN(RADIANS(A33)))</f>
        <v/>
      </c>
      <c r="D33" s="11">
        <f>IF(C33="","",C33*(1+B33/100))</f>
        <v/>
      </c>
      <c r="E33" s="11">
        <f>IF(A33="","",$B$6*TAN(RADIANS(A33)))</f>
        <v/>
      </c>
      <c r="G33" s="12">
        <f>IF(U33="","",T33)</f>
        <v/>
      </c>
      <c r="H33" s="12">
        <f>IF(U33="","",$E$4+V33*COS(RADIANS($E$8))-W33*SIN(RADIANS($E$8)))</f>
        <v/>
      </c>
      <c r="I33" s="12">
        <f>IF(U33="","",$E$5+V33*SIN(RADIANS($E$8))+W33*COS(RADIANS($E$8)))</f>
        <v/>
      </c>
      <c r="J33" s="12">
        <f>IF(H33="","",H33-$B$7)</f>
        <v/>
      </c>
      <c r="K33" s="12">
        <f>IF(I33="","",I33-$B$8)</f>
        <v/>
      </c>
      <c r="L33" s="12">
        <f>IFERROR(SQRT(J33^2+K33^2)*$B$4/1000,"")</f>
        <v/>
      </c>
      <c r="M33" s="12">
        <f>IF(OR($E$13&lt;&gt;"OK",L33=""),"",IF(L33&lt;=$D$19,$A$19,IF(L33&gt;=INDEX($D$19:$D$218,$E$12),INDEX($A$19:$A$218,$E$12),INDEX($A$19:$A$218,MATCH(L33,$D$19:INDEX($D$19:$D$218,$E$12),1))+(L33-INDEX($D$19:$D$218,MATCH(L33,$D$19:INDEX($D$19:$D$218,$E$12),1)))*(INDEX($A$19:$A$218,MATCH(L33,$D$19:INDEX($D$19:$D$218,$E$12),1)+1)-INDEX($A$19:$A$218,MATCH(L33,$D$19:INDEX($D$19:$D$218,$E$12),1)))/(INDEX($D$19:$D$218,MATCH(L33,$D$19:INDEX($D$19:$D$218,$E$12),1)+1)-INDEX($D$19:$D$218,MATCH(L33,$D$19:INDEX($D$19:$D$218,$E$12),1))))))</f>
        <v/>
      </c>
      <c r="N33" s="12">
        <f>IF(M33="","",$B$6*TAN(RADIANS(M33)))</f>
        <v/>
      </c>
      <c r="O33" s="12">
        <f>IF(N33="","",IF(L33=0,0,-N33*J33/SQRT(J33^2+K33^2)))</f>
        <v/>
      </c>
      <c r="P33" s="12">
        <f>IF(N33="","",IF(L33=0,0,N33*K33/SQRT(J33^2+K33^2)))</f>
        <v/>
      </c>
      <c r="Q33" s="12">
        <f>IF(N33="","",IF(N33=0,$B$7,$B$7-Y33*O33/N33))</f>
        <v/>
      </c>
      <c r="R33" s="12">
        <f>IF(N33="","",IF(N33=0,$B$8,$B$8+Y33*P33/N33))</f>
        <v/>
      </c>
      <c r="S33" s="12">
        <f>IFERROR(SQRT((Q33-H33)^2+(R33-I33)^2),"")</f>
        <v/>
      </c>
      <c r="T33">
        <f>6</f>
        <v/>
      </c>
      <c r="U33">
        <f>IF(T33&gt;4*$E$9,"",MIN(INT(T33/$E$9)+1,4))</f>
        <v/>
      </c>
      <c r="V33">
        <f>IF(T33=4*$E$9,-$E$6/2,IF(U33="","",CHOOSE(U33,-$E$6/2+MOD(T33,$E$9)/$E$9*$E$6,$E$6/2,$E$6/2-MOD(T33,$E$9)/$E$9*$E$6,-$E$6/2)))</f>
        <v/>
      </c>
      <c r="W33">
        <f>IF(T33=4*$E$9,-$E$7/2,IF(U33="","",CHOOSE(U33,-$E$7/2,-$E$7/2+MOD(T33,$E$9)/$E$9*$E$7,$E$7/2,$E$7/2-MOD(T33,$E$9)/$E$9*$E$7)))</f>
        <v/>
      </c>
      <c r="X33">
        <f>IF(OR($E$13&lt;&gt;"OK",M33=""),"",IF(M33&lt;=$A$19,$D$19,IF(M33&gt;=INDEX($A$19:$A$218,$E$12),INDEX($D$19:$D$218,$E$12),INDEX($D$19:$D$218,MATCH(M33,$A$19:INDEX($A$19:$A$218,$E$12),1))+(M33-INDEX($A$19:$A$218,MATCH(M33,$A$19:INDEX($A$19:$A$218,$E$12),1)))*(INDEX($D$19:$D$218,MATCH(M33,$A$19:INDEX($A$19:$A$218,$E$12),1)+1)-INDEX($D$19:$D$218,MATCH(M33,$A$19:INDEX($A$19:$A$218,$E$12),1)))/(INDEX($A$19:$A$218,MATCH(M33,$A$19:INDEX($A$19:$A$218,$E$12),1)+1)-INDEX($A$19:$A$218,MATCH(M33,$A$19:INDEX($A$19:$A$218,$E$12),1))))))</f>
        <v/>
      </c>
      <c r="Y33">
        <f>IF(X33="","",X33*1000/$B$4)</f>
        <v/>
      </c>
    </row>
    <row r="34">
      <c r="A34" s="10" t="n"/>
      <c r="B34" s="10" t="n"/>
      <c r="C34" s="11">
        <f>IF(A34="","",$B$5*TAN(RADIANS(A34)))</f>
        <v/>
      </c>
      <c r="D34" s="11">
        <f>IF(C34="","",C34*(1+B34/100))</f>
        <v/>
      </c>
      <c r="E34" s="11">
        <f>IF(A34="","",$B$6*TAN(RADIANS(A34)))</f>
        <v/>
      </c>
      <c r="G34" s="12">
        <f>IF(U34="","",T34)</f>
        <v/>
      </c>
      <c r="H34" s="12">
        <f>IF(U34="","",$E$4+V34*COS(RADIANS($E$8))-W34*SIN(RADIANS($E$8)))</f>
        <v/>
      </c>
      <c r="I34" s="12">
        <f>IF(U34="","",$E$5+V34*SIN(RADIANS($E$8))+W34*COS(RADIANS($E$8)))</f>
        <v/>
      </c>
      <c r="J34" s="12">
        <f>IF(H34="","",H34-$B$7)</f>
        <v/>
      </c>
      <c r="K34" s="12">
        <f>IF(I34="","",I34-$B$8)</f>
        <v/>
      </c>
      <c r="L34" s="12">
        <f>IFERROR(SQRT(J34^2+K34^2)*$B$4/1000,"")</f>
        <v/>
      </c>
      <c r="M34" s="12">
        <f>IF(OR($E$13&lt;&gt;"OK",L34=""),"",IF(L34&lt;=$D$19,$A$19,IF(L34&gt;=INDEX($D$19:$D$218,$E$12),INDEX($A$19:$A$218,$E$12),INDEX($A$19:$A$218,MATCH(L34,$D$19:INDEX($D$19:$D$218,$E$12),1))+(L34-INDEX($D$19:$D$218,MATCH(L34,$D$19:INDEX($D$19:$D$218,$E$12),1)))*(INDEX($A$19:$A$218,MATCH(L34,$D$19:INDEX($D$19:$D$218,$E$12),1)+1)-INDEX($A$19:$A$218,MATCH(L34,$D$19:INDEX($D$19:$D$218,$E$12),1)))/(INDEX($D$19:$D$218,MATCH(L34,$D$19:INDEX($D$19:$D$218,$E$12),1)+1)-INDEX($D$19:$D$218,MATCH(L34,$D$19:INDEX($D$19:$D$218,$E$12),1))))))</f>
        <v/>
      </c>
      <c r="N34" s="12">
        <f>IF(M34="","",$B$6*TAN(RADIANS(M34)))</f>
        <v/>
      </c>
      <c r="O34" s="12">
        <f>IF(N34="","",IF(L34=0,0,-N34*J34/SQRT(J34^2+K34^2)))</f>
        <v/>
      </c>
      <c r="P34" s="12">
        <f>IF(N34="","",IF(L34=0,0,N34*K34/SQRT(J34^2+K34^2)))</f>
        <v/>
      </c>
      <c r="Q34" s="12">
        <f>IF(N34="","",IF(N34=0,$B$7,$B$7-Y34*O34/N34))</f>
        <v/>
      </c>
      <c r="R34" s="12">
        <f>IF(N34="","",IF(N34=0,$B$8,$B$8+Y34*P34/N34))</f>
        <v/>
      </c>
      <c r="S34" s="12">
        <f>IFERROR(SQRT((Q34-H34)^2+(R34-I34)^2),"")</f>
        <v/>
      </c>
      <c r="T34">
        <f>7</f>
        <v/>
      </c>
      <c r="U34">
        <f>IF(T34&gt;4*$E$9,"",MIN(INT(T34/$E$9)+1,4))</f>
        <v/>
      </c>
      <c r="V34">
        <f>IF(T34=4*$E$9,-$E$6/2,IF(U34="","",CHOOSE(U34,-$E$6/2+MOD(T34,$E$9)/$E$9*$E$6,$E$6/2,$E$6/2-MOD(T34,$E$9)/$E$9*$E$6,-$E$6/2)))</f>
        <v/>
      </c>
      <c r="W34">
        <f>IF(T34=4*$E$9,-$E$7/2,IF(U34="","",CHOOSE(U34,-$E$7/2,-$E$7/2+MOD(T34,$E$9)/$E$9*$E$7,$E$7/2,$E$7/2-MOD(T34,$E$9)/$E$9*$E$7)))</f>
        <v/>
      </c>
      <c r="X34">
        <f>IF(OR($E$13&lt;&gt;"OK",M34=""),"",IF(M34&lt;=$A$19,$D$19,IF(M34&gt;=INDEX($A$19:$A$218,$E$12),INDEX($D$19:$D$218,$E$12),INDEX($D$19:$D$218,MATCH(M34,$A$19:INDEX($A$19:$A$218,$E$12),1))+(M34-INDEX($A$19:$A$218,MATCH(M34,$A$19:INDEX($A$19:$A$218,$E$12),1)))*(INDEX($D$19:$D$218,MATCH(M34,$A$19:INDEX($A$19:$A$218,$E$12),1)+1)-INDEX($D$19:$D$218,MATCH(M34,$A$19:INDEX($A$19:$A$218,$E$12),1)))/(INDEX($A$19:$A$218,MATCH(M34,$A$19:INDEX($A$19:$A$218,$E$12),1)+1)-INDEX($A$19:$A$218,MATCH(M34,$A$19:INDEX($A$19:$A$218,$E$12),1))))))</f>
        <v/>
      </c>
      <c r="Y34">
        <f>IF(X34="","",X34*1000/$B$4)</f>
        <v/>
      </c>
    </row>
    <row r="35">
      <c r="A35" s="10" t="n"/>
      <c r="B35" s="10" t="n"/>
      <c r="C35" s="11">
        <f>IF(A35="","",$B$5*TAN(RADIANS(A35)))</f>
        <v/>
      </c>
      <c r="D35" s="11">
        <f>IF(C35="","",C35*(1+B35/100))</f>
        <v/>
      </c>
      <c r="E35" s="11">
        <f>IF(A35="","",$B$6*TAN(RADIANS(A35)))</f>
        <v/>
      </c>
      <c r="G35" s="12">
        <f>IF(U35="","",T35)</f>
        <v/>
      </c>
      <c r="H35" s="12">
        <f>IF(U35="","",$E$4+V35*COS(RADIANS($E$8))-W35*SIN(RADIANS($E$8)))</f>
        <v/>
      </c>
      <c r="I35" s="12">
        <f>IF(U35="","",$E$5+V35*SIN(RADIANS($E$8))+W35*COS(RADIANS($E$8)))</f>
        <v/>
      </c>
      <c r="J35" s="12">
        <f>IF(H35="","",H35-$B$7)</f>
        <v/>
      </c>
      <c r="K35" s="12">
        <f>IF(I35="","",I35-$B$8)</f>
        <v/>
      </c>
      <c r="L35" s="12">
        <f>IFERROR(SQRT(J35^2+K35^2)*$B$4/1000,"")</f>
        <v/>
      </c>
      <c r="M35" s="12">
        <f>IF(OR($E$13&lt;&gt;"OK",L35=""),"",IF(L35&lt;=$D$19,$A$19,IF(L35&gt;=INDEX($D$19:$D$218,$E$12),INDEX($A$19:$A$218,$E$12),INDEX($A$19:$A$218,MATCH(L35,$D$19:INDEX($D$19:$D$218,$E$12),1))+(L35-INDEX($D$19:$D$218,MATCH(L35,$D$19:INDEX($D$19:$D$218,$E$12),1)))*(INDEX($A$19:$A$218,MATCH(L35,$D$19:INDEX($D$19:$D$218,$E$12),1)+1)-INDEX($A$19:$A$218,MATCH(L35,$D$19:INDEX($D$19:$D$218,$E$12),1)))/(INDEX($D$19:$D$218,MATCH(L35,$D$19:INDEX($D$19:$D$218,$E$12),1)+1)-INDEX($D$19:$D$218,MATCH(L35,$D$19:INDEX($D$19:$D$218,$E$12),1))))))</f>
        <v/>
      </c>
      <c r="N35" s="12">
        <f>IF(M35="","",$B$6*TAN(RADIANS(M35)))</f>
        <v/>
      </c>
      <c r="O35" s="12">
        <f>IF(N35="","",IF(L35=0,0,-N35*J35/SQRT(J35^2+K35^2)))</f>
        <v/>
      </c>
      <c r="P35" s="12">
        <f>IF(N35="","",IF(L35=0,0,N35*K35/SQRT(J35^2+K35^2)))</f>
        <v/>
      </c>
      <c r="Q35" s="12">
        <f>IF(N35="","",IF(N35=0,$B$7,$B$7-Y35*O35/N35))</f>
        <v/>
      </c>
      <c r="R35" s="12">
        <f>IF(N35="","",IF(N35=0,$B$8,$B$8+Y35*P35/N35))</f>
        <v/>
      </c>
      <c r="S35" s="12">
        <f>IFERROR(SQRT((Q35-H35)^2+(R35-I35)^2),"")</f>
        <v/>
      </c>
      <c r="T35">
        <f>8</f>
        <v/>
      </c>
      <c r="U35">
        <f>IF(T35&gt;4*$E$9,"",MIN(INT(T35/$E$9)+1,4))</f>
        <v/>
      </c>
      <c r="V35">
        <f>IF(T35=4*$E$9,-$E$6/2,IF(U35="","",CHOOSE(U35,-$E$6/2+MOD(T35,$E$9)/$E$9*$E$6,$E$6/2,$E$6/2-MOD(T35,$E$9)/$E$9*$E$6,-$E$6/2)))</f>
        <v/>
      </c>
      <c r="W35">
        <f>IF(T35=4*$E$9,-$E$7/2,IF(U35="","",CHOOSE(U35,-$E$7/2,-$E$7/2+MOD(T35,$E$9)/$E$9*$E$7,$E$7/2,$E$7/2-MOD(T35,$E$9)/$E$9*$E$7)))</f>
        <v/>
      </c>
      <c r="X35">
        <f>IF(OR($E$13&lt;&gt;"OK",M35=""),"",IF(M35&lt;=$A$19,$D$19,IF(M35&gt;=INDEX($A$19:$A$218,$E$12),INDEX($D$19:$D$218,$E$12),INDEX($D$19:$D$218,MATCH(M35,$A$19:INDEX($A$19:$A$218,$E$12),1))+(M35-INDEX($A$19:$A$218,MATCH(M35,$A$19:INDEX($A$19:$A$218,$E$12),1)))*(INDEX($D$19:$D$218,MATCH(M35,$A$19:INDEX($A$19:$A$218,$E$12),1)+1)-INDEX($D$19:$D$218,MATCH(M35,$A$19:INDEX($A$19:$A$218,$E$12),1)))/(INDEX($A$19:$A$218,MATCH(M35,$A$19:INDEX($A$19:$A$218,$E$12),1)+1)-INDEX($A$19:$A$218,MATCH(M35,$A$19:INDEX($A$19:$A$218,$E$12),1))))))</f>
        <v/>
      </c>
      <c r="Y35">
        <f>IF(X35="","",X35*1000/$B$4)</f>
        <v/>
      </c>
    </row>
    <row r="36">
      <c r="A36" s="10" t="n"/>
      <c r="B36" s="10" t="n"/>
      <c r="C36" s="11">
        <f>IF(A36="","",$B$5*TAN(RADIANS(A36)))</f>
        <v/>
      </c>
      <c r="D36" s="11">
        <f>IF(C36="","",C36*(1+B36/100))</f>
        <v/>
      </c>
      <c r="E36" s="11">
        <f>IF(A36="","",$B$6*TAN(RADIANS(A36)))</f>
        <v/>
      </c>
      <c r="G36" s="12">
        <f>IF(U36="","",T36)</f>
        <v/>
      </c>
      <c r="H36" s="12">
        <f>IF(U36="","",$E$4+V36*COS(RADIANS($E$8))-W36*SIN(RADIANS($E$8)))</f>
        <v/>
      </c>
      <c r="I36" s="12">
        <f>IF(U36="","",$E$5+V36*SIN(RADIANS($E$8))+W36*COS(RADIANS($E$8)))</f>
        <v/>
      </c>
      <c r="J36" s="12">
        <f>IF(H36="","",H36-$B$7)</f>
        <v/>
      </c>
      <c r="K36" s="12">
        <f>IF(I36="","",I36-$B$8)</f>
        <v/>
      </c>
      <c r="L36" s="12">
        <f>IFERROR(SQRT(J36^2+K36^2)*$B$4/1000,"")</f>
        <v/>
      </c>
      <c r="M36" s="12">
        <f>IF(OR($E$13&lt;&gt;"OK",L36=""),"",IF(L36&lt;=$D$19,$A$19,IF(L36&gt;=INDEX($D$19:$D$218,$E$12),INDEX($A$19:$A$218,$E$12),INDEX($A$19:$A$218,MATCH(L36,$D$19:INDEX($D$19:$D$218,$E$12),1))+(L36-INDEX($D$19:$D$218,MATCH(L36,$D$19:INDEX($D$19:$D$218,$E$12),1)))*(INDEX($A$19:$A$218,MATCH(L36,$D$19:INDEX($D$19:$D$218,$E$12),1)+1)-INDEX($A$19:$A$218,MATCH(L36,$D$19:INDEX($D$19:$D$218,$E$12),1)))/(INDEX($D$19:$D$218,MATCH(L36,$D$19:INDEX($D$19:$D$218,$E$12),1)+1)-INDEX($D$19:$D$218,MATCH(L36,$D$19:INDEX($D$19:$D$218,$E$12),1))))))</f>
        <v/>
      </c>
      <c r="N36" s="12">
        <f>IF(M36="","",$B$6*TAN(RADIANS(M36)))</f>
        <v/>
      </c>
      <c r="O36" s="12">
        <f>IF(N36="","",IF(L36=0,0,-N36*J36/SQRT(J36^2+K36^2)))</f>
        <v/>
      </c>
      <c r="P36" s="12">
        <f>IF(N36="","",IF(L36=0,0,N36*K36/SQRT(J36^2+K36^2)))</f>
        <v/>
      </c>
      <c r="Q36" s="12">
        <f>IF(N36="","",IF(N36=0,$B$7,$B$7-Y36*O36/N36))</f>
        <v/>
      </c>
      <c r="R36" s="12">
        <f>IF(N36="","",IF(N36=0,$B$8,$B$8+Y36*P36/N36))</f>
        <v/>
      </c>
      <c r="S36" s="12">
        <f>IFERROR(SQRT((Q36-H36)^2+(R36-I36)^2),"")</f>
        <v/>
      </c>
      <c r="T36">
        <f>9</f>
        <v/>
      </c>
      <c r="U36">
        <f>IF(T36&gt;4*$E$9,"",MIN(INT(T36/$E$9)+1,4))</f>
        <v/>
      </c>
      <c r="V36">
        <f>IF(T36=4*$E$9,-$E$6/2,IF(U36="","",CHOOSE(U36,-$E$6/2+MOD(T36,$E$9)/$E$9*$E$6,$E$6/2,$E$6/2-MOD(T36,$E$9)/$E$9*$E$6,-$E$6/2)))</f>
        <v/>
      </c>
      <c r="W36">
        <f>IF(T36=4*$E$9,-$E$7/2,IF(U36="","",CHOOSE(U36,-$E$7/2,-$E$7/2+MOD(T36,$E$9)/$E$9*$E$7,$E$7/2,$E$7/2-MOD(T36,$E$9)/$E$9*$E$7)))</f>
        <v/>
      </c>
      <c r="X36">
        <f>IF(OR($E$13&lt;&gt;"OK",M36=""),"",IF(M36&lt;=$A$19,$D$19,IF(M36&gt;=INDEX($A$19:$A$218,$E$12),INDEX($D$19:$D$218,$E$12),INDEX($D$19:$D$218,MATCH(M36,$A$19:INDEX($A$19:$A$218,$E$12),1))+(M36-INDEX($A$19:$A$218,MATCH(M36,$A$19:INDEX($A$19:$A$218,$E$12),1)))*(INDEX($D$19:$D$218,MATCH(M36,$A$19:INDEX($A$19:$A$218,$E$12),1)+1)-INDEX($D$19:$D$218,MATCH(M36,$A$19:INDEX($A$19:$A$218,$E$12),1)))/(INDEX($A$19:$A$218,MATCH(M36,$A$19:INDEX($A$19:$A$218,$E$12),1)+1)-INDEX($A$19:$A$218,MATCH(M36,$A$19:INDEX($A$19:$A$218,$E$12),1))))))</f>
        <v/>
      </c>
      <c r="Y36">
        <f>IF(X36="","",X36*1000/$B$4)</f>
        <v/>
      </c>
    </row>
    <row r="37">
      <c r="A37" s="10" t="n"/>
      <c r="B37" s="10" t="n"/>
      <c r="C37" s="11">
        <f>IF(A37="","",$B$5*TAN(RADIANS(A37)))</f>
        <v/>
      </c>
      <c r="D37" s="11">
        <f>IF(C37="","",C37*(1+B37/100))</f>
        <v/>
      </c>
      <c r="E37" s="11">
        <f>IF(A37="","",$B$6*TAN(RADIANS(A37)))</f>
        <v/>
      </c>
      <c r="G37" s="12">
        <f>IF(U37="","",T37)</f>
        <v/>
      </c>
      <c r="H37" s="12">
        <f>IF(U37="","",$E$4+V37*COS(RADIANS($E$8))-W37*SIN(RADIANS($E$8)))</f>
        <v/>
      </c>
      <c r="I37" s="12">
        <f>IF(U37="","",$E$5+V37*SIN(RADIANS($E$8))+W37*COS(RADIANS($E$8)))</f>
        <v/>
      </c>
      <c r="J37" s="12">
        <f>IF(H37="","",H37-$B$7)</f>
        <v/>
      </c>
      <c r="K37" s="12">
        <f>IF(I37="","",I37-$B$8)</f>
        <v/>
      </c>
      <c r="L37" s="12">
        <f>IFERROR(SQRT(J37^2+K37^2)*$B$4/1000,"")</f>
        <v/>
      </c>
      <c r="M37" s="12">
        <f>IF(OR($E$13&lt;&gt;"OK",L37=""),"",IF(L37&lt;=$D$19,$A$19,IF(L37&gt;=INDEX($D$19:$D$218,$E$12),INDEX($A$19:$A$218,$E$12),INDEX($A$19:$A$218,MATCH(L37,$D$19:INDEX($D$19:$D$218,$E$12),1))+(L37-INDEX($D$19:$D$218,MATCH(L37,$D$19:INDEX($D$19:$D$218,$E$12),1)))*(INDEX($A$19:$A$218,MATCH(L37,$D$19:INDEX($D$19:$D$218,$E$12),1)+1)-INDEX($A$19:$A$218,MATCH(L37,$D$19:INDEX($D$19:$D$218,$E$12),1)))/(INDEX($D$19:$D$218,MATCH(L37,$D$19:INDEX($D$19:$D$218,$E$12),1)+1)-INDEX($D$19:$D$218,MATCH(L37,$D$19:INDEX($D$19:$D$218,$E$12),1))))))</f>
        <v/>
      </c>
      <c r="N37" s="12">
        <f>IF(M37="","",$B$6*TAN(RADIANS(M37)))</f>
        <v/>
      </c>
      <c r="O37" s="12">
        <f>IF(N37="","",IF(L37=0,0,-N37*J37/SQRT(J37^2+K37^2)))</f>
        <v/>
      </c>
      <c r="P37" s="12">
        <f>IF(N37="","",IF(L37=0,0,N37*K37/SQRT(J37^2+K37^2)))</f>
        <v/>
      </c>
      <c r="Q37" s="12">
        <f>IF(N37="","",IF(N37=0,$B$7,$B$7-Y37*O37/N37))</f>
        <v/>
      </c>
      <c r="R37" s="12">
        <f>IF(N37="","",IF(N37=0,$B$8,$B$8+Y37*P37/N37))</f>
        <v/>
      </c>
      <c r="S37" s="12">
        <f>IFERROR(SQRT((Q37-H37)^2+(R37-I37)^2),"")</f>
        <v/>
      </c>
      <c r="T37">
        <f>10</f>
        <v/>
      </c>
      <c r="U37">
        <f>IF(T37&gt;4*$E$9,"",MIN(INT(T37/$E$9)+1,4))</f>
        <v/>
      </c>
      <c r="V37">
        <f>IF(T37=4*$E$9,-$E$6/2,IF(U37="","",CHOOSE(U37,-$E$6/2+MOD(T37,$E$9)/$E$9*$E$6,$E$6/2,$E$6/2-MOD(T37,$E$9)/$E$9*$E$6,-$E$6/2)))</f>
        <v/>
      </c>
      <c r="W37">
        <f>IF(T37=4*$E$9,-$E$7/2,IF(U37="","",CHOOSE(U37,-$E$7/2,-$E$7/2+MOD(T37,$E$9)/$E$9*$E$7,$E$7/2,$E$7/2-MOD(T37,$E$9)/$E$9*$E$7)))</f>
        <v/>
      </c>
      <c r="X37">
        <f>IF(OR($E$13&lt;&gt;"OK",M37=""),"",IF(M37&lt;=$A$19,$D$19,IF(M37&gt;=INDEX($A$19:$A$218,$E$12),INDEX($D$19:$D$218,$E$12),INDEX($D$19:$D$218,MATCH(M37,$A$19:INDEX($A$19:$A$218,$E$12),1))+(M37-INDEX($A$19:$A$218,MATCH(M37,$A$19:INDEX($A$19:$A$218,$E$12),1)))*(INDEX($D$19:$D$218,MATCH(M37,$A$19:INDEX($A$19:$A$218,$E$12),1)+1)-INDEX($D$19:$D$218,MATCH(M37,$A$19:INDEX($A$19:$A$218,$E$12),1)))/(INDEX($A$19:$A$218,MATCH(M37,$A$19:INDEX($A$19:$A$218,$E$12),1)+1)-INDEX($A$19:$A$218,MATCH(M37,$A$19:INDEX($A$19:$A$218,$E$12),1))))))</f>
        <v/>
      </c>
      <c r="Y37">
        <f>IF(X37="","",X37*1000/$B$4)</f>
        <v/>
      </c>
    </row>
    <row r="38">
      <c r="A38" s="10" t="n"/>
      <c r="B38" s="10" t="n"/>
      <c r="C38" s="11">
        <f>IF(A38="","",$B$5*TAN(RADIANS(A38)))</f>
        <v/>
      </c>
      <c r="D38" s="11">
        <f>IF(C38="","",C38*(1+B38/100))</f>
        <v/>
      </c>
      <c r="E38" s="11">
        <f>IF(A38="","",$B$6*TAN(RADIANS(A38)))</f>
        <v/>
      </c>
      <c r="G38" s="12">
        <f>IF(U38="","",T38)</f>
        <v/>
      </c>
      <c r="H38" s="12">
        <f>IF(U38="","",$E$4+V38*COS(RADIANS($E$8))-W38*SIN(RADIANS($E$8)))</f>
        <v/>
      </c>
      <c r="I38" s="12">
        <f>IF(U38="","",$E$5+V38*SIN(RADIANS($E$8))+W38*COS(RADIANS($E$8)))</f>
        <v/>
      </c>
      <c r="J38" s="12">
        <f>IF(H38="","",H38-$B$7)</f>
        <v/>
      </c>
      <c r="K38" s="12">
        <f>IF(I38="","",I38-$B$8)</f>
        <v/>
      </c>
      <c r="L38" s="12">
        <f>IFERROR(SQRT(J38^2+K38^2)*$B$4/1000,"")</f>
        <v/>
      </c>
      <c r="M38" s="12">
        <f>IF(OR($E$13&lt;&gt;"OK",L38=""),"",IF(L38&lt;=$D$19,$A$19,IF(L38&gt;=INDEX($D$19:$D$218,$E$12),INDEX($A$19:$A$218,$E$12),INDEX($A$19:$A$218,MATCH(L38,$D$19:INDEX($D$19:$D$218,$E$12),1))+(L38-INDEX($D$19:$D$218,MATCH(L38,$D$19:INDEX($D$19:$D$218,$E$12),1)))*(INDEX($A$19:$A$218,MATCH(L38,$D$19:INDEX($D$19:$D$218,$E$12),1)+1)-INDEX($A$19:$A$218,MATCH(L38,$D$19:INDEX($D$19:$D$218,$E$12),1)))/(INDEX($D$19:$D$218,MATCH(L38,$D$19:INDEX($D$19:$D$218,$E$12),1)+1)-INDEX($D$19:$D$218,MATCH(L38,$D$19:INDEX($D$19:$D$218,$E$12),1))))))</f>
        <v/>
      </c>
      <c r="N38" s="12">
        <f>IF(M38="","",$B$6*TAN(RADIANS(M38)))</f>
        <v/>
      </c>
      <c r="O38" s="12">
        <f>IF(N38="","",IF(L38=0,0,-N38*J38/SQRT(J38^2+K38^2)))</f>
        <v/>
      </c>
      <c r="P38" s="12">
        <f>IF(N38="","",IF(L38=0,0,N38*K38/SQRT(J38^2+K38^2)))</f>
        <v/>
      </c>
      <c r="Q38" s="12">
        <f>IF(N38="","",IF(N38=0,$B$7,$B$7-Y38*O38/N38))</f>
        <v/>
      </c>
      <c r="R38" s="12">
        <f>IF(N38="","",IF(N38=0,$B$8,$B$8+Y38*P38/N38))</f>
        <v/>
      </c>
      <c r="S38" s="12">
        <f>IFERROR(SQRT((Q38-H38)^2+(R38-I38)^2),"")</f>
        <v/>
      </c>
      <c r="T38">
        <f>11</f>
        <v/>
      </c>
      <c r="U38">
        <f>IF(T38&gt;4*$E$9,"",MIN(INT(T38/$E$9)+1,4))</f>
        <v/>
      </c>
      <c r="V38">
        <f>IF(T38=4*$E$9,-$E$6/2,IF(U38="","",CHOOSE(U38,-$E$6/2+MOD(T38,$E$9)/$E$9*$E$6,$E$6/2,$E$6/2-MOD(T38,$E$9)/$E$9*$E$6,-$E$6/2)))</f>
        <v/>
      </c>
      <c r="W38">
        <f>IF(T38=4*$E$9,-$E$7/2,IF(U38="","",CHOOSE(U38,-$E$7/2,-$E$7/2+MOD(T38,$E$9)/$E$9*$E$7,$E$7/2,$E$7/2-MOD(T38,$E$9)/$E$9*$E$7)))</f>
        <v/>
      </c>
      <c r="X38">
        <f>IF(OR($E$13&lt;&gt;"OK",M38=""),"",IF(M38&lt;=$A$19,$D$19,IF(M38&gt;=INDEX($A$19:$A$218,$E$12),INDEX($D$19:$D$218,$E$12),INDEX($D$19:$D$218,MATCH(M38,$A$19:INDEX($A$19:$A$218,$E$12),1))+(M38-INDEX($A$19:$A$218,MATCH(M38,$A$19:INDEX($A$19:$A$218,$E$12),1)))*(INDEX($D$19:$D$218,MATCH(M38,$A$19:INDEX($A$19:$A$218,$E$12),1)+1)-INDEX($D$19:$D$218,MATCH(M38,$A$19:INDEX($A$19:$A$218,$E$12),1)))/(INDEX($A$19:$A$218,MATCH(M38,$A$19:INDEX($A$19:$A$218,$E$12),1)+1)-INDEX($A$19:$A$218,MATCH(M38,$A$19:INDEX($A$19:$A$218,$E$12),1))))))</f>
        <v/>
      </c>
      <c r="Y38">
        <f>IF(X38="","",X38*1000/$B$4)</f>
        <v/>
      </c>
    </row>
    <row r="39">
      <c r="A39" s="10" t="n"/>
      <c r="B39" s="10" t="n"/>
      <c r="C39" s="11">
        <f>IF(A39="","",$B$5*TAN(RADIANS(A39)))</f>
        <v/>
      </c>
      <c r="D39" s="11">
        <f>IF(C39="","",C39*(1+B39/100))</f>
        <v/>
      </c>
      <c r="E39" s="11">
        <f>IF(A39="","",$B$6*TAN(RADIANS(A39)))</f>
        <v/>
      </c>
      <c r="G39" s="12">
        <f>IF(U39="","",T39)</f>
        <v/>
      </c>
      <c r="H39" s="12">
        <f>IF(U39="","",$E$4+V39*COS(RADIANS($E$8))-W39*SIN(RADIANS($E$8)))</f>
        <v/>
      </c>
      <c r="I39" s="12">
        <f>IF(U39="","",$E$5+V39*SIN(RADIANS($E$8))+W39*COS(RADIANS($E$8)))</f>
        <v/>
      </c>
      <c r="J39" s="12">
        <f>IF(H39="","",H39-$B$7)</f>
        <v/>
      </c>
      <c r="K39" s="12">
        <f>IF(I39="","",I39-$B$8)</f>
        <v/>
      </c>
      <c r="L39" s="12">
        <f>IFERROR(SQRT(J39^2+K39^2)*$B$4/1000,"")</f>
        <v/>
      </c>
      <c r="M39" s="12">
        <f>IF(OR($E$13&lt;&gt;"OK",L39=""),"",IF(L39&lt;=$D$19,$A$19,IF(L39&gt;=INDEX($D$19:$D$218,$E$12),INDEX($A$19:$A$218,$E$12),INDEX($A$19:$A$218,MATCH(L39,$D$19:INDEX($D$19:$D$218,$E$12),1))+(L39-INDEX($D$19:$D$218,MATCH(L39,$D$19:INDEX($D$19:$D$218,$E$12),1)))*(INDEX($A$19:$A$218,MATCH(L39,$D$19:INDEX($D$19:$D$218,$E$12),1)+1)-INDEX($A$19:$A$218,MATCH(L39,$D$19:INDEX($D$19:$D$218,$E$12),1)))/(INDEX($D$19:$D$218,MATCH(L39,$D$19:INDEX($D$19:$D$218,$E$12),1)+1)-INDEX($D$19:$D$218,MATCH(L39,$D$19:INDEX($D$19:$D$218,$E$12),1))))))</f>
        <v/>
      </c>
      <c r="N39" s="12">
        <f>IF(M39="","",$B$6*TAN(RADIANS(M39)))</f>
        <v/>
      </c>
      <c r="O39" s="12">
        <f>IF(N39="","",IF(L39=0,0,-N39*J39/SQRT(J39^2+K39^2)))</f>
        <v/>
      </c>
      <c r="P39" s="12">
        <f>IF(N39="","",IF(L39=0,0,N39*K39/SQRT(J39^2+K39^2)))</f>
        <v/>
      </c>
      <c r="Q39" s="12">
        <f>IF(N39="","",IF(N39=0,$B$7,$B$7-Y39*O39/N39))</f>
        <v/>
      </c>
      <c r="R39" s="12">
        <f>IF(N39="","",IF(N39=0,$B$8,$B$8+Y39*P39/N39))</f>
        <v/>
      </c>
      <c r="S39" s="12">
        <f>IFERROR(SQRT((Q39-H39)^2+(R39-I39)^2),"")</f>
        <v/>
      </c>
      <c r="T39">
        <f>12</f>
        <v/>
      </c>
      <c r="U39">
        <f>IF(T39&gt;4*$E$9,"",MIN(INT(T39/$E$9)+1,4))</f>
        <v/>
      </c>
      <c r="V39">
        <f>IF(T39=4*$E$9,-$E$6/2,IF(U39="","",CHOOSE(U39,-$E$6/2+MOD(T39,$E$9)/$E$9*$E$6,$E$6/2,$E$6/2-MOD(T39,$E$9)/$E$9*$E$6,-$E$6/2)))</f>
        <v/>
      </c>
      <c r="W39">
        <f>IF(T39=4*$E$9,-$E$7/2,IF(U39="","",CHOOSE(U39,-$E$7/2,-$E$7/2+MOD(T39,$E$9)/$E$9*$E$7,$E$7/2,$E$7/2-MOD(T39,$E$9)/$E$9*$E$7)))</f>
        <v/>
      </c>
      <c r="X39">
        <f>IF(OR($E$13&lt;&gt;"OK",M39=""),"",IF(M39&lt;=$A$19,$D$19,IF(M39&gt;=INDEX($A$19:$A$218,$E$12),INDEX($D$19:$D$218,$E$12),INDEX($D$19:$D$218,MATCH(M39,$A$19:INDEX($A$19:$A$218,$E$12),1))+(M39-INDEX($A$19:$A$218,MATCH(M39,$A$19:INDEX($A$19:$A$218,$E$12),1)))*(INDEX($D$19:$D$218,MATCH(M39,$A$19:INDEX($A$19:$A$218,$E$12),1)+1)-INDEX($D$19:$D$218,MATCH(M39,$A$19:INDEX($A$19:$A$218,$E$12),1)))/(INDEX($A$19:$A$218,MATCH(M39,$A$19:INDEX($A$19:$A$218,$E$12),1)+1)-INDEX($A$19:$A$218,MATCH(M39,$A$19:INDEX($A$19:$A$218,$E$12),1))))))</f>
        <v/>
      </c>
      <c r="Y39">
        <f>IF(X39="","",X39*1000/$B$4)</f>
        <v/>
      </c>
    </row>
    <row r="40">
      <c r="A40" s="10" t="n"/>
      <c r="B40" s="10" t="n"/>
      <c r="C40" s="11">
        <f>IF(A40="","",$B$5*TAN(RADIANS(A40)))</f>
        <v/>
      </c>
      <c r="D40" s="11">
        <f>IF(C40="","",C40*(1+B40/100))</f>
        <v/>
      </c>
      <c r="E40" s="11">
        <f>IF(A40="","",$B$6*TAN(RADIANS(A40)))</f>
        <v/>
      </c>
      <c r="G40" s="12">
        <f>IF(U40="","",T40)</f>
        <v/>
      </c>
      <c r="H40" s="12">
        <f>IF(U40="","",$E$4+V40*COS(RADIANS($E$8))-W40*SIN(RADIANS($E$8)))</f>
        <v/>
      </c>
      <c r="I40" s="12">
        <f>IF(U40="","",$E$5+V40*SIN(RADIANS($E$8))+W40*COS(RADIANS($E$8)))</f>
        <v/>
      </c>
      <c r="J40" s="12">
        <f>IF(H40="","",H40-$B$7)</f>
        <v/>
      </c>
      <c r="K40" s="12">
        <f>IF(I40="","",I40-$B$8)</f>
        <v/>
      </c>
      <c r="L40" s="12">
        <f>IFERROR(SQRT(J40^2+K40^2)*$B$4/1000,"")</f>
        <v/>
      </c>
      <c r="M40" s="12">
        <f>IF(OR($E$13&lt;&gt;"OK",L40=""),"",IF(L40&lt;=$D$19,$A$19,IF(L40&gt;=INDEX($D$19:$D$218,$E$12),INDEX($A$19:$A$218,$E$12),INDEX($A$19:$A$218,MATCH(L40,$D$19:INDEX($D$19:$D$218,$E$12),1))+(L40-INDEX($D$19:$D$218,MATCH(L40,$D$19:INDEX($D$19:$D$218,$E$12),1)))*(INDEX($A$19:$A$218,MATCH(L40,$D$19:INDEX($D$19:$D$218,$E$12),1)+1)-INDEX($A$19:$A$218,MATCH(L40,$D$19:INDEX($D$19:$D$218,$E$12),1)))/(INDEX($D$19:$D$218,MATCH(L40,$D$19:INDEX($D$19:$D$218,$E$12),1)+1)-INDEX($D$19:$D$218,MATCH(L40,$D$19:INDEX($D$19:$D$218,$E$12),1))))))</f>
        <v/>
      </c>
      <c r="N40" s="12">
        <f>IF(M40="","",$B$6*TAN(RADIANS(M40)))</f>
        <v/>
      </c>
      <c r="O40" s="12">
        <f>IF(N40="","",IF(L40=0,0,-N40*J40/SQRT(J40^2+K40^2)))</f>
        <v/>
      </c>
      <c r="P40" s="12">
        <f>IF(N40="","",IF(L40=0,0,N40*K40/SQRT(J40^2+K40^2)))</f>
        <v/>
      </c>
      <c r="Q40" s="12">
        <f>IF(N40="","",IF(N40=0,$B$7,$B$7-Y40*O40/N40))</f>
        <v/>
      </c>
      <c r="R40" s="12">
        <f>IF(N40="","",IF(N40=0,$B$8,$B$8+Y40*P40/N40))</f>
        <v/>
      </c>
      <c r="S40" s="12">
        <f>IFERROR(SQRT((Q40-H40)^2+(R40-I40)^2),"")</f>
        <v/>
      </c>
      <c r="T40">
        <f>13</f>
        <v/>
      </c>
      <c r="U40">
        <f>IF(T40&gt;4*$E$9,"",MIN(INT(T40/$E$9)+1,4))</f>
        <v/>
      </c>
      <c r="V40">
        <f>IF(T40=4*$E$9,-$E$6/2,IF(U40="","",CHOOSE(U40,-$E$6/2+MOD(T40,$E$9)/$E$9*$E$6,$E$6/2,$E$6/2-MOD(T40,$E$9)/$E$9*$E$6,-$E$6/2)))</f>
        <v/>
      </c>
      <c r="W40">
        <f>IF(T40=4*$E$9,-$E$7/2,IF(U40="","",CHOOSE(U40,-$E$7/2,-$E$7/2+MOD(T40,$E$9)/$E$9*$E$7,$E$7/2,$E$7/2-MOD(T40,$E$9)/$E$9*$E$7)))</f>
        <v/>
      </c>
      <c r="X40">
        <f>IF(OR($E$13&lt;&gt;"OK",M40=""),"",IF(M40&lt;=$A$19,$D$19,IF(M40&gt;=INDEX($A$19:$A$218,$E$12),INDEX($D$19:$D$218,$E$12),INDEX($D$19:$D$218,MATCH(M40,$A$19:INDEX($A$19:$A$218,$E$12),1))+(M40-INDEX($A$19:$A$218,MATCH(M40,$A$19:INDEX($A$19:$A$218,$E$12),1)))*(INDEX($D$19:$D$218,MATCH(M40,$A$19:INDEX($A$19:$A$218,$E$12),1)+1)-INDEX($D$19:$D$218,MATCH(M40,$A$19:INDEX($A$19:$A$218,$E$12),1)))/(INDEX($A$19:$A$218,MATCH(M40,$A$19:INDEX($A$19:$A$218,$E$12),1)+1)-INDEX($A$19:$A$218,MATCH(M40,$A$19:INDEX($A$19:$A$218,$E$12),1))))))</f>
        <v/>
      </c>
      <c r="Y40">
        <f>IF(X40="","",X40*1000/$B$4)</f>
        <v/>
      </c>
    </row>
    <row r="41">
      <c r="A41" s="10" t="n"/>
      <c r="B41" s="10" t="n"/>
      <c r="C41" s="11">
        <f>IF(A41="","",$B$5*TAN(RADIANS(A41)))</f>
        <v/>
      </c>
      <c r="D41" s="11">
        <f>IF(C41="","",C41*(1+B41/100))</f>
        <v/>
      </c>
      <c r="E41" s="11">
        <f>IF(A41="","",$B$6*TAN(RADIANS(A41)))</f>
        <v/>
      </c>
      <c r="G41" s="12">
        <f>IF(U41="","",T41)</f>
        <v/>
      </c>
      <c r="H41" s="12">
        <f>IF(U41="","",$E$4+V41*COS(RADIANS($E$8))-W41*SIN(RADIANS($E$8)))</f>
        <v/>
      </c>
      <c r="I41" s="12">
        <f>IF(U41="","",$E$5+V41*SIN(RADIANS($E$8))+W41*COS(RADIANS($E$8)))</f>
        <v/>
      </c>
      <c r="J41" s="12">
        <f>IF(H41="","",H41-$B$7)</f>
        <v/>
      </c>
      <c r="K41" s="12">
        <f>IF(I41="","",I41-$B$8)</f>
        <v/>
      </c>
      <c r="L41" s="12">
        <f>IFERROR(SQRT(J41^2+K41^2)*$B$4/1000,"")</f>
        <v/>
      </c>
      <c r="M41" s="12">
        <f>IF(OR($E$13&lt;&gt;"OK",L41=""),"",IF(L41&lt;=$D$19,$A$19,IF(L41&gt;=INDEX($D$19:$D$218,$E$12),INDEX($A$19:$A$218,$E$12),INDEX($A$19:$A$218,MATCH(L41,$D$19:INDEX($D$19:$D$218,$E$12),1))+(L41-INDEX($D$19:$D$218,MATCH(L41,$D$19:INDEX($D$19:$D$218,$E$12),1)))*(INDEX($A$19:$A$218,MATCH(L41,$D$19:INDEX($D$19:$D$218,$E$12),1)+1)-INDEX($A$19:$A$218,MATCH(L41,$D$19:INDEX($D$19:$D$218,$E$12),1)))/(INDEX($D$19:$D$218,MATCH(L41,$D$19:INDEX($D$19:$D$218,$E$12),1)+1)-INDEX($D$19:$D$218,MATCH(L41,$D$19:INDEX($D$19:$D$218,$E$12),1))))))</f>
        <v/>
      </c>
      <c r="N41" s="12">
        <f>IF(M41="","",$B$6*TAN(RADIANS(M41)))</f>
        <v/>
      </c>
      <c r="O41" s="12">
        <f>IF(N41="","",IF(L41=0,0,-N41*J41/SQRT(J41^2+K41^2)))</f>
        <v/>
      </c>
      <c r="P41" s="12">
        <f>IF(N41="","",IF(L41=0,0,N41*K41/SQRT(J41^2+K41^2)))</f>
        <v/>
      </c>
      <c r="Q41" s="12">
        <f>IF(N41="","",IF(N41=0,$B$7,$B$7-Y41*O41/N41))</f>
        <v/>
      </c>
      <c r="R41" s="12">
        <f>IF(N41="","",IF(N41=0,$B$8,$B$8+Y41*P41/N41))</f>
        <v/>
      </c>
      <c r="S41" s="12">
        <f>IFERROR(SQRT((Q41-H41)^2+(R41-I41)^2),"")</f>
        <v/>
      </c>
      <c r="T41">
        <f>14</f>
        <v/>
      </c>
      <c r="U41">
        <f>IF(T41&gt;4*$E$9,"",MIN(INT(T41/$E$9)+1,4))</f>
        <v/>
      </c>
      <c r="V41">
        <f>IF(T41=4*$E$9,-$E$6/2,IF(U41="","",CHOOSE(U41,-$E$6/2+MOD(T41,$E$9)/$E$9*$E$6,$E$6/2,$E$6/2-MOD(T41,$E$9)/$E$9*$E$6,-$E$6/2)))</f>
        <v/>
      </c>
      <c r="W41">
        <f>IF(T41=4*$E$9,-$E$7/2,IF(U41="","",CHOOSE(U41,-$E$7/2,-$E$7/2+MOD(T41,$E$9)/$E$9*$E$7,$E$7/2,$E$7/2-MOD(T41,$E$9)/$E$9*$E$7)))</f>
        <v/>
      </c>
      <c r="X41">
        <f>IF(OR($E$13&lt;&gt;"OK",M41=""),"",IF(M41&lt;=$A$19,$D$19,IF(M41&gt;=INDEX($A$19:$A$218,$E$12),INDEX($D$19:$D$218,$E$12),INDEX($D$19:$D$218,MATCH(M41,$A$19:INDEX($A$19:$A$218,$E$12),1))+(M41-INDEX($A$19:$A$218,MATCH(M41,$A$19:INDEX($A$19:$A$218,$E$12),1)))*(INDEX($D$19:$D$218,MATCH(M41,$A$19:INDEX($A$19:$A$218,$E$12),1)+1)-INDEX($D$19:$D$218,MATCH(M41,$A$19:INDEX($A$19:$A$218,$E$12),1)))/(INDEX($A$19:$A$218,MATCH(M41,$A$19:INDEX($A$19:$A$218,$E$12),1)+1)-INDEX($A$19:$A$218,MATCH(M41,$A$19:INDEX($A$19:$A$218,$E$12),1))))))</f>
        <v/>
      </c>
      <c r="Y41">
        <f>IF(X41="","",X41*1000/$B$4)</f>
        <v/>
      </c>
    </row>
    <row r="42">
      <c r="A42" s="10" t="n"/>
      <c r="B42" s="10" t="n"/>
      <c r="C42" s="11">
        <f>IF(A42="","",$B$5*TAN(RADIANS(A42)))</f>
        <v/>
      </c>
      <c r="D42" s="11">
        <f>IF(C42="","",C42*(1+B42/100))</f>
        <v/>
      </c>
      <c r="E42" s="11">
        <f>IF(A42="","",$B$6*TAN(RADIANS(A42)))</f>
        <v/>
      </c>
      <c r="G42" s="12">
        <f>IF(U42="","",T42)</f>
        <v/>
      </c>
      <c r="H42" s="12">
        <f>IF(U42="","",$E$4+V42*COS(RADIANS($E$8))-W42*SIN(RADIANS($E$8)))</f>
        <v/>
      </c>
      <c r="I42" s="12">
        <f>IF(U42="","",$E$5+V42*SIN(RADIANS($E$8))+W42*COS(RADIANS($E$8)))</f>
        <v/>
      </c>
      <c r="J42" s="12">
        <f>IF(H42="","",H42-$B$7)</f>
        <v/>
      </c>
      <c r="K42" s="12">
        <f>IF(I42="","",I42-$B$8)</f>
        <v/>
      </c>
      <c r="L42" s="12">
        <f>IFERROR(SQRT(J42^2+K42^2)*$B$4/1000,"")</f>
        <v/>
      </c>
      <c r="M42" s="12">
        <f>IF(OR($E$13&lt;&gt;"OK",L42=""),"",IF(L42&lt;=$D$19,$A$19,IF(L42&gt;=INDEX($D$19:$D$218,$E$12),INDEX($A$19:$A$218,$E$12),INDEX($A$19:$A$218,MATCH(L42,$D$19:INDEX($D$19:$D$218,$E$12),1))+(L42-INDEX($D$19:$D$218,MATCH(L42,$D$19:INDEX($D$19:$D$218,$E$12),1)))*(INDEX($A$19:$A$218,MATCH(L42,$D$19:INDEX($D$19:$D$218,$E$12),1)+1)-INDEX($A$19:$A$218,MATCH(L42,$D$19:INDEX($D$19:$D$218,$E$12),1)))/(INDEX($D$19:$D$218,MATCH(L42,$D$19:INDEX($D$19:$D$218,$E$12),1)+1)-INDEX($D$19:$D$218,MATCH(L42,$D$19:INDEX($D$19:$D$218,$E$12),1))))))</f>
        <v/>
      </c>
      <c r="N42" s="12">
        <f>IF(M42="","",$B$6*TAN(RADIANS(M42)))</f>
        <v/>
      </c>
      <c r="O42" s="12">
        <f>IF(N42="","",IF(L42=0,0,-N42*J42/SQRT(J42^2+K42^2)))</f>
        <v/>
      </c>
      <c r="P42" s="12">
        <f>IF(N42="","",IF(L42=0,0,N42*K42/SQRT(J42^2+K42^2)))</f>
        <v/>
      </c>
      <c r="Q42" s="12">
        <f>IF(N42="","",IF(N42=0,$B$7,$B$7-Y42*O42/N42))</f>
        <v/>
      </c>
      <c r="R42" s="12">
        <f>IF(N42="","",IF(N42=0,$B$8,$B$8+Y42*P42/N42))</f>
        <v/>
      </c>
      <c r="S42" s="12">
        <f>IFERROR(SQRT((Q42-H42)^2+(R42-I42)^2),"")</f>
        <v/>
      </c>
      <c r="T42">
        <f>15</f>
        <v/>
      </c>
      <c r="U42">
        <f>IF(T42&gt;4*$E$9,"",MIN(INT(T42/$E$9)+1,4))</f>
        <v/>
      </c>
      <c r="V42">
        <f>IF(T42=4*$E$9,-$E$6/2,IF(U42="","",CHOOSE(U42,-$E$6/2+MOD(T42,$E$9)/$E$9*$E$6,$E$6/2,$E$6/2-MOD(T42,$E$9)/$E$9*$E$6,-$E$6/2)))</f>
        <v/>
      </c>
      <c r="W42">
        <f>IF(T42=4*$E$9,-$E$7/2,IF(U42="","",CHOOSE(U42,-$E$7/2,-$E$7/2+MOD(T42,$E$9)/$E$9*$E$7,$E$7/2,$E$7/2-MOD(T42,$E$9)/$E$9*$E$7)))</f>
        <v/>
      </c>
      <c r="X42">
        <f>IF(OR($E$13&lt;&gt;"OK",M42=""),"",IF(M42&lt;=$A$19,$D$19,IF(M42&gt;=INDEX($A$19:$A$218,$E$12),INDEX($D$19:$D$218,$E$12),INDEX($D$19:$D$218,MATCH(M42,$A$19:INDEX($A$19:$A$218,$E$12),1))+(M42-INDEX($A$19:$A$218,MATCH(M42,$A$19:INDEX($A$19:$A$218,$E$12),1)))*(INDEX($D$19:$D$218,MATCH(M42,$A$19:INDEX($A$19:$A$218,$E$12),1)+1)-INDEX($D$19:$D$218,MATCH(M42,$A$19:INDEX($A$19:$A$218,$E$12),1)))/(INDEX($A$19:$A$218,MATCH(M42,$A$19:INDEX($A$19:$A$218,$E$12),1)+1)-INDEX($A$19:$A$218,MATCH(M42,$A$19:INDEX($A$19:$A$218,$E$12),1))))))</f>
        <v/>
      </c>
      <c r="Y42">
        <f>IF(X42="","",X42*1000/$B$4)</f>
        <v/>
      </c>
    </row>
    <row r="43">
      <c r="A43" s="10" t="n"/>
      <c r="B43" s="10" t="n"/>
      <c r="C43" s="11">
        <f>IF(A43="","",$B$5*TAN(RADIANS(A43)))</f>
        <v/>
      </c>
      <c r="D43" s="11">
        <f>IF(C43="","",C43*(1+B43/100))</f>
        <v/>
      </c>
      <c r="E43" s="11">
        <f>IF(A43="","",$B$6*TAN(RADIANS(A43)))</f>
        <v/>
      </c>
      <c r="G43" s="12">
        <f>IF(U43="","",T43)</f>
        <v/>
      </c>
      <c r="H43" s="12">
        <f>IF(U43="","",$E$4+V43*COS(RADIANS($E$8))-W43*SIN(RADIANS($E$8)))</f>
        <v/>
      </c>
      <c r="I43" s="12">
        <f>IF(U43="","",$E$5+V43*SIN(RADIANS($E$8))+W43*COS(RADIANS($E$8)))</f>
        <v/>
      </c>
      <c r="J43" s="12">
        <f>IF(H43="","",H43-$B$7)</f>
        <v/>
      </c>
      <c r="K43" s="12">
        <f>IF(I43="","",I43-$B$8)</f>
        <v/>
      </c>
      <c r="L43" s="12">
        <f>IFERROR(SQRT(J43^2+K43^2)*$B$4/1000,"")</f>
        <v/>
      </c>
      <c r="M43" s="12">
        <f>IF(OR($E$13&lt;&gt;"OK",L43=""),"",IF(L43&lt;=$D$19,$A$19,IF(L43&gt;=INDEX($D$19:$D$218,$E$12),INDEX($A$19:$A$218,$E$12),INDEX($A$19:$A$218,MATCH(L43,$D$19:INDEX($D$19:$D$218,$E$12),1))+(L43-INDEX($D$19:$D$218,MATCH(L43,$D$19:INDEX($D$19:$D$218,$E$12),1)))*(INDEX($A$19:$A$218,MATCH(L43,$D$19:INDEX($D$19:$D$218,$E$12),1)+1)-INDEX($A$19:$A$218,MATCH(L43,$D$19:INDEX($D$19:$D$218,$E$12),1)))/(INDEX($D$19:$D$218,MATCH(L43,$D$19:INDEX($D$19:$D$218,$E$12),1)+1)-INDEX($D$19:$D$218,MATCH(L43,$D$19:INDEX($D$19:$D$218,$E$12),1))))))</f>
        <v/>
      </c>
      <c r="N43" s="12">
        <f>IF(M43="","",$B$6*TAN(RADIANS(M43)))</f>
        <v/>
      </c>
      <c r="O43" s="12">
        <f>IF(N43="","",IF(L43=0,0,-N43*J43/SQRT(J43^2+K43^2)))</f>
        <v/>
      </c>
      <c r="P43" s="12">
        <f>IF(N43="","",IF(L43=0,0,N43*K43/SQRT(J43^2+K43^2)))</f>
        <v/>
      </c>
      <c r="Q43" s="12">
        <f>IF(N43="","",IF(N43=0,$B$7,$B$7-Y43*O43/N43))</f>
        <v/>
      </c>
      <c r="R43" s="12">
        <f>IF(N43="","",IF(N43=0,$B$8,$B$8+Y43*P43/N43))</f>
        <v/>
      </c>
      <c r="S43" s="12">
        <f>IFERROR(SQRT((Q43-H43)^2+(R43-I43)^2),"")</f>
        <v/>
      </c>
      <c r="T43">
        <f>16</f>
        <v/>
      </c>
      <c r="U43">
        <f>IF(T43&gt;4*$E$9,"",MIN(INT(T43/$E$9)+1,4))</f>
        <v/>
      </c>
      <c r="V43">
        <f>IF(T43=4*$E$9,-$E$6/2,IF(U43="","",CHOOSE(U43,-$E$6/2+MOD(T43,$E$9)/$E$9*$E$6,$E$6/2,$E$6/2-MOD(T43,$E$9)/$E$9*$E$6,-$E$6/2)))</f>
        <v/>
      </c>
      <c r="W43">
        <f>IF(T43=4*$E$9,-$E$7/2,IF(U43="","",CHOOSE(U43,-$E$7/2,-$E$7/2+MOD(T43,$E$9)/$E$9*$E$7,$E$7/2,$E$7/2-MOD(T43,$E$9)/$E$9*$E$7)))</f>
        <v/>
      </c>
      <c r="X43">
        <f>IF(OR($E$13&lt;&gt;"OK",M43=""),"",IF(M43&lt;=$A$19,$D$19,IF(M43&gt;=INDEX($A$19:$A$218,$E$12),INDEX($D$19:$D$218,$E$12),INDEX($D$19:$D$218,MATCH(M43,$A$19:INDEX($A$19:$A$218,$E$12),1))+(M43-INDEX($A$19:$A$218,MATCH(M43,$A$19:INDEX($A$19:$A$218,$E$12),1)))*(INDEX($D$19:$D$218,MATCH(M43,$A$19:INDEX($A$19:$A$218,$E$12),1)+1)-INDEX($D$19:$D$218,MATCH(M43,$A$19:INDEX($A$19:$A$218,$E$12),1)))/(INDEX($A$19:$A$218,MATCH(M43,$A$19:INDEX($A$19:$A$218,$E$12),1)+1)-INDEX($A$19:$A$218,MATCH(M43,$A$19:INDEX($A$19:$A$218,$E$12),1))))))</f>
        <v/>
      </c>
      <c r="Y43">
        <f>IF(X43="","",X43*1000/$B$4)</f>
        <v/>
      </c>
    </row>
    <row r="44">
      <c r="A44" s="10" t="n"/>
      <c r="B44" s="10" t="n"/>
      <c r="C44" s="11">
        <f>IF(A44="","",$B$5*TAN(RADIANS(A44)))</f>
        <v/>
      </c>
      <c r="D44" s="11">
        <f>IF(C44="","",C44*(1+B44/100))</f>
        <v/>
      </c>
      <c r="E44" s="11">
        <f>IF(A44="","",$B$6*TAN(RADIANS(A44)))</f>
        <v/>
      </c>
      <c r="G44" s="12">
        <f>IF(U44="","",T44)</f>
        <v/>
      </c>
      <c r="H44" s="12">
        <f>IF(U44="","",$E$4+V44*COS(RADIANS($E$8))-W44*SIN(RADIANS($E$8)))</f>
        <v/>
      </c>
      <c r="I44" s="12">
        <f>IF(U44="","",$E$5+V44*SIN(RADIANS($E$8))+W44*COS(RADIANS($E$8)))</f>
        <v/>
      </c>
      <c r="J44" s="12">
        <f>IF(H44="","",H44-$B$7)</f>
        <v/>
      </c>
      <c r="K44" s="12">
        <f>IF(I44="","",I44-$B$8)</f>
        <v/>
      </c>
      <c r="L44" s="12">
        <f>IFERROR(SQRT(J44^2+K44^2)*$B$4/1000,"")</f>
        <v/>
      </c>
      <c r="M44" s="12">
        <f>IF(OR($E$13&lt;&gt;"OK",L44=""),"",IF(L44&lt;=$D$19,$A$19,IF(L44&gt;=INDEX($D$19:$D$218,$E$12),INDEX($A$19:$A$218,$E$12),INDEX($A$19:$A$218,MATCH(L44,$D$19:INDEX($D$19:$D$218,$E$12),1))+(L44-INDEX($D$19:$D$218,MATCH(L44,$D$19:INDEX($D$19:$D$218,$E$12),1)))*(INDEX($A$19:$A$218,MATCH(L44,$D$19:INDEX($D$19:$D$218,$E$12),1)+1)-INDEX($A$19:$A$218,MATCH(L44,$D$19:INDEX($D$19:$D$218,$E$12),1)))/(INDEX($D$19:$D$218,MATCH(L44,$D$19:INDEX($D$19:$D$218,$E$12),1)+1)-INDEX($D$19:$D$218,MATCH(L44,$D$19:INDEX($D$19:$D$218,$E$12),1))))))</f>
        <v/>
      </c>
      <c r="N44" s="12">
        <f>IF(M44="","",$B$6*TAN(RADIANS(M44)))</f>
        <v/>
      </c>
      <c r="O44" s="12">
        <f>IF(N44="","",IF(L44=0,0,-N44*J44/SQRT(J44^2+K44^2)))</f>
        <v/>
      </c>
      <c r="P44" s="12">
        <f>IF(N44="","",IF(L44=0,0,N44*K44/SQRT(J44^2+K44^2)))</f>
        <v/>
      </c>
      <c r="Q44" s="12">
        <f>IF(N44="","",IF(N44=0,$B$7,$B$7-Y44*O44/N44))</f>
        <v/>
      </c>
      <c r="R44" s="12">
        <f>IF(N44="","",IF(N44=0,$B$8,$B$8+Y44*P44/N44))</f>
        <v/>
      </c>
      <c r="S44" s="12">
        <f>IFERROR(SQRT((Q44-H44)^2+(R44-I44)^2),"")</f>
        <v/>
      </c>
      <c r="T44">
        <f>17</f>
        <v/>
      </c>
      <c r="U44">
        <f>IF(T44&gt;4*$E$9,"",MIN(INT(T44/$E$9)+1,4))</f>
        <v/>
      </c>
      <c r="V44">
        <f>IF(T44=4*$E$9,-$E$6/2,IF(U44="","",CHOOSE(U44,-$E$6/2+MOD(T44,$E$9)/$E$9*$E$6,$E$6/2,$E$6/2-MOD(T44,$E$9)/$E$9*$E$6,-$E$6/2)))</f>
        <v/>
      </c>
      <c r="W44">
        <f>IF(T44=4*$E$9,-$E$7/2,IF(U44="","",CHOOSE(U44,-$E$7/2,-$E$7/2+MOD(T44,$E$9)/$E$9*$E$7,$E$7/2,$E$7/2-MOD(T44,$E$9)/$E$9*$E$7)))</f>
        <v/>
      </c>
      <c r="X44">
        <f>IF(OR($E$13&lt;&gt;"OK",M44=""),"",IF(M44&lt;=$A$19,$D$19,IF(M44&gt;=INDEX($A$19:$A$218,$E$12),INDEX($D$19:$D$218,$E$12),INDEX($D$19:$D$218,MATCH(M44,$A$19:INDEX($A$19:$A$218,$E$12),1))+(M44-INDEX($A$19:$A$218,MATCH(M44,$A$19:INDEX($A$19:$A$218,$E$12),1)))*(INDEX($D$19:$D$218,MATCH(M44,$A$19:INDEX($A$19:$A$218,$E$12),1)+1)-INDEX($D$19:$D$218,MATCH(M44,$A$19:INDEX($A$19:$A$218,$E$12),1)))/(INDEX($A$19:$A$218,MATCH(M44,$A$19:INDEX($A$19:$A$218,$E$12),1)+1)-INDEX($A$19:$A$218,MATCH(M44,$A$19:INDEX($A$19:$A$218,$E$12),1))))))</f>
        <v/>
      </c>
      <c r="Y44">
        <f>IF(X44="","",X44*1000/$B$4)</f>
        <v/>
      </c>
    </row>
    <row r="45">
      <c r="A45" s="10" t="n"/>
      <c r="B45" s="10" t="n"/>
      <c r="C45" s="11">
        <f>IF(A45="","",$B$5*TAN(RADIANS(A45)))</f>
        <v/>
      </c>
      <c r="D45" s="11">
        <f>IF(C45="","",C45*(1+B45/100))</f>
        <v/>
      </c>
      <c r="E45" s="11">
        <f>IF(A45="","",$B$6*TAN(RADIANS(A45)))</f>
        <v/>
      </c>
      <c r="G45" s="12">
        <f>IF(U45="","",T45)</f>
        <v/>
      </c>
      <c r="H45" s="12">
        <f>IF(U45="","",$E$4+V45*COS(RADIANS($E$8))-W45*SIN(RADIANS($E$8)))</f>
        <v/>
      </c>
      <c r="I45" s="12">
        <f>IF(U45="","",$E$5+V45*SIN(RADIANS($E$8))+W45*COS(RADIANS($E$8)))</f>
        <v/>
      </c>
      <c r="J45" s="12">
        <f>IF(H45="","",H45-$B$7)</f>
        <v/>
      </c>
      <c r="K45" s="12">
        <f>IF(I45="","",I45-$B$8)</f>
        <v/>
      </c>
      <c r="L45" s="12">
        <f>IFERROR(SQRT(J45^2+K45^2)*$B$4/1000,"")</f>
        <v/>
      </c>
      <c r="M45" s="12">
        <f>IF(OR($E$13&lt;&gt;"OK",L45=""),"",IF(L45&lt;=$D$19,$A$19,IF(L45&gt;=INDEX($D$19:$D$218,$E$12),INDEX($A$19:$A$218,$E$12),INDEX($A$19:$A$218,MATCH(L45,$D$19:INDEX($D$19:$D$218,$E$12),1))+(L45-INDEX($D$19:$D$218,MATCH(L45,$D$19:INDEX($D$19:$D$218,$E$12),1)))*(INDEX($A$19:$A$218,MATCH(L45,$D$19:INDEX($D$19:$D$218,$E$12),1)+1)-INDEX($A$19:$A$218,MATCH(L45,$D$19:INDEX($D$19:$D$218,$E$12),1)))/(INDEX($D$19:$D$218,MATCH(L45,$D$19:INDEX($D$19:$D$218,$E$12),1)+1)-INDEX($D$19:$D$218,MATCH(L45,$D$19:INDEX($D$19:$D$218,$E$12),1))))))</f>
        <v/>
      </c>
      <c r="N45" s="12">
        <f>IF(M45="","",$B$6*TAN(RADIANS(M45)))</f>
        <v/>
      </c>
      <c r="O45" s="12">
        <f>IF(N45="","",IF(L45=0,0,-N45*J45/SQRT(J45^2+K45^2)))</f>
        <v/>
      </c>
      <c r="P45" s="12">
        <f>IF(N45="","",IF(L45=0,0,N45*K45/SQRT(J45^2+K45^2)))</f>
        <v/>
      </c>
      <c r="Q45" s="12">
        <f>IF(N45="","",IF(N45=0,$B$7,$B$7-Y45*O45/N45))</f>
        <v/>
      </c>
      <c r="R45" s="12">
        <f>IF(N45="","",IF(N45=0,$B$8,$B$8+Y45*P45/N45))</f>
        <v/>
      </c>
      <c r="S45" s="12">
        <f>IFERROR(SQRT((Q45-H45)^2+(R45-I45)^2),"")</f>
        <v/>
      </c>
      <c r="T45">
        <f>18</f>
        <v/>
      </c>
      <c r="U45">
        <f>IF(T45&gt;4*$E$9,"",MIN(INT(T45/$E$9)+1,4))</f>
        <v/>
      </c>
      <c r="V45">
        <f>IF(T45=4*$E$9,-$E$6/2,IF(U45="","",CHOOSE(U45,-$E$6/2+MOD(T45,$E$9)/$E$9*$E$6,$E$6/2,$E$6/2-MOD(T45,$E$9)/$E$9*$E$6,-$E$6/2)))</f>
        <v/>
      </c>
      <c r="W45">
        <f>IF(T45=4*$E$9,-$E$7/2,IF(U45="","",CHOOSE(U45,-$E$7/2,-$E$7/2+MOD(T45,$E$9)/$E$9*$E$7,$E$7/2,$E$7/2-MOD(T45,$E$9)/$E$9*$E$7)))</f>
        <v/>
      </c>
      <c r="X45">
        <f>IF(OR($E$13&lt;&gt;"OK",M45=""),"",IF(M45&lt;=$A$19,$D$19,IF(M45&gt;=INDEX($A$19:$A$218,$E$12),INDEX($D$19:$D$218,$E$12),INDEX($D$19:$D$218,MATCH(M45,$A$19:INDEX($A$19:$A$218,$E$12),1))+(M45-INDEX($A$19:$A$218,MATCH(M45,$A$19:INDEX($A$19:$A$218,$E$12),1)))*(INDEX($D$19:$D$218,MATCH(M45,$A$19:INDEX($A$19:$A$218,$E$12),1)+1)-INDEX($D$19:$D$218,MATCH(M45,$A$19:INDEX($A$19:$A$218,$E$12),1)))/(INDEX($A$19:$A$218,MATCH(M45,$A$19:INDEX($A$19:$A$218,$E$12),1)+1)-INDEX($A$19:$A$218,MATCH(M45,$A$19:INDEX($A$19:$A$218,$E$12),1))))))</f>
        <v/>
      </c>
      <c r="Y45">
        <f>IF(X45="","",X45*1000/$B$4)</f>
        <v/>
      </c>
    </row>
    <row r="46">
      <c r="A46" s="10" t="n"/>
      <c r="B46" s="10" t="n"/>
      <c r="C46" s="11">
        <f>IF(A46="","",$B$5*TAN(RADIANS(A46)))</f>
        <v/>
      </c>
      <c r="D46" s="11">
        <f>IF(C46="","",C46*(1+B46/100))</f>
        <v/>
      </c>
      <c r="E46" s="11">
        <f>IF(A46="","",$B$6*TAN(RADIANS(A46)))</f>
        <v/>
      </c>
      <c r="G46" s="12">
        <f>IF(U46="","",T46)</f>
        <v/>
      </c>
      <c r="H46" s="12">
        <f>IF(U46="","",$E$4+V46*COS(RADIANS($E$8))-W46*SIN(RADIANS($E$8)))</f>
        <v/>
      </c>
      <c r="I46" s="12">
        <f>IF(U46="","",$E$5+V46*SIN(RADIANS($E$8))+W46*COS(RADIANS($E$8)))</f>
        <v/>
      </c>
      <c r="J46" s="12">
        <f>IF(H46="","",H46-$B$7)</f>
        <v/>
      </c>
      <c r="K46" s="12">
        <f>IF(I46="","",I46-$B$8)</f>
        <v/>
      </c>
      <c r="L46" s="12">
        <f>IFERROR(SQRT(J46^2+K46^2)*$B$4/1000,"")</f>
        <v/>
      </c>
      <c r="M46" s="12">
        <f>IF(OR($E$13&lt;&gt;"OK",L46=""),"",IF(L46&lt;=$D$19,$A$19,IF(L46&gt;=INDEX($D$19:$D$218,$E$12),INDEX($A$19:$A$218,$E$12),INDEX($A$19:$A$218,MATCH(L46,$D$19:INDEX($D$19:$D$218,$E$12),1))+(L46-INDEX($D$19:$D$218,MATCH(L46,$D$19:INDEX($D$19:$D$218,$E$12),1)))*(INDEX($A$19:$A$218,MATCH(L46,$D$19:INDEX($D$19:$D$218,$E$12),1)+1)-INDEX($A$19:$A$218,MATCH(L46,$D$19:INDEX($D$19:$D$218,$E$12),1)))/(INDEX($D$19:$D$218,MATCH(L46,$D$19:INDEX($D$19:$D$218,$E$12),1)+1)-INDEX($D$19:$D$218,MATCH(L46,$D$19:INDEX($D$19:$D$218,$E$12),1))))))</f>
        <v/>
      </c>
      <c r="N46" s="12">
        <f>IF(M46="","",$B$6*TAN(RADIANS(M46)))</f>
        <v/>
      </c>
      <c r="O46" s="12">
        <f>IF(N46="","",IF(L46=0,0,-N46*J46/SQRT(J46^2+K46^2)))</f>
        <v/>
      </c>
      <c r="P46" s="12">
        <f>IF(N46="","",IF(L46=0,0,N46*K46/SQRT(J46^2+K46^2)))</f>
        <v/>
      </c>
      <c r="Q46" s="12">
        <f>IF(N46="","",IF(N46=0,$B$7,$B$7-Y46*O46/N46))</f>
        <v/>
      </c>
      <c r="R46" s="12">
        <f>IF(N46="","",IF(N46=0,$B$8,$B$8+Y46*P46/N46))</f>
        <v/>
      </c>
      <c r="S46" s="12">
        <f>IFERROR(SQRT((Q46-H46)^2+(R46-I46)^2),"")</f>
        <v/>
      </c>
      <c r="T46">
        <f>19</f>
        <v/>
      </c>
      <c r="U46">
        <f>IF(T46&gt;4*$E$9,"",MIN(INT(T46/$E$9)+1,4))</f>
        <v/>
      </c>
      <c r="V46">
        <f>IF(T46=4*$E$9,-$E$6/2,IF(U46="","",CHOOSE(U46,-$E$6/2+MOD(T46,$E$9)/$E$9*$E$6,$E$6/2,$E$6/2-MOD(T46,$E$9)/$E$9*$E$6,-$E$6/2)))</f>
        <v/>
      </c>
      <c r="W46">
        <f>IF(T46=4*$E$9,-$E$7/2,IF(U46="","",CHOOSE(U46,-$E$7/2,-$E$7/2+MOD(T46,$E$9)/$E$9*$E$7,$E$7/2,$E$7/2-MOD(T46,$E$9)/$E$9*$E$7)))</f>
        <v/>
      </c>
      <c r="X46">
        <f>IF(OR($E$13&lt;&gt;"OK",M46=""),"",IF(M46&lt;=$A$19,$D$19,IF(M46&gt;=INDEX($A$19:$A$218,$E$12),INDEX($D$19:$D$218,$E$12),INDEX($D$19:$D$218,MATCH(M46,$A$19:INDEX($A$19:$A$218,$E$12),1))+(M46-INDEX($A$19:$A$218,MATCH(M46,$A$19:INDEX($A$19:$A$218,$E$12),1)))*(INDEX($D$19:$D$218,MATCH(M46,$A$19:INDEX($A$19:$A$218,$E$12),1)+1)-INDEX($D$19:$D$218,MATCH(M46,$A$19:INDEX($A$19:$A$218,$E$12),1)))/(INDEX($A$19:$A$218,MATCH(M46,$A$19:INDEX($A$19:$A$218,$E$12),1)+1)-INDEX($A$19:$A$218,MATCH(M46,$A$19:INDEX($A$19:$A$218,$E$12),1))))))</f>
        <v/>
      </c>
      <c r="Y46">
        <f>IF(X46="","",X46*1000/$B$4)</f>
        <v/>
      </c>
    </row>
    <row r="47">
      <c r="A47" s="10" t="n"/>
      <c r="B47" s="10" t="n"/>
      <c r="C47" s="11">
        <f>IF(A47="","",$B$5*TAN(RADIANS(A47)))</f>
        <v/>
      </c>
      <c r="D47" s="11">
        <f>IF(C47="","",C47*(1+B47/100))</f>
        <v/>
      </c>
      <c r="E47" s="11">
        <f>IF(A47="","",$B$6*TAN(RADIANS(A47)))</f>
        <v/>
      </c>
      <c r="G47" s="12">
        <f>IF(U47="","",T47)</f>
        <v/>
      </c>
      <c r="H47" s="12">
        <f>IF(U47="","",$E$4+V47*COS(RADIANS($E$8))-W47*SIN(RADIANS($E$8)))</f>
        <v/>
      </c>
      <c r="I47" s="12">
        <f>IF(U47="","",$E$5+V47*SIN(RADIANS($E$8))+W47*COS(RADIANS($E$8)))</f>
        <v/>
      </c>
      <c r="J47" s="12">
        <f>IF(H47="","",H47-$B$7)</f>
        <v/>
      </c>
      <c r="K47" s="12">
        <f>IF(I47="","",I47-$B$8)</f>
        <v/>
      </c>
      <c r="L47" s="12">
        <f>IFERROR(SQRT(J47^2+K47^2)*$B$4/1000,"")</f>
        <v/>
      </c>
      <c r="M47" s="12">
        <f>IF(OR($E$13&lt;&gt;"OK",L47=""),"",IF(L47&lt;=$D$19,$A$19,IF(L47&gt;=INDEX($D$19:$D$218,$E$12),INDEX($A$19:$A$218,$E$12),INDEX($A$19:$A$218,MATCH(L47,$D$19:INDEX($D$19:$D$218,$E$12),1))+(L47-INDEX($D$19:$D$218,MATCH(L47,$D$19:INDEX($D$19:$D$218,$E$12),1)))*(INDEX($A$19:$A$218,MATCH(L47,$D$19:INDEX($D$19:$D$218,$E$12),1)+1)-INDEX($A$19:$A$218,MATCH(L47,$D$19:INDEX($D$19:$D$218,$E$12),1)))/(INDEX($D$19:$D$218,MATCH(L47,$D$19:INDEX($D$19:$D$218,$E$12),1)+1)-INDEX($D$19:$D$218,MATCH(L47,$D$19:INDEX($D$19:$D$218,$E$12),1))))))</f>
        <v/>
      </c>
      <c r="N47" s="12">
        <f>IF(M47="","",$B$6*TAN(RADIANS(M47)))</f>
        <v/>
      </c>
      <c r="O47" s="12">
        <f>IF(N47="","",IF(L47=0,0,-N47*J47/SQRT(J47^2+K47^2)))</f>
        <v/>
      </c>
      <c r="P47" s="12">
        <f>IF(N47="","",IF(L47=0,0,N47*K47/SQRT(J47^2+K47^2)))</f>
        <v/>
      </c>
      <c r="Q47" s="12">
        <f>IF(N47="","",IF(N47=0,$B$7,$B$7-Y47*O47/N47))</f>
        <v/>
      </c>
      <c r="R47" s="12">
        <f>IF(N47="","",IF(N47=0,$B$8,$B$8+Y47*P47/N47))</f>
        <v/>
      </c>
      <c r="S47" s="12">
        <f>IFERROR(SQRT((Q47-H47)^2+(R47-I47)^2),"")</f>
        <v/>
      </c>
      <c r="T47">
        <f>20</f>
        <v/>
      </c>
      <c r="U47">
        <f>IF(T47&gt;4*$E$9,"",MIN(INT(T47/$E$9)+1,4))</f>
        <v/>
      </c>
      <c r="V47">
        <f>IF(T47=4*$E$9,-$E$6/2,IF(U47="","",CHOOSE(U47,-$E$6/2+MOD(T47,$E$9)/$E$9*$E$6,$E$6/2,$E$6/2-MOD(T47,$E$9)/$E$9*$E$6,-$E$6/2)))</f>
        <v/>
      </c>
      <c r="W47">
        <f>IF(T47=4*$E$9,-$E$7/2,IF(U47="","",CHOOSE(U47,-$E$7/2,-$E$7/2+MOD(T47,$E$9)/$E$9*$E$7,$E$7/2,$E$7/2-MOD(T47,$E$9)/$E$9*$E$7)))</f>
        <v/>
      </c>
      <c r="X47">
        <f>IF(OR($E$13&lt;&gt;"OK",M47=""),"",IF(M47&lt;=$A$19,$D$19,IF(M47&gt;=INDEX($A$19:$A$218,$E$12),INDEX($D$19:$D$218,$E$12),INDEX($D$19:$D$218,MATCH(M47,$A$19:INDEX($A$19:$A$218,$E$12),1))+(M47-INDEX($A$19:$A$218,MATCH(M47,$A$19:INDEX($A$19:$A$218,$E$12),1)))*(INDEX($D$19:$D$218,MATCH(M47,$A$19:INDEX($A$19:$A$218,$E$12),1)+1)-INDEX($D$19:$D$218,MATCH(M47,$A$19:INDEX($A$19:$A$218,$E$12),1)))/(INDEX($A$19:$A$218,MATCH(M47,$A$19:INDEX($A$19:$A$218,$E$12),1)+1)-INDEX($A$19:$A$218,MATCH(M47,$A$19:INDEX($A$19:$A$218,$E$12),1))))))</f>
        <v/>
      </c>
      <c r="Y47">
        <f>IF(X47="","",X47*1000/$B$4)</f>
        <v/>
      </c>
    </row>
    <row r="48">
      <c r="A48" s="10" t="n"/>
      <c r="B48" s="10" t="n"/>
      <c r="C48" s="11">
        <f>IF(A48="","",$B$5*TAN(RADIANS(A48)))</f>
        <v/>
      </c>
      <c r="D48" s="11">
        <f>IF(C48="","",C48*(1+B48/100))</f>
        <v/>
      </c>
      <c r="E48" s="11">
        <f>IF(A48="","",$B$6*TAN(RADIANS(A48)))</f>
        <v/>
      </c>
      <c r="G48" s="12">
        <f>IF(U48="","",T48)</f>
        <v/>
      </c>
      <c r="H48" s="12">
        <f>IF(U48="","",$E$4+V48*COS(RADIANS($E$8))-W48*SIN(RADIANS($E$8)))</f>
        <v/>
      </c>
      <c r="I48" s="12">
        <f>IF(U48="","",$E$5+V48*SIN(RADIANS($E$8))+W48*COS(RADIANS($E$8)))</f>
        <v/>
      </c>
      <c r="J48" s="12">
        <f>IF(H48="","",H48-$B$7)</f>
        <v/>
      </c>
      <c r="K48" s="12">
        <f>IF(I48="","",I48-$B$8)</f>
        <v/>
      </c>
      <c r="L48" s="12">
        <f>IFERROR(SQRT(J48^2+K48^2)*$B$4/1000,"")</f>
        <v/>
      </c>
      <c r="M48" s="12">
        <f>IF(OR($E$13&lt;&gt;"OK",L48=""),"",IF(L48&lt;=$D$19,$A$19,IF(L48&gt;=INDEX($D$19:$D$218,$E$12),INDEX($A$19:$A$218,$E$12),INDEX($A$19:$A$218,MATCH(L48,$D$19:INDEX($D$19:$D$218,$E$12),1))+(L48-INDEX($D$19:$D$218,MATCH(L48,$D$19:INDEX($D$19:$D$218,$E$12),1)))*(INDEX($A$19:$A$218,MATCH(L48,$D$19:INDEX($D$19:$D$218,$E$12),1)+1)-INDEX($A$19:$A$218,MATCH(L48,$D$19:INDEX($D$19:$D$218,$E$12),1)))/(INDEX($D$19:$D$218,MATCH(L48,$D$19:INDEX($D$19:$D$218,$E$12),1)+1)-INDEX($D$19:$D$218,MATCH(L48,$D$19:INDEX($D$19:$D$218,$E$12),1))))))</f>
        <v/>
      </c>
      <c r="N48" s="12">
        <f>IF(M48="","",$B$6*TAN(RADIANS(M48)))</f>
        <v/>
      </c>
      <c r="O48" s="12">
        <f>IF(N48="","",IF(L48=0,0,-N48*J48/SQRT(J48^2+K48^2)))</f>
        <v/>
      </c>
      <c r="P48" s="12">
        <f>IF(N48="","",IF(L48=0,0,N48*K48/SQRT(J48^2+K48^2)))</f>
        <v/>
      </c>
      <c r="Q48" s="12">
        <f>IF(N48="","",IF(N48=0,$B$7,$B$7-Y48*O48/N48))</f>
        <v/>
      </c>
      <c r="R48" s="12">
        <f>IF(N48="","",IF(N48=0,$B$8,$B$8+Y48*P48/N48))</f>
        <v/>
      </c>
      <c r="S48" s="12">
        <f>IFERROR(SQRT((Q48-H48)^2+(R48-I48)^2),"")</f>
        <v/>
      </c>
      <c r="T48">
        <f>21</f>
        <v/>
      </c>
      <c r="U48">
        <f>IF(T48&gt;4*$E$9,"",MIN(INT(T48/$E$9)+1,4))</f>
        <v/>
      </c>
      <c r="V48">
        <f>IF(T48=4*$E$9,-$E$6/2,IF(U48="","",CHOOSE(U48,-$E$6/2+MOD(T48,$E$9)/$E$9*$E$6,$E$6/2,$E$6/2-MOD(T48,$E$9)/$E$9*$E$6,-$E$6/2)))</f>
        <v/>
      </c>
      <c r="W48">
        <f>IF(T48=4*$E$9,-$E$7/2,IF(U48="","",CHOOSE(U48,-$E$7/2,-$E$7/2+MOD(T48,$E$9)/$E$9*$E$7,$E$7/2,$E$7/2-MOD(T48,$E$9)/$E$9*$E$7)))</f>
        <v/>
      </c>
      <c r="X48">
        <f>IF(OR($E$13&lt;&gt;"OK",M48=""),"",IF(M48&lt;=$A$19,$D$19,IF(M48&gt;=INDEX($A$19:$A$218,$E$12),INDEX($D$19:$D$218,$E$12),INDEX($D$19:$D$218,MATCH(M48,$A$19:INDEX($A$19:$A$218,$E$12),1))+(M48-INDEX($A$19:$A$218,MATCH(M48,$A$19:INDEX($A$19:$A$218,$E$12),1)))*(INDEX($D$19:$D$218,MATCH(M48,$A$19:INDEX($A$19:$A$218,$E$12),1)+1)-INDEX($D$19:$D$218,MATCH(M48,$A$19:INDEX($A$19:$A$218,$E$12),1)))/(INDEX($A$19:$A$218,MATCH(M48,$A$19:INDEX($A$19:$A$218,$E$12),1)+1)-INDEX($A$19:$A$218,MATCH(M48,$A$19:INDEX($A$19:$A$218,$E$12),1))))))</f>
        <v/>
      </c>
      <c r="Y48">
        <f>IF(X48="","",X48*1000/$B$4)</f>
        <v/>
      </c>
    </row>
    <row r="49">
      <c r="A49" s="10" t="n"/>
      <c r="B49" s="10" t="n"/>
      <c r="C49" s="11">
        <f>IF(A49="","",$B$5*TAN(RADIANS(A49)))</f>
        <v/>
      </c>
      <c r="D49" s="11">
        <f>IF(C49="","",C49*(1+B49/100))</f>
        <v/>
      </c>
      <c r="E49" s="11">
        <f>IF(A49="","",$B$6*TAN(RADIANS(A49)))</f>
        <v/>
      </c>
      <c r="G49" s="12">
        <f>IF(U49="","",T49)</f>
        <v/>
      </c>
      <c r="H49" s="12">
        <f>IF(U49="","",$E$4+V49*COS(RADIANS($E$8))-W49*SIN(RADIANS($E$8)))</f>
        <v/>
      </c>
      <c r="I49" s="12">
        <f>IF(U49="","",$E$5+V49*SIN(RADIANS($E$8))+W49*COS(RADIANS($E$8)))</f>
        <v/>
      </c>
      <c r="J49" s="12">
        <f>IF(H49="","",H49-$B$7)</f>
        <v/>
      </c>
      <c r="K49" s="12">
        <f>IF(I49="","",I49-$B$8)</f>
        <v/>
      </c>
      <c r="L49" s="12">
        <f>IFERROR(SQRT(J49^2+K49^2)*$B$4/1000,"")</f>
        <v/>
      </c>
      <c r="M49" s="12">
        <f>IF(OR($E$13&lt;&gt;"OK",L49=""),"",IF(L49&lt;=$D$19,$A$19,IF(L49&gt;=INDEX($D$19:$D$218,$E$12),INDEX($A$19:$A$218,$E$12),INDEX($A$19:$A$218,MATCH(L49,$D$19:INDEX($D$19:$D$218,$E$12),1))+(L49-INDEX($D$19:$D$218,MATCH(L49,$D$19:INDEX($D$19:$D$218,$E$12),1)))*(INDEX($A$19:$A$218,MATCH(L49,$D$19:INDEX($D$19:$D$218,$E$12),1)+1)-INDEX($A$19:$A$218,MATCH(L49,$D$19:INDEX($D$19:$D$218,$E$12),1)))/(INDEX($D$19:$D$218,MATCH(L49,$D$19:INDEX($D$19:$D$218,$E$12),1)+1)-INDEX($D$19:$D$218,MATCH(L49,$D$19:INDEX($D$19:$D$218,$E$12),1))))))</f>
        <v/>
      </c>
      <c r="N49" s="12">
        <f>IF(M49="","",$B$6*TAN(RADIANS(M49)))</f>
        <v/>
      </c>
      <c r="O49" s="12">
        <f>IF(N49="","",IF(L49=0,0,-N49*J49/SQRT(J49^2+K49^2)))</f>
        <v/>
      </c>
      <c r="P49" s="12">
        <f>IF(N49="","",IF(L49=0,0,N49*K49/SQRT(J49^2+K49^2)))</f>
        <v/>
      </c>
      <c r="Q49" s="12">
        <f>IF(N49="","",IF(N49=0,$B$7,$B$7-Y49*O49/N49))</f>
        <v/>
      </c>
      <c r="R49" s="12">
        <f>IF(N49="","",IF(N49=0,$B$8,$B$8+Y49*P49/N49))</f>
        <v/>
      </c>
      <c r="S49" s="12">
        <f>IFERROR(SQRT((Q49-H49)^2+(R49-I49)^2),"")</f>
        <v/>
      </c>
      <c r="T49">
        <f>22</f>
        <v/>
      </c>
      <c r="U49">
        <f>IF(T49&gt;4*$E$9,"",MIN(INT(T49/$E$9)+1,4))</f>
        <v/>
      </c>
      <c r="V49">
        <f>IF(T49=4*$E$9,-$E$6/2,IF(U49="","",CHOOSE(U49,-$E$6/2+MOD(T49,$E$9)/$E$9*$E$6,$E$6/2,$E$6/2-MOD(T49,$E$9)/$E$9*$E$6,-$E$6/2)))</f>
        <v/>
      </c>
      <c r="W49">
        <f>IF(T49=4*$E$9,-$E$7/2,IF(U49="","",CHOOSE(U49,-$E$7/2,-$E$7/2+MOD(T49,$E$9)/$E$9*$E$7,$E$7/2,$E$7/2-MOD(T49,$E$9)/$E$9*$E$7)))</f>
        <v/>
      </c>
      <c r="X49">
        <f>IF(OR($E$13&lt;&gt;"OK",M49=""),"",IF(M49&lt;=$A$19,$D$19,IF(M49&gt;=INDEX($A$19:$A$218,$E$12),INDEX($D$19:$D$218,$E$12),INDEX($D$19:$D$218,MATCH(M49,$A$19:INDEX($A$19:$A$218,$E$12),1))+(M49-INDEX($A$19:$A$218,MATCH(M49,$A$19:INDEX($A$19:$A$218,$E$12),1)))*(INDEX($D$19:$D$218,MATCH(M49,$A$19:INDEX($A$19:$A$218,$E$12),1)+1)-INDEX($D$19:$D$218,MATCH(M49,$A$19:INDEX($A$19:$A$218,$E$12),1)))/(INDEX($A$19:$A$218,MATCH(M49,$A$19:INDEX($A$19:$A$218,$E$12),1)+1)-INDEX($A$19:$A$218,MATCH(M49,$A$19:INDEX($A$19:$A$218,$E$12),1))))))</f>
        <v/>
      </c>
      <c r="Y49">
        <f>IF(X49="","",X49*1000/$B$4)</f>
        <v/>
      </c>
    </row>
    <row r="50">
      <c r="A50" s="10" t="n"/>
      <c r="B50" s="10" t="n"/>
      <c r="C50" s="11">
        <f>IF(A50="","",$B$5*TAN(RADIANS(A50)))</f>
        <v/>
      </c>
      <c r="D50" s="11">
        <f>IF(C50="","",C50*(1+B50/100))</f>
        <v/>
      </c>
      <c r="E50" s="11">
        <f>IF(A50="","",$B$6*TAN(RADIANS(A50)))</f>
        <v/>
      </c>
      <c r="G50" s="12">
        <f>IF(U50="","",T50)</f>
        <v/>
      </c>
      <c r="H50" s="12">
        <f>IF(U50="","",$E$4+V50*COS(RADIANS($E$8))-W50*SIN(RADIANS($E$8)))</f>
        <v/>
      </c>
      <c r="I50" s="12">
        <f>IF(U50="","",$E$5+V50*SIN(RADIANS($E$8))+W50*COS(RADIANS($E$8)))</f>
        <v/>
      </c>
      <c r="J50" s="12">
        <f>IF(H50="","",H50-$B$7)</f>
        <v/>
      </c>
      <c r="K50" s="12">
        <f>IF(I50="","",I50-$B$8)</f>
        <v/>
      </c>
      <c r="L50" s="12">
        <f>IFERROR(SQRT(J50^2+K50^2)*$B$4/1000,"")</f>
        <v/>
      </c>
      <c r="M50" s="12">
        <f>IF(OR($E$13&lt;&gt;"OK",L50=""),"",IF(L50&lt;=$D$19,$A$19,IF(L50&gt;=INDEX($D$19:$D$218,$E$12),INDEX($A$19:$A$218,$E$12),INDEX($A$19:$A$218,MATCH(L50,$D$19:INDEX($D$19:$D$218,$E$12),1))+(L50-INDEX($D$19:$D$218,MATCH(L50,$D$19:INDEX($D$19:$D$218,$E$12),1)))*(INDEX($A$19:$A$218,MATCH(L50,$D$19:INDEX($D$19:$D$218,$E$12),1)+1)-INDEX($A$19:$A$218,MATCH(L50,$D$19:INDEX($D$19:$D$218,$E$12),1)))/(INDEX($D$19:$D$218,MATCH(L50,$D$19:INDEX($D$19:$D$218,$E$12),1)+1)-INDEX($D$19:$D$218,MATCH(L50,$D$19:INDEX($D$19:$D$218,$E$12),1))))))</f>
        <v/>
      </c>
      <c r="N50" s="12">
        <f>IF(M50="","",$B$6*TAN(RADIANS(M50)))</f>
        <v/>
      </c>
      <c r="O50" s="12">
        <f>IF(N50="","",IF(L50=0,0,-N50*J50/SQRT(J50^2+K50^2)))</f>
        <v/>
      </c>
      <c r="P50" s="12">
        <f>IF(N50="","",IF(L50=0,0,N50*K50/SQRT(J50^2+K50^2)))</f>
        <v/>
      </c>
      <c r="Q50" s="12">
        <f>IF(N50="","",IF(N50=0,$B$7,$B$7-Y50*O50/N50))</f>
        <v/>
      </c>
      <c r="R50" s="12">
        <f>IF(N50="","",IF(N50=0,$B$8,$B$8+Y50*P50/N50))</f>
        <v/>
      </c>
      <c r="S50" s="12">
        <f>IFERROR(SQRT((Q50-H50)^2+(R50-I50)^2),"")</f>
        <v/>
      </c>
      <c r="T50">
        <f>23</f>
        <v/>
      </c>
      <c r="U50">
        <f>IF(T50&gt;4*$E$9,"",MIN(INT(T50/$E$9)+1,4))</f>
        <v/>
      </c>
      <c r="V50">
        <f>IF(T50=4*$E$9,-$E$6/2,IF(U50="","",CHOOSE(U50,-$E$6/2+MOD(T50,$E$9)/$E$9*$E$6,$E$6/2,$E$6/2-MOD(T50,$E$9)/$E$9*$E$6,-$E$6/2)))</f>
        <v/>
      </c>
      <c r="W50">
        <f>IF(T50=4*$E$9,-$E$7/2,IF(U50="","",CHOOSE(U50,-$E$7/2,-$E$7/2+MOD(T50,$E$9)/$E$9*$E$7,$E$7/2,$E$7/2-MOD(T50,$E$9)/$E$9*$E$7)))</f>
        <v/>
      </c>
      <c r="X50">
        <f>IF(OR($E$13&lt;&gt;"OK",M50=""),"",IF(M50&lt;=$A$19,$D$19,IF(M50&gt;=INDEX($A$19:$A$218,$E$12),INDEX($D$19:$D$218,$E$12),INDEX($D$19:$D$218,MATCH(M50,$A$19:INDEX($A$19:$A$218,$E$12),1))+(M50-INDEX($A$19:$A$218,MATCH(M50,$A$19:INDEX($A$19:$A$218,$E$12),1)))*(INDEX($D$19:$D$218,MATCH(M50,$A$19:INDEX($A$19:$A$218,$E$12),1)+1)-INDEX($D$19:$D$218,MATCH(M50,$A$19:INDEX($A$19:$A$218,$E$12),1)))/(INDEX($A$19:$A$218,MATCH(M50,$A$19:INDEX($A$19:$A$218,$E$12),1)+1)-INDEX($A$19:$A$218,MATCH(M50,$A$19:INDEX($A$19:$A$218,$E$12),1))))))</f>
        <v/>
      </c>
      <c r="Y50">
        <f>IF(X50="","",X50*1000/$B$4)</f>
        <v/>
      </c>
    </row>
    <row r="51">
      <c r="A51" s="10" t="n"/>
      <c r="B51" s="10" t="n"/>
      <c r="C51" s="11">
        <f>IF(A51="","",$B$5*TAN(RADIANS(A51)))</f>
        <v/>
      </c>
      <c r="D51" s="11">
        <f>IF(C51="","",C51*(1+B51/100))</f>
        <v/>
      </c>
      <c r="E51" s="11">
        <f>IF(A51="","",$B$6*TAN(RADIANS(A51)))</f>
        <v/>
      </c>
      <c r="G51" s="12">
        <f>IF(U51="","",T51)</f>
        <v/>
      </c>
      <c r="H51" s="12">
        <f>IF(U51="","",$E$4+V51*COS(RADIANS($E$8))-W51*SIN(RADIANS($E$8)))</f>
        <v/>
      </c>
      <c r="I51" s="12">
        <f>IF(U51="","",$E$5+V51*SIN(RADIANS($E$8))+W51*COS(RADIANS($E$8)))</f>
        <v/>
      </c>
      <c r="J51" s="12">
        <f>IF(H51="","",H51-$B$7)</f>
        <v/>
      </c>
      <c r="K51" s="12">
        <f>IF(I51="","",I51-$B$8)</f>
        <v/>
      </c>
      <c r="L51" s="12">
        <f>IFERROR(SQRT(J51^2+K51^2)*$B$4/1000,"")</f>
        <v/>
      </c>
      <c r="M51" s="12">
        <f>IF(OR($E$13&lt;&gt;"OK",L51=""),"",IF(L51&lt;=$D$19,$A$19,IF(L51&gt;=INDEX($D$19:$D$218,$E$12),INDEX($A$19:$A$218,$E$12),INDEX($A$19:$A$218,MATCH(L51,$D$19:INDEX($D$19:$D$218,$E$12),1))+(L51-INDEX($D$19:$D$218,MATCH(L51,$D$19:INDEX($D$19:$D$218,$E$12),1)))*(INDEX($A$19:$A$218,MATCH(L51,$D$19:INDEX($D$19:$D$218,$E$12),1)+1)-INDEX($A$19:$A$218,MATCH(L51,$D$19:INDEX($D$19:$D$218,$E$12),1)))/(INDEX($D$19:$D$218,MATCH(L51,$D$19:INDEX($D$19:$D$218,$E$12),1)+1)-INDEX($D$19:$D$218,MATCH(L51,$D$19:INDEX($D$19:$D$218,$E$12),1))))))</f>
        <v/>
      </c>
      <c r="N51" s="12">
        <f>IF(M51="","",$B$6*TAN(RADIANS(M51)))</f>
        <v/>
      </c>
      <c r="O51" s="12">
        <f>IF(N51="","",IF(L51=0,0,-N51*J51/SQRT(J51^2+K51^2)))</f>
        <v/>
      </c>
      <c r="P51" s="12">
        <f>IF(N51="","",IF(L51=0,0,N51*K51/SQRT(J51^2+K51^2)))</f>
        <v/>
      </c>
      <c r="Q51" s="12">
        <f>IF(N51="","",IF(N51=0,$B$7,$B$7-Y51*O51/N51))</f>
        <v/>
      </c>
      <c r="R51" s="12">
        <f>IF(N51="","",IF(N51=0,$B$8,$B$8+Y51*P51/N51))</f>
        <v/>
      </c>
      <c r="S51" s="12">
        <f>IFERROR(SQRT((Q51-H51)^2+(R51-I51)^2),"")</f>
        <v/>
      </c>
      <c r="T51">
        <f>24</f>
        <v/>
      </c>
      <c r="U51">
        <f>IF(T51&gt;4*$E$9,"",MIN(INT(T51/$E$9)+1,4))</f>
        <v/>
      </c>
      <c r="V51">
        <f>IF(T51=4*$E$9,-$E$6/2,IF(U51="","",CHOOSE(U51,-$E$6/2+MOD(T51,$E$9)/$E$9*$E$6,$E$6/2,$E$6/2-MOD(T51,$E$9)/$E$9*$E$6,-$E$6/2)))</f>
        <v/>
      </c>
      <c r="W51">
        <f>IF(T51=4*$E$9,-$E$7/2,IF(U51="","",CHOOSE(U51,-$E$7/2,-$E$7/2+MOD(T51,$E$9)/$E$9*$E$7,$E$7/2,$E$7/2-MOD(T51,$E$9)/$E$9*$E$7)))</f>
        <v/>
      </c>
      <c r="X51">
        <f>IF(OR($E$13&lt;&gt;"OK",M51=""),"",IF(M51&lt;=$A$19,$D$19,IF(M51&gt;=INDEX($A$19:$A$218,$E$12),INDEX($D$19:$D$218,$E$12),INDEX($D$19:$D$218,MATCH(M51,$A$19:INDEX($A$19:$A$218,$E$12),1))+(M51-INDEX($A$19:$A$218,MATCH(M51,$A$19:INDEX($A$19:$A$218,$E$12),1)))*(INDEX($D$19:$D$218,MATCH(M51,$A$19:INDEX($A$19:$A$218,$E$12),1)+1)-INDEX($D$19:$D$218,MATCH(M51,$A$19:INDEX($A$19:$A$218,$E$12),1)))/(INDEX($A$19:$A$218,MATCH(M51,$A$19:INDEX($A$19:$A$218,$E$12),1)+1)-INDEX($A$19:$A$218,MATCH(M51,$A$19:INDEX($A$19:$A$218,$E$12),1))))))</f>
        <v/>
      </c>
      <c r="Y51">
        <f>IF(X51="","",X51*1000/$B$4)</f>
        <v/>
      </c>
    </row>
    <row r="52">
      <c r="A52" s="10" t="n"/>
      <c r="B52" s="10" t="n"/>
      <c r="C52" s="11">
        <f>IF(A52="","",$B$5*TAN(RADIANS(A52)))</f>
        <v/>
      </c>
      <c r="D52" s="11">
        <f>IF(C52="","",C52*(1+B52/100))</f>
        <v/>
      </c>
      <c r="E52" s="11">
        <f>IF(A52="","",$B$6*TAN(RADIANS(A52)))</f>
        <v/>
      </c>
      <c r="G52" s="12">
        <f>IF(U52="","",T52)</f>
        <v/>
      </c>
      <c r="H52" s="12">
        <f>IF(U52="","",$E$4+V52*COS(RADIANS($E$8))-W52*SIN(RADIANS($E$8)))</f>
        <v/>
      </c>
      <c r="I52" s="12">
        <f>IF(U52="","",$E$5+V52*SIN(RADIANS($E$8))+W52*COS(RADIANS($E$8)))</f>
        <v/>
      </c>
      <c r="J52" s="12">
        <f>IF(H52="","",H52-$B$7)</f>
        <v/>
      </c>
      <c r="K52" s="12">
        <f>IF(I52="","",I52-$B$8)</f>
        <v/>
      </c>
      <c r="L52" s="12">
        <f>IFERROR(SQRT(J52^2+K52^2)*$B$4/1000,"")</f>
        <v/>
      </c>
      <c r="M52" s="12">
        <f>IF(OR($E$13&lt;&gt;"OK",L52=""),"",IF(L52&lt;=$D$19,$A$19,IF(L52&gt;=INDEX($D$19:$D$218,$E$12),INDEX($A$19:$A$218,$E$12),INDEX($A$19:$A$218,MATCH(L52,$D$19:INDEX($D$19:$D$218,$E$12),1))+(L52-INDEX($D$19:$D$218,MATCH(L52,$D$19:INDEX($D$19:$D$218,$E$12),1)))*(INDEX($A$19:$A$218,MATCH(L52,$D$19:INDEX($D$19:$D$218,$E$12),1)+1)-INDEX($A$19:$A$218,MATCH(L52,$D$19:INDEX($D$19:$D$218,$E$12),1)))/(INDEX($D$19:$D$218,MATCH(L52,$D$19:INDEX($D$19:$D$218,$E$12),1)+1)-INDEX($D$19:$D$218,MATCH(L52,$D$19:INDEX($D$19:$D$218,$E$12),1))))))</f>
        <v/>
      </c>
      <c r="N52" s="12">
        <f>IF(M52="","",$B$6*TAN(RADIANS(M52)))</f>
        <v/>
      </c>
      <c r="O52" s="12">
        <f>IF(N52="","",IF(L52=0,0,-N52*J52/SQRT(J52^2+K52^2)))</f>
        <v/>
      </c>
      <c r="P52" s="12">
        <f>IF(N52="","",IF(L52=0,0,N52*K52/SQRT(J52^2+K52^2)))</f>
        <v/>
      </c>
      <c r="Q52" s="12">
        <f>IF(N52="","",IF(N52=0,$B$7,$B$7-Y52*O52/N52))</f>
        <v/>
      </c>
      <c r="R52" s="12">
        <f>IF(N52="","",IF(N52=0,$B$8,$B$8+Y52*P52/N52))</f>
        <v/>
      </c>
      <c r="S52" s="12">
        <f>IFERROR(SQRT((Q52-H52)^2+(R52-I52)^2),"")</f>
        <v/>
      </c>
      <c r="T52">
        <f>25</f>
        <v/>
      </c>
      <c r="U52">
        <f>IF(T52&gt;4*$E$9,"",MIN(INT(T52/$E$9)+1,4))</f>
        <v/>
      </c>
      <c r="V52">
        <f>IF(T52=4*$E$9,-$E$6/2,IF(U52="","",CHOOSE(U52,-$E$6/2+MOD(T52,$E$9)/$E$9*$E$6,$E$6/2,$E$6/2-MOD(T52,$E$9)/$E$9*$E$6,-$E$6/2)))</f>
        <v/>
      </c>
      <c r="W52">
        <f>IF(T52=4*$E$9,-$E$7/2,IF(U52="","",CHOOSE(U52,-$E$7/2,-$E$7/2+MOD(T52,$E$9)/$E$9*$E$7,$E$7/2,$E$7/2-MOD(T52,$E$9)/$E$9*$E$7)))</f>
        <v/>
      </c>
      <c r="X52">
        <f>IF(OR($E$13&lt;&gt;"OK",M52=""),"",IF(M52&lt;=$A$19,$D$19,IF(M52&gt;=INDEX($A$19:$A$218,$E$12),INDEX($D$19:$D$218,$E$12),INDEX($D$19:$D$218,MATCH(M52,$A$19:INDEX($A$19:$A$218,$E$12),1))+(M52-INDEX($A$19:$A$218,MATCH(M52,$A$19:INDEX($A$19:$A$218,$E$12),1)))*(INDEX($D$19:$D$218,MATCH(M52,$A$19:INDEX($A$19:$A$218,$E$12),1)+1)-INDEX($D$19:$D$218,MATCH(M52,$A$19:INDEX($A$19:$A$218,$E$12),1)))/(INDEX($A$19:$A$218,MATCH(M52,$A$19:INDEX($A$19:$A$218,$E$12),1)+1)-INDEX($A$19:$A$218,MATCH(M52,$A$19:INDEX($A$19:$A$218,$E$12),1))))))</f>
        <v/>
      </c>
      <c r="Y52">
        <f>IF(X52="","",X52*1000/$B$4)</f>
        <v/>
      </c>
    </row>
    <row r="53">
      <c r="A53" s="10" t="n"/>
      <c r="B53" s="10" t="n"/>
      <c r="C53" s="11">
        <f>IF(A53="","",$B$5*TAN(RADIANS(A53)))</f>
        <v/>
      </c>
      <c r="D53" s="11">
        <f>IF(C53="","",C53*(1+B53/100))</f>
        <v/>
      </c>
      <c r="E53" s="11">
        <f>IF(A53="","",$B$6*TAN(RADIANS(A53)))</f>
        <v/>
      </c>
      <c r="G53" s="12">
        <f>IF(U53="","",T53)</f>
        <v/>
      </c>
      <c r="H53" s="12">
        <f>IF(U53="","",$E$4+V53*COS(RADIANS($E$8))-W53*SIN(RADIANS($E$8)))</f>
        <v/>
      </c>
      <c r="I53" s="12">
        <f>IF(U53="","",$E$5+V53*SIN(RADIANS($E$8))+W53*COS(RADIANS($E$8)))</f>
        <v/>
      </c>
      <c r="J53" s="12">
        <f>IF(H53="","",H53-$B$7)</f>
        <v/>
      </c>
      <c r="K53" s="12">
        <f>IF(I53="","",I53-$B$8)</f>
        <v/>
      </c>
      <c r="L53" s="12">
        <f>IFERROR(SQRT(J53^2+K53^2)*$B$4/1000,"")</f>
        <v/>
      </c>
      <c r="M53" s="12">
        <f>IF(OR($E$13&lt;&gt;"OK",L53=""),"",IF(L53&lt;=$D$19,$A$19,IF(L53&gt;=INDEX($D$19:$D$218,$E$12),INDEX($A$19:$A$218,$E$12),INDEX($A$19:$A$218,MATCH(L53,$D$19:INDEX($D$19:$D$218,$E$12),1))+(L53-INDEX($D$19:$D$218,MATCH(L53,$D$19:INDEX($D$19:$D$218,$E$12),1)))*(INDEX($A$19:$A$218,MATCH(L53,$D$19:INDEX($D$19:$D$218,$E$12),1)+1)-INDEX($A$19:$A$218,MATCH(L53,$D$19:INDEX($D$19:$D$218,$E$12),1)))/(INDEX($D$19:$D$218,MATCH(L53,$D$19:INDEX($D$19:$D$218,$E$12),1)+1)-INDEX($D$19:$D$218,MATCH(L53,$D$19:INDEX($D$19:$D$218,$E$12),1))))))</f>
        <v/>
      </c>
      <c r="N53" s="12">
        <f>IF(M53="","",$B$6*TAN(RADIANS(M53)))</f>
        <v/>
      </c>
      <c r="O53" s="12">
        <f>IF(N53="","",IF(L53=0,0,-N53*J53/SQRT(J53^2+K53^2)))</f>
        <v/>
      </c>
      <c r="P53" s="12">
        <f>IF(N53="","",IF(L53=0,0,N53*K53/SQRT(J53^2+K53^2)))</f>
        <v/>
      </c>
      <c r="Q53" s="12">
        <f>IF(N53="","",IF(N53=0,$B$7,$B$7-Y53*O53/N53))</f>
        <v/>
      </c>
      <c r="R53" s="12">
        <f>IF(N53="","",IF(N53=0,$B$8,$B$8+Y53*P53/N53))</f>
        <v/>
      </c>
      <c r="S53" s="12">
        <f>IFERROR(SQRT((Q53-H53)^2+(R53-I53)^2),"")</f>
        <v/>
      </c>
      <c r="T53">
        <f>26</f>
        <v/>
      </c>
      <c r="U53">
        <f>IF(T53&gt;4*$E$9,"",MIN(INT(T53/$E$9)+1,4))</f>
        <v/>
      </c>
      <c r="V53">
        <f>IF(T53=4*$E$9,-$E$6/2,IF(U53="","",CHOOSE(U53,-$E$6/2+MOD(T53,$E$9)/$E$9*$E$6,$E$6/2,$E$6/2-MOD(T53,$E$9)/$E$9*$E$6,-$E$6/2)))</f>
        <v/>
      </c>
      <c r="W53">
        <f>IF(T53=4*$E$9,-$E$7/2,IF(U53="","",CHOOSE(U53,-$E$7/2,-$E$7/2+MOD(T53,$E$9)/$E$9*$E$7,$E$7/2,$E$7/2-MOD(T53,$E$9)/$E$9*$E$7)))</f>
        <v/>
      </c>
      <c r="X53">
        <f>IF(OR($E$13&lt;&gt;"OK",M53=""),"",IF(M53&lt;=$A$19,$D$19,IF(M53&gt;=INDEX($A$19:$A$218,$E$12),INDEX($D$19:$D$218,$E$12),INDEX($D$19:$D$218,MATCH(M53,$A$19:INDEX($A$19:$A$218,$E$12),1))+(M53-INDEX($A$19:$A$218,MATCH(M53,$A$19:INDEX($A$19:$A$218,$E$12),1)))*(INDEX($D$19:$D$218,MATCH(M53,$A$19:INDEX($A$19:$A$218,$E$12),1)+1)-INDEX($D$19:$D$218,MATCH(M53,$A$19:INDEX($A$19:$A$218,$E$12),1)))/(INDEX($A$19:$A$218,MATCH(M53,$A$19:INDEX($A$19:$A$218,$E$12),1)+1)-INDEX($A$19:$A$218,MATCH(M53,$A$19:INDEX($A$19:$A$218,$E$12),1))))))</f>
        <v/>
      </c>
      <c r="Y53">
        <f>IF(X53="","",X53*1000/$B$4)</f>
        <v/>
      </c>
    </row>
    <row r="54">
      <c r="A54" s="10" t="n"/>
      <c r="B54" s="10" t="n"/>
      <c r="C54" s="11">
        <f>IF(A54="","",$B$5*TAN(RADIANS(A54)))</f>
        <v/>
      </c>
      <c r="D54" s="11">
        <f>IF(C54="","",C54*(1+B54/100))</f>
        <v/>
      </c>
      <c r="E54" s="11">
        <f>IF(A54="","",$B$6*TAN(RADIANS(A54)))</f>
        <v/>
      </c>
      <c r="G54" s="12">
        <f>IF(U54="","",T54)</f>
        <v/>
      </c>
      <c r="H54" s="12">
        <f>IF(U54="","",$E$4+V54*COS(RADIANS($E$8))-W54*SIN(RADIANS($E$8)))</f>
        <v/>
      </c>
      <c r="I54" s="12">
        <f>IF(U54="","",$E$5+V54*SIN(RADIANS($E$8))+W54*COS(RADIANS($E$8)))</f>
        <v/>
      </c>
      <c r="J54" s="12">
        <f>IF(H54="","",H54-$B$7)</f>
        <v/>
      </c>
      <c r="K54" s="12">
        <f>IF(I54="","",I54-$B$8)</f>
        <v/>
      </c>
      <c r="L54" s="12">
        <f>IFERROR(SQRT(J54^2+K54^2)*$B$4/1000,"")</f>
        <v/>
      </c>
      <c r="M54" s="12">
        <f>IF(OR($E$13&lt;&gt;"OK",L54=""),"",IF(L54&lt;=$D$19,$A$19,IF(L54&gt;=INDEX($D$19:$D$218,$E$12),INDEX($A$19:$A$218,$E$12),INDEX($A$19:$A$218,MATCH(L54,$D$19:INDEX($D$19:$D$218,$E$12),1))+(L54-INDEX($D$19:$D$218,MATCH(L54,$D$19:INDEX($D$19:$D$218,$E$12),1)))*(INDEX($A$19:$A$218,MATCH(L54,$D$19:INDEX($D$19:$D$218,$E$12),1)+1)-INDEX($A$19:$A$218,MATCH(L54,$D$19:INDEX($D$19:$D$218,$E$12),1)))/(INDEX($D$19:$D$218,MATCH(L54,$D$19:INDEX($D$19:$D$218,$E$12),1)+1)-INDEX($D$19:$D$218,MATCH(L54,$D$19:INDEX($D$19:$D$218,$E$12),1))))))</f>
        <v/>
      </c>
      <c r="N54" s="12">
        <f>IF(M54="","",$B$6*TAN(RADIANS(M54)))</f>
        <v/>
      </c>
      <c r="O54" s="12">
        <f>IF(N54="","",IF(L54=0,0,-N54*J54/SQRT(J54^2+K54^2)))</f>
        <v/>
      </c>
      <c r="P54" s="12">
        <f>IF(N54="","",IF(L54=0,0,N54*K54/SQRT(J54^2+K54^2)))</f>
        <v/>
      </c>
      <c r="Q54" s="12">
        <f>IF(N54="","",IF(N54=0,$B$7,$B$7-Y54*O54/N54))</f>
        <v/>
      </c>
      <c r="R54" s="12">
        <f>IF(N54="","",IF(N54=0,$B$8,$B$8+Y54*P54/N54))</f>
        <v/>
      </c>
      <c r="S54" s="12">
        <f>IFERROR(SQRT((Q54-H54)^2+(R54-I54)^2),"")</f>
        <v/>
      </c>
      <c r="T54">
        <f>27</f>
        <v/>
      </c>
      <c r="U54">
        <f>IF(T54&gt;4*$E$9,"",MIN(INT(T54/$E$9)+1,4))</f>
        <v/>
      </c>
      <c r="V54">
        <f>IF(T54=4*$E$9,-$E$6/2,IF(U54="","",CHOOSE(U54,-$E$6/2+MOD(T54,$E$9)/$E$9*$E$6,$E$6/2,$E$6/2-MOD(T54,$E$9)/$E$9*$E$6,-$E$6/2)))</f>
        <v/>
      </c>
      <c r="W54">
        <f>IF(T54=4*$E$9,-$E$7/2,IF(U54="","",CHOOSE(U54,-$E$7/2,-$E$7/2+MOD(T54,$E$9)/$E$9*$E$7,$E$7/2,$E$7/2-MOD(T54,$E$9)/$E$9*$E$7)))</f>
        <v/>
      </c>
      <c r="X54">
        <f>IF(OR($E$13&lt;&gt;"OK",M54=""),"",IF(M54&lt;=$A$19,$D$19,IF(M54&gt;=INDEX($A$19:$A$218,$E$12),INDEX($D$19:$D$218,$E$12),INDEX($D$19:$D$218,MATCH(M54,$A$19:INDEX($A$19:$A$218,$E$12),1))+(M54-INDEX($A$19:$A$218,MATCH(M54,$A$19:INDEX($A$19:$A$218,$E$12),1)))*(INDEX($D$19:$D$218,MATCH(M54,$A$19:INDEX($A$19:$A$218,$E$12),1)+1)-INDEX($D$19:$D$218,MATCH(M54,$A$19:INDEX($A$19:$A$218,$E$12),1)))/(INDEX($A$19:$A$218,MATCH(M54,$A$19:INDEX($A$19:$A$218,$E$12),1)+1)-INDEX($A$19:$A$218,MATCH(M54,$A$19:INDEX($A$19:$A$218,$E$12),1))))))</f>
        <v/>
      </c>
      <c r="Y54">
        <f>IF(X54="","",X54*1000/$B$4)</f>
        <v/>
      </c>
    </row>
    <row r="55">
      <c r="A55" s="10" t="n"/>
      <c r="B55" s="10" t="n"/>
      <c r="C55" s="11">
        <f>IF(A55="","",$B$5*TAN(RADIANS(A55)))</f>
        <v/>
      </c>
      <c r="D55" s="11">
        <f>IF(C55="","",C55*(1+B55/100))</f>
        <v/>
      </c>
      <c r="E55" s="11">
        <f>IF(A55="","",$B$6*TAN(RADIANS(A55)))</f>
        <v/>
      </c>
      <c r="G55" s="12">
        <f>IF(U55="","",T55)</f>
        <v/>
      </c>
      <c r="H55" s="12">
        <f>IF(U55="","",$E$4+V55*COS(RADIANS($E$8))-W55*SIN(RADIANS($E$8)))</f>
        <v/>
      </c>
      <c r="I55" s="12">
        <f>IF(U55="","",$E$5+V55*SIN(RADIANS($E$8))+W55*COS(RADIANS($E$8)))</f>
        <v/>
      </c>
      <c r="J55" s="12">
        <f>IF(H55="","",H55-$B$7)</f>
        <v/>
      </c>
      <c r="K55" s="12">
        <f>IF(I55="","",I55-$B$8)</f>
        <v/>
      </c>
      <c r="L55" s="12">
        <f>IFERROR(SQRT(J55^2+K55^2)*$B$4/1000,"")</f>
        <v/>
      </c>
      <c r="M55" s="12">
        <f>IF(OR($E$13&lt;&gt;"OK",L55=""),"",IF(L55&lt;=$D$19,$A$19,IF(L55&gt;=INDEX($D$19:$D$218,$E$12),INDEX($A$19:$A$218,$E$12),INDEX($A$19:$A$218,MATCH(L55,$D$19:INDEX($D$19:$D$218,$E$12),1))+(L55-INDEX($D$19:$D$218,MATCH(L55,$D$19:INDEX($D$19:$D$218,$E$12),1)))*(INDEX($A$19:$A$218,MATCH(L55,$D$19:INDEX($D$19:$D$218,$E$12),1)+1)-INDEX($A$19:$A$218,MATCH(L55,$D$19:INDEX($D$19:$D$218,$E$12),1)))/(INDEX($D$19:$D$218,MATCH(L55,$D$19:INDEX($D$19:$D$218,$E$12),1)+1)-INDEX($D$19:$D$218,MATCH(L55,$D$19:INDEX($D$19:$D$218,$E$12),1))))))</f>
        <v/>
      </c>
      <c r="N55" s="12">
        <f>IF(M55="","",$B$6*TAN(RADIANS(M55)))</f>
        <v/>
      </c>
      <c r="O55" s="12">
        <f>IF(N55="","",IF(L55=0,0,-N55*J55/SQRT(J55^2+K55^2)))</f>
        <v/>
      </c>
      <c r="P55" s="12">
        <f>IF(N55="","",IF(L55=0,0,N55*K55/SQRT(J55^2+K55^2)))</f>
        <v/>
      </c>
      <c r="Q55" s="12">
        <f>IF(N55="","",IF(N55=0,$B$7,$B$7-Y55*O55/N55))</f>
        <v/>
      </c>
      <c r="R55" s="12">
        <f>IF(N55="","",IF(N55=0,$B$8,$B$8+Y55*P55/N55))</f>
        <v/>
      </c>
      <c r="S55" s="12">
        <f>IFERROR(SQRT((Q55-H55)^2+(R55-I55)^2),"")</f>
        <v/>
      </c>
      <c r="T55">
        <f>28</f>
        <v/>
      </c>
      <c r="U55">
        <f>IF(T55&gt;4*$E$9,"",MIN(INT(T55/$E$9)+1,4))</f>
        <v/>
      </c>
      <c r="V55">
        <f>IF(T55=4*$E$9,-$E$6/2,IF(U55="","",CHOOSE(U55,-$E$6/2+MOD(T55,$E$9)/$E$9*$E$6,$E$6/2,$E$6/2-MOD(T55,$E$9)/$E$9*$E$6,-$E$6/2)))</f>
        <v/>
      </c>
      <c r="W55">
        <f>IF(T55=4*$E$9,-$E$7/2,IF(U55="","",CHOOSE(U55,-$E$7/2,-$E$7/2+MOD(T55,$E$9)/$E$9*$E$7,$E$7/2,$E$7/2-MOD(T55,$E$9)/$E$9*$E$7)))</f>
        <v/>
      </c>
      <c r="X55">
        <f>IF(OR($E$13&lt;&gt;"OK",M55=""),"",IF(M55&lt;=$A$19,$D$19,IF(M55&gt;=INDEX($A$19:$A$218,$E$12),INDEX($D$19:$D$218,$E$12),INDEX($D$19:$D$218,MATCH(M55,$A$19:INDEX($A$19:$A$218,$E$12),1))+(M55-INDEX($A$19:$A$218,MATCH(M55,$A$19:INDEX($A$19:$A$218,$E$12),1)))*(INDEX($D$19:$D$218,MATCH(M55,$A$19:INDEX($A$19:$A$218,$E$12),1)+1)-INDEX($D$19:$D$218,MATCH(M55,$A$19:INDEX($A$19:$A$218,$E$12),1)))/(INDEX($A$19:$A$218,MATCH(M55,$A$19:INDEX($A$19:$A$218,$E$12),1)+1)-INDEX($A$19:$A$218,MATCH(M55,$A$19:INDEX($A$19:$A$218,$E$12),1))))))</f>
        <v/>
      </c>
      <c r="Y55">
        <f>IF(X55="","",X55*1000/$B$4)</f>
        <v/>
      </c>
    </row>
    <row r="56">
      <c r="A56" s="10" t="n"/>
      <c r="B56" s="10" t="n"/>
      <c r="C56" s="11">
        <f>IF(A56="","",$B$5*TAN(RADIANS(A56)))</f>
        <v/>
      </c>
      <c r="D56" s="11">
        <f>IF(C56="","",C56*(1+B56/100))</f>
        <v/>
      </c>
      <c r="E56" s="11">
        <f>IF(A56="","",$B$6*TAN(RADIANS(A56)))</f>
        <v/>
      </c>
      <c r="G56" s="12">
        <f>IF(U56="","",T56)</f>
        <v/>
      </c>
      <c r="H56" s="12">
        <f>IF(U56="","",$E$4+V56*COS(RADIANS($E$8))-W56*SIN(RADIANS($E$8)))</f>
        <v/>
      </c>
      <c r="I56" s="12">
        <f>IF(U56="","",$E$5+V56*SIN(RADIANS($E$8))+W56*COS(RADIANS($E$8)))</f>
        <v/>
      </c>
      <c r="J56" s="12">
        <f>IF(H56="","",H56-$B$7)</f>
        <v/>
      </c>
      <c r="K56" s="12">
        <f>IF(I56="","",I56-$B$8)</f>
        <v/>
      </c>
      <c r="L56" s="12">
        <f>IFERROR(SQRT(J56^2+K56^2)*$B$4/1000,"")</f>
        <v/>
      </c>
      <c r="M56" s="12">
        <f>IF(OR($E$13&lt;&gt;"OK",L56=""),"",IF(L56&lt;=$D$19,$A$19,IF(L56&gt;=INDEX($D$19:$D$218,$E$12),INDEX($A$19:$A$218,$E$12),INDEX($A$19:$A$218,MATCH(L56,$D$19:INDEX($D$19:$D$218,$E$12),1))+(L56-INDEX($D$19:$D$218,MATCH(L56,$D$19:INDEX($D$19:$D$218,$E$12),1)))*(INDEX($A$19:$A$218,MATCH(L56,$D$19:INDEX($D$19:$D$218,$E$12),1)+1)-INDEX($A$19:$A$218,MATCH(L56,$D$19:INDEX($D$19:$D$218,$E$12),1)))/(INDEX($D$19:$D$218,MATCH(L56,$D$19:INDEX($D$19:$D$218,$E$12),1)+1)-INDEX($D$19:$D$218,MATCH(L56,$D$19:INDEX($D$19:$D$218,$E$12),1))))))</f>
        <v/>
      </c>
      <c r="N56" s="12">
        <f>IF(M56="","",$B$6*TAN(RADIANS(M56)))</f>
        <v/>
      </c>
      <c r="O56" s="12">
        <f>IF(N56="","",IF(L56=0,0,-N56*J56/SQRT(J56^2+K56^2)))</f>
        <v/>
      </c>
      <c r="P56" s="12">
        <f>IF(N56="","",IF(L56=0,0,N56*K56/SQRT(J56^2+K56^2)))</f>
        <v/>
      </c>
      <c r="Q56" s="12">
        <f>IF(N56="","",IF(N56=0,$B$7,$B$7-Y56*O56/N56))</f>
        <v/>
      </c>
      <c r="R56" s="12">
        <f>IF(N56="","",IF(N56=0,$B$8,$B$8+Y56*P56/N56))</f>
        <v/>
      </c>
      <c r="S56" s="12">
        <f>IFERROR(SQRT((Q56-H56)^2+(R56-I56)^2),"")</f>
        <v/>
      </c>
      <c r="T56">
        <f>29</f>
        <v/>
      </c>
      <c r="U56">
        <f>IF(T56&gt;4*$E$9,"",MIN(INT(T56/$E$9)+1,4))</f>
        <v/>
      </c>
      <c r="V56">
        <f>IF(T56=4*$E$9,-$E$6/2,IF(U56="","",CHOOSE(U56,-$E$6/2+MOD(T56,$E$9)/$E$9*$E$6,$E$6/2,$E$6/2-MOD(T56,$E$9)/$E$9*$E$6,-$E$6/2)))</f>
        <v/>
      </c>
      <c r="W56">
        <f>IF(T56=4*$E$9,-$E$7/2,IF(U56="","",CHOOSE(U56,-$E$7/2,-$E$7/2+MOD(T56,$E$9)/$E$9*$E$7,$E$7/2,$E$7/2-MOD(T56,$E$9)/$E$9*$E$7)))</f>
        <v/>
      </c>
      <c r="X56">
        <f>IF(OR($E$13&lt;&gt;"OK",M56=""),"",IF(M56&lt;=$A$19,$D$19,IF(M56&gt;=INDEX($A$19:$A$218,$E$12),INDEX($D$19:$D$218,$E$12),INDEX($D$19:$D$218,MATCH(M56,$A$19:INDEX($A$19:$A$218,$E$12),1))+(M56-INDEX($A$19:$A$218,MATCH(M56,$A$19:INDEX($A$19:$A$218,$E$12),1)))*(INDEX($D$19:$D$218,MATCH(M56,$A$19:INDEX($A$19:$A$218,$E$12),1)+1)-INDEX($D$19:$D$218,MATCH(M56,$A$19:INDEX($A$19:$A$218,$E$12),1)))/(INDEX($A$19:$A$218,MATCH(M56,$A$19:INDEX($A$19:$A$218,$E$12),1)+1)-INDEX($A$19:$A$218,MATCH(M56,$A$19:INDEX($A$19:$A$218,$E$12),1))))))</f>
        <v/>
      </c>
      <c r="Y56">
        <f>IF(X56="","",X56*1000/$B$4)</f>
        <v/>
      </c>
    </row>
    <row r="57">
      <c r="A57" s="10" t="n"/>
      <c r="B57" s="10" t="n"/>
      <c r="C57" s="11">
        <f>IF(A57="","",$B$5*TAN(RADIANS(A57)))</f>
        <v/>
      </c>
      <c r="D57" s="11">
        <f>IF(C57="","",C57*(1+B57/100))</f>
        <v/>
      </c>
      <c r="E57" s="11">
        <f>IF(A57="","",$B$6*TAN(RADIANS(A57)))</f>
        <v/>
      </c>
      <c r="G57" s="12">
        <f>IF(U57="","",T57)</f>
        <v/>
      </c>
      <c r="H57" s="12">
        <f>IF(U57="","",$E$4+V57*COS(RADIANS($E$8))-W57*SIN(RADIANS($E$8)))</f>
        <v/>
      </c>
      <c r="I57" s="12">
        <f>IF(U57="","",$E$5+V57*SIN(RADIANS($E$8))+W57*COS(RADIANS($E$8)))</f>
        <v/>
      </c>
      <c r="J57" s="12">
        <f>IF(H57="","",H57-$B$7)</f>
        <v/>
      </c>
      <c r="K57" s="12">
        <f>IF(I57="","",I57-$B$8)</f>
        <v/>
      </c>
      <c r="L57" s="12">
        <f>IFERROR(SQRT(J57^2+K57^2)*$B$4/1000,"")</f>
        <v/>
      </c>
      <c r="M57" s="12">
        <f>IF(OR($E$13&lt;&gt;"OK",L57=""),"",IF(L57&lt;=$D$19,$A$19,IF(L57&gt;=INDEX($D$19:$D$218,$E$12),INDEX($A$19:$A$218,$E$12),INDEX($A$19:$A$218,MATCH(L57,$D$19:INDEX($D$19:$D$218,$E$12),1))+(L57-INDEX($D$19:$D$218,MATCH(L57,$D$19:INDEX($D$19:$D$218,$E$12),1)))*(INDEX($A$19:$A$218,MATCH(L57,$D$19:INDEX($D$19:$D$218,$E$12),1)+1)-INDEX($A$19:$A$218,MATCH(L57,$D$19:INDEX($D$19:$D$218,$E$12),1)))/(INDEX($D$19:$D$218,MATCH(L57,$D$19:INDEX($D$19:$D$218,$E$12),1)+1)-INDEX($D$19:$D$218,MATCH(L57,$D$19:INDEX($D$19:$D$218,$E$12),1))))))</f>
        <v/>
      </c>
      <c r="N57" s="12">
        <f>IF(M57="","",$B$6*TAN(RADIANS(M57)))</f>
        <v/>
      </c>
      <c r="O57" s="12">
        <f>IF(N57="","",IF(L57=0,0,-N57*J57/SQRT(J57^2+K57^2)))</f>
        <v/>
      </c>
      <c r="P57" s="12">
        <f>IF(N57="","",IF(L57=0,0,N57*K57/SQRT(J57^2+K57^2)))</f>
        <v/>
      </c>
      <c r="Q57" s="12">
        <f>IF(N57="","",IF(N57=0,$B$7,$B$7-Y57*O57/N57))</f>
        <v/>
      </c>
      <c r="R57" s="12">
        <f>IF(N57="","",IF(N57=0,$B$8,$B$8+Y57*P57/N57))</f>
        <v/>
      </c>
      <c r="S57" s="12">
        <f>IFERROR(SQRT((Q57-H57)^2+(R57-I57)^2),"")</f>
        <v/>
      </c>
      <c r="T57">
        <f>30</f>
        <v/>
      </c>
      <c r="U57">
        <f>IF(T57&gt;4*$E$9,"",MIN(INT(T57/$E$9)+1,4))</f>
        <v/>
      </c>
      <c r="V57">
        <f>IF(T57=4*$E$9,-$E$6/2,IF(U57="","",CHOOSE(U57,-$E$6/2+MOD(T57,$E$9)/$E$9*$E$6,$E$6/2,$E$6/2-MOD(T57,$E$9)/$E$9*$E$6,-$E$6/2)))</f>
        <v/>
      </c>
      <c r="W57">
        <f>IF(T57=4*$E$9,-$E$7/2,IF(U57="","",CHOOSE(U57,-$E$7/2,-$E$7/2+MOD(T57,$E$9)/$E$9*$E$7,$E$7/2,$E$7/2-MOD(T57,$E$9)/$E$9*$E$7)))</f>
        <v/>
      </c>
      <c r="X57">
        <f>IF(OR($E$13&lt;&gt;"OK",M57=""),"",IF(M57&lt;=$A$19,$D$19,IF(M57&gt;=INDEX($A$19:$A$218,$E$12),INDEX($D$19:$D$218,$E$12),INDEX($D$19:$D$218,MATCH(M57,$A$19:INDEX($A$19:$A$218,$E$12),1))+(M57-INDEX($A$19:$A$218,MATCH(M57,$A$19:INDEX($A$19:$A$218,$E$12),1)))*(INDEX($D$19:$D$218,MATCH(M57,$A$19:INDEX($A$19:$A$218,$E$12),1)+1)-INDEX($D$19:$D$218,MATCH(M57,$A$19:INDEX($A$19:$A$218,$E$12),1)))/(INDEX($A$19:$A$218,MATCH(M57,$A$19:INDEX($A$19:$A$218,$E$12),1)+1)-INDEX($A$19:$A$218,MATCH(M57,$A$19:INDEX($A$19:$A$218,$E$12),1))))))</f>
        <v/>
      </c>
      <c r="Y57">
        <f>IF(X57="","",X57*1000/$B$4)</f>
        <v/>
      </c>
    </row>
    <row r="58">
      <c r="A58" s="10" t="n"/>
      <c r="B58" s="10" t="n"/>
      <c r="C58" s="11">
        <f>IF(A58="","",$B$5*TAN(RADIANS(A58)))</f>
        <v/>
      </c>
      <c r="D58" s="11">
        <f>IF(C58="","",C58*(1+B58/100))</f>
        <v/>
      </c>
      <c r="E58" s="11">
        <f>IF(A58="","",$B$6*TAN(RADIANS(A58)))</f>
        <v/>
      </c>
      <c r="G58" s="12">
        <f>IF(U58="","",T58)</f>
        <v/>
      </c>
      <c r="H58" s="12">
        <f>IF(U58="","",$E$4+V58*COS(RADIANS($E$8))-W58*SIN(RADIANS($E$8)))</f>
        <v/>
      </c>
      <c r="I58" s="12">
        <f>IF(U58="","",$E$5+V58*SIN(RADIANS($E$8))+W58*COS(RADIANS($E$8)))</f>
        <v/>
      </c>
      <c r="J58" s="12">
        <f>IF(H58="","",H58-$B$7)</f>
        <v/>
      </c>
      <c r="K58" s="12">
        <f>IF(I58="","",I58-$B$8)</f>
        <v/>
      </c>
      <c r="L58" s="12">
        <f>IFERROR(SQRT(J58^2+K58^2)*$B$4/1000,"")</f>
        <v/>
      </c>
      <c r="M58" s="12">
        <f>IF(OR($E$13&lt;&gt;"OK",L58=""),"",IF(L58&lt;=$D$19,$A$19,IF(L58&gt;=INDEX($D$19:$D$218,$E$12),INDEX($A$19:$A$218,$E$12),INDEX($A$19:$A$218,MATCH(L58,$D$19:INDEX($D$19:$D$218,$E$12),1))+(L58-INDEX($D$19:$D$218,MATCH(L58,$D$19:INDEX($D$19:$D$218,$E$12),1)))*(INDEX($A$19:$A$218,MATCH(L58,$D$19:INDEX($D$19:$D$218,$E$12),1)+1)-INDEX($A$19:$A$218,MATCH(L58,$D$19:INDEX($D$19:$D$218,$E$12),1)))/(INDEX($D$19:$D$218,MATCH(L58,$D$19:INDEX($D$19:$D$218,$E$12),1)+1)-INDEX($D$19:$D$218,MATCH(L58,$D$19:INDEX($D$19:$D$218,$E$12),1))))))</f>
        <v/>
      </c>
      <c r="N58" s="12">
        <f>IF(M58="","",$B$6*TAN(RADIANS(M58)))</f>
        <v/>
      </c>
      <c r="O58" s="12">
        <f>IF(N58="","",IF(L58=0,0,-N58*J58/SQRT(J58^2+K58^2)))</f>
        <v/>
      </c>
      <c r="P58" s="12">
        <f>IF(N58="","",IF(L58=0,0,N58*K58/SQRT(J58^2+K58^2)))</f>
        <v/>
      </c>
      <c r="Q58" s="12">
        <f>IF(N58="","",IF(N58=0,$B$7,$B$7-Y58*O58/N58))</f>
        <v/>
      </c>
      <c r="R58" s="12">
        <f>IF(N58="","",IF(N58=0,$B$8,$B$8+Y58*P58/N58))</f>
        <v/>
      </c>
      <c r="S58" s="12">
        <f>IFERROR(SQRT((Q58-H58)^2+(R58-I58)^2),"")</f>
        <v/>
      </c>
      <c r="T58">
        <f>31</f>
        <v/>
      </c>
      <c r="U58">
        <f>IF(T58&gt;4*$E$9,"",MIN(INT(T58/$E$9)+1,4))</f>
        <v/>
      </c>
      <c r="V58">
        <f>IF(T58=4*$E$9,-$E$6/2,IF(U58="","",CHOOSE(U58,-$E$6/2+MOD(T58,$E$9)/$E$9*$E$6,$E$6/2,$E$6/2-MOD(T58,$E$9)/$E$9*$E$6,-$E$6/2)))</f>
        <v/>
      </c>
      <c r="W58">
        <f>IF(T58=4*$E$9,-$E$7/2,IF(U58="","",CHOOSE(U58,-$E$7/2,-$E$7/2+MOD(T58,$E$9)/$E$9*$E$7,$E$7/2,$E$7/2-MOD(T58,$E$9)/$E$9*$E$7)))</f>
        <v/>
      </c>
      <c r="X58">
        <f>IF(OR($E$13&lt;&gt;"OK",M58=""),"",IF(M58&lt;=$A$19,$D$19,IF(M58&gt;=INDEX($A$19:$A$218,$E$12),INDEX($D$19:$D$218,$E$12),INDEX($D$19:$D$218,MATCH(M58,$A$19:INDEX($A$19:$A$218,$E$12),1))+(M58-INDEX($A$19:$A$218,MATCH(M58,$A$19:INDEX($A$19:$A$218,$E$12),1)))*(INDEX($D$19:$D$218,MATCH(M58,$A$19:INDEX($A$19:$A$218,$E$12),1)+1)-INDEX($D$19:$D$218,MATCH(M58,$A$19:INDEX($A$19:$A$218,$E$12),1)))/(INDEX($A$19:$A$218,MATCH(M58,$A$19:INDEX($A$19:$A$218,$E$12),1)+1)-INDEX($A$19:$A$218,MATCH(M58,$A$19:INDEX($A$19:$A$218,$E$12),1))))))</f>
        <v/>
      </c>
      <c r="Y58">
        <f>IF(X58="","",X58*1000/$B$4)</f>
        <v/>
      </c>
    </row>
    <row r="59">
      <c r="A59" s="10" t="n"/>
      <c r="B59" s="10" t="n"/>
      <c r="C59" s="11">
        <f>IF(A59="","",$B$5*TAN(RADIANS(A59)))</f>
        <v/>
      </c>
      <c r="D59" s="11">
        <f>IF(C59="","",C59*(1+B59/100))</f>
        <v/>
      </c>
      <c r="E59" s="11">
        <f>IF(A59="","",$B$6*TAN(RADIANS(A59)))</f>
        <v/>
      </c>
      <c r="G59" s="12">
        <f>IF(U59="","",T59)</f>
        <v/>
      </c>
      <c r="H59" s="12">
        <f>IF(U59="","",$E$4+V59*COS(RADIANS($E$8))-W59*SIN(RADIANS($E$8)))</f>
        <v/>
      </c>
      <c r="I59" s="12">
        <f>IF(U59="","",$E$5+V59*SIN(RADIANS($E$8))+W59*COS(RADIANS($E$8)))</f>
        <v/>
      </c>
      <c r="J59" s="12">
        <f>IF(H59="","",H59-$B$7)</f>
        <v/>
      </c>
      <c r="K59" s="12">
        <f>IF(I59="","",I59-$B$8)</f>
        <v/>
      </c>
      <c r="L59" s="12">
        <f>IFERROR(SQRT(J59^2+K59^2)*$B$4/1000,"")</f>
        <v/>
      </c>
      <c r="M59" s="12">
        <f>IF(OR($E$13&lt;&gt;"OK",L59=""),"",IF(L59&lt;=$D$19,$A$19,IF(L59&gt;=INDEX($D$19:$D$218,$E$12),INDEX($A$19:$A$218,$E$12),INDEX($A$19:$A$218,MATCH(L59,$D$19:INDEX($D$19:$D$218,$E$12),1))+(L59-INDEX($D$19:$D$218,MATCH(L59,$D$19:INDEX($D$19:$D$218,$E$12),1)))*(INDEX($A$19:$A$218,MATCH(L59,$D$19:INDEX($D$19:$D$218,$E$12),1)+1)-INDEX($A$19:$A$218,MATCH(L59,$D$19:INDEX($D$19:$D$218,$E$12),1)))/(INDEX($D$19:$D$218,MATCH(L59,$D$19:INDEX($D$19:$D$218,$E$12),1)+1)-INDEX($D$19:$D$218,MATCH(L59,$D$19:INDEX($D$19:$D$218,$E$12),1))))))</f>
        <v/>
      </c>
      <c r="N59" s="12">
        <f>IF(M59="","",$B$6*TAN(RADIANS(M59)))</f>
        <v/>
      </c>
      <c r="O59" s="12">
        <f>IF(N59="","",IF(L59=0,0,-N59*J59/SQRT(J59^2+K59^2)))</f>
        <v/>
      </c>
      <c r="P59" s="12">
        <f>IF(N59="","",IF(L59=0,0,N59*K59/SQRT(J59^2+K59^2)))</f>
        <v/>
      </c>
      <c r="Q59" s="12">
        <f>IF(N59="","",IF(N59=0,$B$7,$B$7-Y59*O59/N59))</f>
        <v/>
      </c>
      <c r="R59" s="12">
        <f>IF(N59="","",IF(N59=0,$B$8,$B$8+Y59*P59/N59))</f>
        <v/>
      </c>
      <c r="S59" s="12">
        <f>IFERROR(SQRT((Q59-H59)^2+(R59-I59)^2),"")</f>
        <v/>
      </c>
      <c r="T59">
        <f>32</f>
        <v/>
      </c>
      <c r="U59">
        <f>IF(T59&gt;4*$E$9,"",MIN(INT(T59/$E$9)+1,4))</f>
        <v/>
      </c>
      <c r="V59">
        <f>IF(T59=4*$E$9,-$E$6/2,IF(U59="","",CHOOSE(U59,-$E$6/2+MOD(T59,$E$9)/$E$9*$E$6,$E$6/2,$E$6/2-MOD(T59,$E$9)/$E$9*$E$6,-$E$6/2)))</f>
        <v/>
      </c>
      <c r="W59">
        <f>IF(T59=4*$E$9,-$E$7/2,IF(U59="","",CHOOSE(U59,-$E$7/2,-$E$7/2+MOD(T59,$E$9)/$E$9*$E$7,$E$7/2,$E$7/2-MOD(T59,$E$9)/$E$9*$E$7)))</f>
        <v/>
      </c>
      <c r="X59">
        <f>IF(OR($E$13&lt;&gt;"OK",M59=""),"",IF(M59&lt;=$A$19,$D$19,IF(M59&gt;=INDEX($A$19:$A$218,$E$12),INDEX($D$19:$D$218,$E$12),INDEX($D$19:$D$218,MATCH(M59,$A$19:INDEX($A$19:$A$218,$E$12),1))+(M59-INDEX($A$19:$A$218,MATCH(M59,$A$19:INDEX($A$19:$A$218,$E$12),1)))*(INDEX($D$19:$D$218,MATCH(M59,$A$19:INDEX($A$19:$A$218,$E$12),1)+1)-INDEX($D$19:$D$218,MATCH(M59,$A$19:INDEX($A$19:$A$218,$E$12),1)))/(INDEX($A$19:$A$218,MATCH(M59,$A$19:INDEX($A$19:$A$218,$E$12),1)+1)-INDEX($A$19:$A$218,MATCH(M59,$A$19:INDEX($A$19:$A$218,$E$12),1))))))</f>
        <v/>
      </c>
      <c r="Y59">
        <f>IF(X59="","",X59*1000/$B$4)</f>
        <v/>
      </c>
    </row>
    <row r="60">
      <c r="A60" s="10" t="n"/>
      <c r="B60" s="10" t="n"/>
      <c r="C60" s="11">
        <f>IF(A60="","",$B$5*TAN(RADIANS(A60)))</f>
        <v/>
      </c>
      <c r="D60" s="11">
        <f>IF(C60="","",C60*(1+B60/100))</f>
        <v/>
      </c>
      <c r="E60" s="11">
        <f>IF(A60="","",$B$6*TAN(RADIANS(A60)))</f>
        <v/>
      </c>
      <c r="G60" s="12">
        <f>IF(U60="","",T60)</f>
        <v/>
      </c>
      <c r="H60" s="12">
        <f>IF(U60="","",$E$4+V60*COS(RADIANS($E$8))-W60*SIN(RADIANS($E$8)))</f>
        <v/>
      </c>
      <c r="I60" s="12">
        <f>IF(U60="","",$E$5+V60*SIN(RADIANS($E$8))+W60*COS(RADIANS($E$8)))</f>
        <v/>
      </c>
      <c r="J60" s="12">
        <f>IF(H60="","",H60-$B$7)</f>
        <v/>
      </c>
      <c r="K60" s="12">
        <f>IF(I60="","",I60-$B$8)</f>
        <v/>
      </c>
      <c r="L60" s="12">
        <f>IFERROR(SQRT(J60^2+K60^2)*$B$4/1000,"")</f>
        <v/>
      </c>
      <c r="M60" s="12">
        <f>IF(OR($E$13&lt;&gt;"OK",L60=""),"",IF(L60&lt;=$D$19,$A$19,IF(L60&gt;=INDEX($D$19:$D$218,$E$12),INDEX($A$19:$A$218,$E$12),INDEX($A$19:$A$218,MATCH(L60,$D$19:INDEX($D$19:$D$218,$E$12),1))+(L60-INDEX($D$19:$D$218,MATCH(L60,$D$19:INDEX($D$19:$D$218,$E$12),1)))*(INDEX($A$19:$A$218,MATCH(L60,$D$19:INDEX($D$19:$D$218,$E$12),1)+1)-INDEX($A$19:$A$218,MATCH(L60,$D$19:INDEX($D$19:$D$218,$E$12),1)))/(INDEX($D$19:$D$218,MATCH(L60,$D$19:INDEX($D$19:$D$218,$E$12),1)+1)-INDEX($D$19:$D$218,MATCH(L60,$D$19:INDEX($D$19:$D$218,$E$12),1))))))</f>
        <v/>
      </c>
      <c r="N60" s="12">
        <f>IF(M60="","",$B$6*TAN(RADIANS(M60)))</f>
        <v/>
      </c>
      <c r="O60" s="12">
        <f>IF(N60="","",IF(L60=0,0,-N60*J60/SQRT(J60^2+K60^2)))</f>
        <v/>
      </c>
      <c r="P60" s="12">
        <f>IF(N60="","",IF(L60=0,0,N60*K60/SQRT(J60^2+K60^2)))</f>
        <v/>
      </c>
      <c r="Q60" s="12">
        <f>IF(N60="","",IF(N60=0,$B$7,$B$7-Y60*O60/N60))</f>
        <v/>
      </c>
      <c r="R60" s="12">
        <f>IF(N60="","",IF(N60=0,$B$8,$B$8+Y60*P60/N60))</f>
        <v/>
      </c>
      <c r="S60" s="12">
        <f>IFERROR(SQRT((Q60-H60)^2+(R60-I60)^2),"")</f>
        <v/>
      </c>
      <c r="T60">
        <f>33</f>
        <v/>
      </c>
      <c r="U60">
        <f>IF(T60&gt;4*$E$9,"",MIN(INT(T60/$E$9)+1,4))</f>
        <v/>
      </c>
      <c r="V60">
        <f>IF(T60=4*$E$9,-$E$6/2,IF(U60="","",CHOOSE(U60,-$E$6/2+MOD(T60,$E$9)/$E$9*$E$6,$E$6/2,$E$6/2-MOD(T60,$E$9)/$E$9*$E$6,-$E$6/2)))</f>
        <v/>
      </c>
      <c r="W60">
        <f>IF(T60=4*$E$9,-$E$7/2,IF(U60="","",CHOOSE(U60,-$E$7/2,-$E$7/2+MOD(T60,$E$9)/$E$9*$E$7,$E$7/2,$E$7/2-MOD(T60,$E$9)/$E$9*$E$7)))</f>
        <v/>
      </c>
      <c r="X60">
        <f>IF(OR($E$13&lt;&gt;"OK",M60=""),"",IF(M60&lt;=$A$19,$D$19,IF(M60&gt;=INDEX($A$19:$A$218,$E$12),INDEX($D$19:$D$218,$E$12),INDEX($D$19:$D$218,MATCH(M60,$A$19:INDEX($A$19:$A$218,$E$12),1))+(M60-INDEX($A$19:$A$218,MATCH(M60,$A$19:INDEX($A$19:$A$218,$E$12),1)))*(INDEX($D$19:$D$218,MATCH(M60,$A$19:INDEX($A$19:$A$218,$E$12),1)+1)-INDEX($D$19:$D$218,MATCH(M60,$A$19:INDEX($A$19:$A$218,$E$12),1)))/(INDEX($A$19:$A$218,MATCH(M60,$A$19:INDEX($A$19:$A$218,$E$12),1)+1)-INDEX($A$19:$A$218,MATCH(M60,$A$19:INDEX($A$19:$A$218,$E$12),1))))))</f>
        <v/>
      </c>
      <c r="Y60">
        <f>IF(X60="","",X60*1000/$B$4)</f>
        <v/>
      </c>
    </row>
    <row r="61">
      <c r="A61" s="10" t="n"/>
      <c r="B61" s="10" t="n"/>
      <c r="C61" s="11">
        <f>IF(A61="","",$B$5*TAN(RADIANS(A61)))</f>
        <v/>
      </c>
      <c r="D61" s="11">
        <f>IF(C61="","",C61*(1+B61/100))</f>
        <v/>
      </c>
      <c r="E61" s="11">
        <f>IF(A61="","",$B$6*TAN(RADIANS(A61)))</f>
        <v/>
      </c>
      <c r="G61" s="12">
        <f>IF(U61="","",T61)</f>
        <v/>
      </c>
      <c r="H61" s="12">
        <f>IF(U61="","",$E$4+V61*COS(RADIANS($E$8))-W61*SIN(RADIANS($E$8)))</f>
        <v/>
      </c>
      <c r="I61" s="12">
        <f>IF(U61="","",$E$5+V61*SIN(RADIANS($E$8))+W61*COS(RADIANS($E$8)))</f>
        <v/>
      </c>
      <c r="J61" s="12">
        <f>IF(H61="","",H61-$B$7)</f>
        <v/>
      </c>
      <c r="K61" s="12">
        <f>IF(I61="","",I61-$B$8)</f>
        <v/>
      </c>
      <c r="L61" s="12">
        <f>IFERROR(SQRT(J61^2+K61^2)*$B$4/1000,"")</f>
        <v/>
      </c>
      <c r="M61" s="12">
        <f>IF(OR($E$13&lt;&gt;"OK",L61=""),"",IF(L61&lt;=$D$19,$A$19,IF(L61&gt;=INDEX($D$19:$D$218,$E$12),INDEX($A$19:$A$218,$E$12),INDEX($A$19:$A$218,MATCH(L61,$D$19:INDEX($D$19:$D$218,$E$12),1))+(L61-INDEX($D$19:$D$218,MATCH(L61,$D$19:INDEX($D$19:$D$218,$E$12),1)))*(INDEX($A$19:$A$218,MATCH(L61,$D$19:INDEX($D$19:$D$218,$E$12),1)+1)-INDEX($A$19:$A$218,MATCH(L61,$D$19:INDEX($D$19:$D$218,$E$12),1)))/(INDEX($D$19:$D$218,MATCH(L61,$D$19:INDEX($D$19:$D$218,$E$12),1)+1)-INDEX($D$19:$D$218,MATCH(L61,$D$19:INDEX($D$19:$D$218,$E$12),1))))))</f>
        <v/>
      </c>
      <c r="N61" s="12">
        <f>IF(M61="","",$B$6*TAN(RADIANS(M61)))</f>
        <v/>
      </c>
      <c r="O61" s="12">
        <f>IF(N61="","",IF(L61=0,0,-N61*J61/SQRT(J61^2+K61^2)))</f>
        <v/>
      </c>
      <c r="P61" s="12">
        <f>IF(N61="","",IF(L61=0,0,N61*K61/SQRT(J61^2+K61^2)))</f>
        <v/>
      </c>
      <c r="Q61" s="12">
        <f>IF(N61="","",IF(N61=0,$B$7,$B$7-Y61*O61/N61))</f>
        <v/>
      </c>
      <c r="R61" s="12">
        <f>IF(N61="","",IF(N61=0,$B$8,$B$8+Y61*P61/N61))</f>
        <v/>
      </c>
      <c r="S61" s="12">
        <f>IFERROR(SQRT((Q61-H61)^2+(R61-I61)^2),"")</f>
        <v/>
      </c>
      <c r="T61">
        <f>34</f>
        <v/>
      </c>
      <c r="U61">
        <f>IF(T61&gt;4*$E$9,"",MIN(INT(T61/$E$9)+1,4))</f>
        <v/>
      </c>
      <c r="V61">
        <f>IF(T61=4*$E$9,-$E$6/2,IF(U61="","",CHOOSE(U61,-$E$6/2+MOD(T61,$E$9)/$E$9*$E$6,$E$6/2,$E$6/2-MOD(T61,$E$9)/$E$9*$E$6,-$E$6/2)))</f>
        <v/>
      </c>
      <c r="W61">
        <f>IF(T61=4*$E$9,-$E$7/2,IF(U61="","",CHOOSE(U61,-$E$7/2,-$E$7/2+MOD(T61,$E$9)/$E$9*$E$7,$E$7/2,$E$7/2-MOD(T61,$E$9)/$E$9*$E$7)))</f>
        <v/>
      </c>
      <c r="X61">
        <f>IF(OR($E$13&lt;&gt;"OK",M61=""),"",IF(M61&lt;=$A$19,$D$19,IF(M61&gt;=INDEX($A$19:$A$218,$E$12),INDEX($D$19:$D$218,$E$12),INDEX($D$19:$D$218,MATCH(M61,$A$19:INDEX($A$19:$A$218,$E$12),1))+(M61-INDEX($A$19:$A$218,MATCH(M61,$A$19:INDEX($A$19:$A$218,$E$12),1)))*(INDEX($D$19:$D$218,MATCH(M61,$A$19:INDEX($A$19:$A$218,$E$12),1)+1)-INDEX($D$19:$D$218,MATCH(M61,$A$19:INDEX($A$19:$A$218,$E$12),1)))/(INDEX($A$19:$A$218,MATCH(M61,$A$19:INDEX($A$19:$A$218,$E$12),1)+1)-INDEX($A$19:$A$218,MATCH(M61,$A$19:INDEX($A$19:$A$218,$E$12),1))))))</f>
        <v/>
      </c>
      <c r="Y61">
        <f>IF(X61="","",X61*1000/$B$4)</f>
        <v/>
      </c>
    </row>
    <row r="62">
      <c r="A62" s="10" t="n"/>
      <c r="B62" s="10" t="n"/>
      <c r="C62" s="11">
        <f>IF(A62="","",$B$5*TAN(RADIANS(A62)))</f>
        <v/>
      </c>
      <c r="D62" s="11">
        <f>IF(C62="","",C62*(1+B62/100))</f>
        <v/>
      </c>
      <c r="E62" s="11">
        <f>IF(A62="","",$B$6*TAN(RADIANS(A62)))</f>
        <v/>
      </c>
      <c r="G62" s="12">
        <f>IF(U62="","",T62)</f>
        <v/>
      </c>
      <c r="H62" s="12">
        <f>IF(U62="","",$E$4+V62*COS(RADIANS($E$8))-W62*SIN(RADIANS($E$8)))</f>
        <v/>
      </c>
      <c r="I62" s="12">
        <f>IF(U62="","",$E$5+V62*SIN(RADIANS($E$8))+W62*COS(RADIANS($E$8)))</f>
        <v/>
      </c>
      <c r="J62" s="12">
        <f>IF(H62="","",H62-$B$7)</f>
        <v/>
      </c>
      <c r="K62" s="12">
        <f>IF(I62="","",I62-$B$8)</f>
        <v/>
      </c>
      <c r="L62" s="12">
        <f>IFERROR(SQRT(J62^2+K62^2)*$B$4/1000,"")</f>
        <v/>
      </c>
      <c r="M62" s="12">
        <f>IF(OR($E$13&lt;&gt;"OK",L62=""),"",IF(L62&lt;=$D$19,$A$19,IF(L62&gt;=INDEX($D$19:$D$218,$E$12),INDEX($A$19:$A$218,$E$12),INDEX($A$19:$A$218,MATCH(L62,$D$19:INDEX($D$19:$D$218,$E$12),1))+(L62-INDEX($D$19:$D$218,MATCH(L62,$D$19:INDEX($D$19:$D$218,$E$12),1)))*(INDEX($A$19:$A$218,MATCH(L62,$D$19:INDEX($D$19:$D$218,$E$12),1)+1)-INDEX($A$19:$A$218,MATCH(L62,$D$19:INDEX($D$19:$D$218,$E$12),1)))/(INDEX($D$19:$D$218,MATCH(L62,$D$19:INDEX($D$19:$D$218,$E$12),1)+1)-INDEX($D$19:$D$218,MATCH(L62,$D$19:INDEX($D$19:$D$218,$E$12),1))))))</f>
        <v/>
      </c>
      <c r="N62" s="12">
        <f>IF(M62="","",$B$6*TAN(RADIANS(M62)))</f>
        <v/>
      </c>
      <c r="O62" s="12">
        <f>IF(N62="","",IF(L62=0,0,-N62*J62/SQRT(J62^2+K62^2)))</f>
        <v/>
      </c>
      <c r="P62" s="12">
        <f>IF(N62="","",IF(L62=0,0,N62*K62/SQRT(J62^2+K62^2)))</f>
        <v/>
      </c>
      <c r="Q62" s="12">
        <f>IF(N62="","",IF(N62=0,$B$7,$B$7-Y62*O62/N62))</f>
        <v/>
      </c>
      <c r="R62" s="12">
        <f>IF(N62="","",IF(N62=0,$B$8,$B$8+Y62*P62/N62))</f>
        <v/>
      </c>
      <c r="S62" s="12">
        <f>IFERROR(SQRT((Q62-H62)^2+(R62-I62)^2),"")</f>
        <v/>
      </c>
      <c r="T62">
        <f>35</f>
        <v/>
      </c>
      <c r="U62">
        <f>IF(T62&gt;4*$E$9,"",MIN(INT(T62/$E$9)+1,4))</f>
        <v/>
      </c>
      <c r="V62">
        <f>IF(T62=4*$E$9,-$E$6/2,IF(U62="","",CHOOSE(U62,-$E$6/2+MOD(T62,$E$9)/$E$9*$E$6,$E$6/2,$E$6/2-MOD(T62,$E$9)/$E$9*$E$6,-$E$6/2)))</f>
        <v/>
      </c>
      <c r="W62">
        <f>IF(T62=4*$E$9,-$E$7/2,IF(U62="","",CHOOSE(U62,-$E$7/2,-$E$7/2+MOD(T62,$E$9)/$E$9*$E$7,$E$7/2,$E$7/2-MOD(T62,$E$9)/$E$9*$E$7)))</f>
        <v/>
      </c>
      <c r="X62">
        <f>IF(OR($E$13&lt;&gt;"OK",M62=""),"",IF(M62&lt;=$A$19,$D$19,IF(M62&gt;=INDEX($A$19:$A$218,$E$12),INDEX($D$19:$D$218,$E$12),INDEX($D$19:$D$218,MATCH(M62,$A$19:INDEX($A$19:$A$218,$E$12),1))+(M62-INDEX($A$19:$A$218,MATCH(M62,$A$19:INDEX($A$19:$A$218,$E$12),1)))*(INDEX($D$19:$D$218,MATCH(M62,$A$19:INDEX($A$19:$A$218,$E$12),1)+1)-INDEX($D$19:$D$218,MATCH(M62,$A$19:INDEX($A$19:$A$218,$E$12),1)))/(INDEX($A$19:$A$218,MATCH(M62,$A$19:INDEX($A$19:$A$218,$E$12),1)+1)-INDEX($A$19:$A$218,MATCH(M62,$A$19:INDEX($A$19:$A$218,$E$12),1))))))</f>
        <v/>
      </c>
      <c r="Y62">
        <f>IF(X62="","",X62*1000/$B$4)</f>
        <v/>
      </c>
    </row>
    <row r="63">
      <c r="A63" s="10" t="n"/>
      <c r="B63" s="10" t="n"/>
      <c r="C63" s="11">
        <f>IF(A63="","",$B$5*TAN(RADIANS(A63)))</f>
        <v/>
      </c>
      <c r="D63" s="11">
        <f>IF(C63="","",C63*(1+B63/100))</f>
        <v/>
      </c>
      <c r="E63" s="11">
        <f>IF(A63="","",$B$6*TAN(RADIANS(A63)))</f>
        <v/>
      </c>
      <c r="G63" s="12">
        <f>IF(U63="","",T63)</f>
        <v/>
      </c>
      <c r="H63" s="12">
        <f>IF(U63="","",$E$4+V63*COS(RADIANS($E$8))-W63*SIN(RADIANS($E$8)))</f>
        <v/>
      </c>
      <c r="I63" s="12">
        <f>IF(U63="","",$E$5+V63*SIN(RADIANS($E$8))+W63*COS(RADIANS($E$8)))</f>
        <v/>
      </c>
      <c r="J63" s="12">
        <f>IF(H63="","",H63-$B$7)</f>
        <v/>
      </c>
      <c r="K63" s="12">
        <f>IF(I63="","",I63-$B$8)</f>
        <v/>
      </c>
      <c r="L63" s="12">
        <f>IFERROR(SQRT(J63^2+K63^2)*$B$4/1000,"")</f>
        <v/>
      </c>
      <c r="M63" s="12">
        <f>IF(OR($E$13&lt;&gt;"OK",L63=""),"",IF(L63&lt;=$D$19,$A$19,IF(L63&gt;=INDEX($D$19:$D$218,$E$12),INDEX($A$19:$A$218,$E$12),INDEX($A$19:$A$218,MATCH(L63,$D$19:INDEX($D$19:$D$218,$E$12),1))+(L63-INDEX($D$19:$D$218,MATCH(L63,$D$19:INDEX($D$19:$D$218,$E$12),1)))*(INDEX($A$19:$A$218,MATCH(L63,$D$19:INDEX($D$19:$D$218,$E$12),1)+1)-INDEX($A$19:$A$218,MATCH(L63,$D$19:INDEX($D$19:$D$218,$E$12),1)))/(INDEX($D$19:$D$218,MATCH(L63,$D$19:INDEX($D$19:$D$218,$E$12),1)+1)-INDEX($D$19:$D$218,MATCH(L63,$D$19:INDEX($D$19:$D$218,$E$12),1))))))</f>
        <v/>
      </c>
      <c r="N63" s="12">
        <f>IF(M63="","",$B$6*TAN(RADIANS(M63)))</f>
        <v/>
      </c>
      <c r="O63" s="12">
        <f>IF(N63="","",IF(L63=0,0,-N63*J63/SQRT(J63^2+K63^2)))</f>
        <v/>
      </c>
      <c r="P63" s="12">
        <f>IF(N63="","",IF(L63=0,0,N63*K63/SQRT(J63^2+K63^2)))</f>
        <v/>
      </c>
      <c r="Q63" s="12">
        <f>IF(N63="","",IF(N63=0,$B$7,$B$7-Y63*O63/N63))</f>
        <v/>
      </c>
      <c r="R63" s="12">
        <f>IF(N63="","",IF(N63=0,$B$8,$B$8+Y63*P63/N63))</f>
        <v/>
      </c>
      <c r="S63" s="12">
        <f>IFERROR(SQRT((Q63-H63)^2+(R63-I63)^2),"")</f>
        <v/>
      </c>
      <c r="T63">
        <f>36</f>
        <v/>
      </c>
      <c r="U63">
        <f>IF(T63&gt;4*$E$9,"",MIN(INT(T63/$E$9)+1,4))</f>
        <v/>
      </c>
      <c r="V63">
        <f>IF(T63=4*$E$9,-$E$6/2,IF(U63="","",CHOOSE(U63,-$E$6/2+MOD(T63,$E$9)/$E$9*$E$6,$E$6/2,$E$6/2-MOD(T63,$E$9)/$E$9*$E$6,-$E$6/2)))</f>
        <v/>
      </c>
      <c r="W63">
        <f>IF(T63=4*$E$9,-$E$7/2,IF(U63="","",CHOOSE(U63,-$E$7/2,-$E$7/2+MOD(T63,$E$9)/$E$9*$E$7,$E$7/2,$E$7/2-MOD(T63,$E$9)/$E$9*$E$7)))</f>
        <v/>
      </c>
      <c r="X63">
        <f>IF(OR($E$13&lt;&gt;"OK",M63=""),"",IF(M63&lt;=$A$19,$D$19,IF(M63&gt;=INDEX($A$19:$A$218,$E$12),INDEX($D$19:$D$218,$E$12),INDEX($D$19:$D$218,MATCH(M63,$A$19:INDEX($A$19:$A$218,$E$12),1))+(M63-INDEX($A$19:$A$218,MATCH(M63,$A$19:INDEX($A$19:$A$218,$E$12),1)))*(INDEX($D$19:$D$218,MATCH(M63,$A$19:INDEX($A$19:$A$218,$E$12),1)+1)-INDEX($D$19:$D$218,MATCH(M63,$A$19:INDEX($A$19:$A$218,$E$12),1)))/(INDEX($A$19:$A$218,MATCH(M63,$A$19:INDEX($A$19:$A$218,$E$12),1)+1)-INDEX($A$19:$A$218,MATCH(M63,$A$19:INDEX($A$19:$A$218,$E$12),1))))))</f>
        <v/>
      </c>
      <c r="Y63">
        <f>IF(X63="","",X63*1000/$B$4)</f>
        <v/>
      </c>
    </row>
    <row r="64">
      <c r="A64" s="10" t="n"/>
      <c r="B64" s="10" t="n"/>
      <c r="C64" s="11">
        <f>IF(A64="","",$B$5*TAN(RADIANS(A64)))</f>
        <v/>
      </c>
      <c r="D64" s="11">
        <f>IF(C64="","",C64*(1+B64/100))</f>
        <v/>
      </c>
      <c r="E64" s="11">
        <f>IF(A64="","",$B$6*TAN(RADIANS(A64)))</f>
        <v/>
      </c>
      <c r="G64" s="12">
        <f>IF(U64="","",T64)</f>
        <v/>
      </c>
      <c r="H64" s="12">
        <f>IF(U64="","",$E$4+V64*COS(RADIANS($E$8))-W64*SIN(RADIANS($E$8)))</f>
        <v/>
      </c>
      <c r="I64" s="12">
        <f>IF(U64="","",$E$5+V64*SIN(RADIANS($E$8))+W64*COS(RADIANS($E$8)))</f>
        <v/>
      </c>
      <c r="J64" s="12">
        <f>IF(H64="","",H64-$B$7)</f>
        <v/>
      </c>
      <c r="K64" s="12">
        <f>IF(I64="","",I64-$B$8)</f>
        <v/>
      </c>
      <c r="L64" s="12">
        <f>IFERROR(SQRT(J64^2+K64^2)*$B$4/1000,"")</f>
        <v/>
      </c>
      <c r="M64" s="12">
        <f>IF(OR($E$13&lt;&gt;"OK",L64=""),"",IF(L64&lt;=$D$19,$A$19,IF(L64&gt;=INDEX($D$19:$D$218,$E$12),INDEX($A$19:$A$218,$E$12),INDEX($A$19:$A$218,MATCH(L64,$D$19:INDEX($D$19:$D$218,$E$12),1))+(L64-INDEX($D$19:$D$218,MATCH(L64,$D$19:INDEX($D$19:$D$218,$E$12),1)))*(INDEX($A$19:$A$218,MATCH(L64,$D$19:INDEX($D$19:$D$218,$E$12),1)+1)-INDEX($A$19:$A$218,MATCH(L64,$D$19:INDEX($D$19:$D$218,$E$12),1)))/(INDEX($D$19:$D$218,MATCH(L64,$D$19:INDEX($D$19:$D$218,$E$12),1)+1)-INDEX($D$19:$D$218,MATCH(L64,$D$19:INDEX($D$19:$D$218,$E$12),1))))))</f>
        <v/>
      </c>
      <c r="N64" s="12">
        <f>IF(M64="","",$B$6*TAN(RADIANS(M64)))</f>
        <v/>
      </c>
      <c r="O64" s="12">
        <f>IF(N64="","",IF(L64=0,0,-N64*J64/SQRT(J64^2+K64^2)))</f>
        <v/>
      </c>
      <c r="P64" s="12">
        <f>IF(N64="","",IF(L64=0,0,N64*K64/SQRT(J64^2+K64^2)))</f>
        <v/>
      </c>
      <c r="Q64" s="12">
        <f>IF(N64="","",IF(N64=0,$B$7,$B$7-Y64*O64/N64))</f>
        <v/>
      </c>
      <c r="R64" s="12">
        <f>IF(N64="","",IF(N64=0,$B$8,$B$8+Y64*P64/N64))</f>
        <v/>
      </c>
      <c r="S64" s="12">
        <f>IFERROR(SQRT((Q64-H64)^2+(R64-I64)^2),"")</f>
        <v/>
      </c>
      <c r="T64">
        <f>37</f>
        <v/>
      </c>
      <c r="U64">
        <f>IF(T64&gt;4*$E$9,"",MIN(INT(T64/$E$9)+1,4))</f>
        <v/>
      </c>
      <c r="V64">
        <f>IF(T64=4*$E$9,-$E$6/2,IF(U64="","",CHOOSE(U64,-$E$6/2+MOD(T64,$E$9)/$E$9*$E$6,$E$6/2,$E$6/2-MOD(T64,$E$9)/$E$9*$E$6,-$E$6/2)))</f>
        <v/>
      </c>
      <c r="W64">
        <f>IF(T64=4*$E$9,-$E$7/2,IF(U64="","",CHOOSE(U64,-$E$7/2,-$E$7/2+MOD(T64,$E$9)/$E$9*$E$7,$E$7/2,$E$7/2-MOD(T64,$E$9)/$E$9*$E$7)))</f>
        <v/>
      </c>
      <c r="X64">
        <f>IF(OR($E$13&lt;&gt;"OK",M64=""),"",IF(M64&lt;=$A$19,$D$19,IF(M64&gt;=INDEX($A$19:$A$218,$E$12),INDEX($D$19:$D$218,$E$12),INDEX($D$19:$D$218,MATCH(M64,$A$19:INDEX($A$19:$A$218,$E$12),1))+(M64-INDEX($A$19:$A$218,MATCH(M64,$A$19:INDEX($A$19:$A$218,$E$12),1)))*(INDEX($D$19:$D$218,MATCH(M64,$A$19:INDEX($A$19:$A$218,$E$12),1)+1)-INDEX($D$19:$D$218,MATCH(M64,$A$19:INDEX($A$19:$A$218,$E$12),1)))/(INDEX($A$19:$A$218,MATCH(M64,$A$19:INDEX($A$19:$A$218,$E$12),1)+1)-INDEX($A$19:$A$218,MATCH(M64,$A$19:INDEX($A$19:$A$218,$E$12),1))))))</f>
        <v/>
      </c>
      <c r="Y64">
        <f>IF(X64="","",X64*1000/$B$4)</f>
        <v/>
      </c>
    </row>
    <row r="65">
      <c r="A65" s="10" t="n"/>
      <c r="B65" s="10" t="n"/>
      <c r="C65" s="11">
        <f>IF(A65="","",$B$5*TAN(RADIANS(A65)))</f>
        <v/>
      </c>
      <c r="D65" s="11">
        <f>IF(C65="","",C65*(1+B65/100))</f>
        <v/>
      </c>
      <c r="E65" s="11">
        <f>IF(A65="","",$B$6*TAN(RADIANS(A65)))</f>
        <v/>
      </c>
      <c r="G65" s="12">
        <f>IF(U65="","",T65)</f>
        <v/>
      </c>
      <c r="H65" s="12">
        <f>IF(U65="","",$E$4+V65*COS(RADIANS($E$8))-W65*SIN(RADIANS($E$8)))</f>
        <v/>
      </c>
      <c r="I65" s="12">
        <f>IF(U65="","",$E$5+V65*SIN(RADIANS($E$8))+W65*COS(RADIANS($E$8)))</f>
        <v/>
      </c>
      <c r="J65" s="12">
        <f>IF(H65="","",H65-$B$7)</f>
        <v/>
      </c>
      <c r="K65" s="12">
        <f>IF(I65="","",I65-$B$8)</f>
        <v/>
      </c>
      <c r="L65" s="12">
        <f>IFERROR(SQRT(J65^2+K65^2)*$B$4/1000,"")</f>
        <v/>
      </c>
      <c r="M65" s="12">
        <f>IF(OR($E$13&lt;&gt;"OK",L65=""),"",IF(L65&lt;=$D$19,$A$19,IF(L65&gt;=INDEX($D$19:$D$218,$E$12),INDEX($A$19:$A$218,$E$12),INDEX($A$19:$A$218,MATCH(L65,$D$19:INDEX($D$19:$D$218,$E$12),1))+(L65-INDEX($D$19:$D$218,MATCH(L65,$D$19:INDEX($D$19:$D$218,$E$12),1)))*(INDEX($A$19:$A$218,MATCH(L65,$D$19:INDEX($D$19:$D$218,$E$12),1)+1)-INDEX($A$19:$A$218,MATCH(L65,$D$19:INDEX($D$19:$D$218,$E$12),1)))/(INDEX($D$19:$D$218,MATCH(L65,$D$19:INDEX($D$19:$D$218,$E$12),1)+1)-INDEX($D$19:$D$218,MATCH(L65,$D$19:INDEX($D$19:$D$218,$E$12),1))))))</f>
        <v/>
      </c>
      <c r="N65" s="12">
        <f>IF(M65="","",$B$6*TAN(RADIANS(M65)))</f>
        <v/>
      </c>
      <c r="O65" s="12">
        <f>IF(N65="","",IF(L65=0,0,-N65*J65/SQRT(J65^2+K65^2)))</f>
        <v/>
      </c>
      <c r="P65" s="12">
        <f>IF(N65="","",IF(L65=0,0,N65*K65/SQRT(J65^2+K65^2)))</f>
        <v/>
      </c>
      <c r="Q65" s="12">
        <f>IF(N65="","",IF(N65=0,$B$7,$B$7-Y65*O65/N65))</f>
        <v/>
      </c>
      <c r="R65" s="12">
        <f>IF(N65="","",IF(N65=0,$B$8,$B$8+Y65*P65/N65))</f>
        <v/>
      </c>
      <c r="S65" s="12">
        <f>IFERROR(SQRT((Q65-H65)^2+(R65-I65)^2),"")</f>
        <v/>
      </c>
      <c r="T65">
        <f>38</f>
        <v/>
      </c>
      <c r="U65">
        <f>IF(T65&gt;4*$E$9,"",MIN(INT(T65/$E$9)+1,4))</f>
        <v/>
      </c>
      <c r="V65">
        <f>IF(T65=4*$E$9,-$E$6/2,IF(U65="","",CHOOSE(U65,-$E$6/2+MOD(T65,$E$9)/$E$9*$E$6,$E$6/2,$E$6/2-MOD(T65,$E$9)/$E$9*$E$6,-$E$6/2)))</f>
        <v/>
      </c>
      <c r="W65">
        <f>IF(T65=4*$E$9,-$E$7/2,IF(U65="","",CHOOSE(U65,-$E$7/2,-$E$7/2+MOD(T65,$E$9)/$E$9*$E$7,$E$7/2,$E$7/2-MOD(T65,$E$9)/$E$9*$E$7)))</f>
        <v/>
      </c>
      <c r="X65">
        <f>IF(OR($E$13&lt;&gt;"OK",M65=""),"",IF(M65&lt;=$A$19,$D$19,IF(M65&gt;=INDEX($A$19:$A$218,$E$12),INDEX($D$19:$D$218,$E$12),INDEX($D$19:$D$218,MATCH(M65,$A$19:INDEX($A$19:$A$218,$E$12),1))+(M65-INDEX($A$19:$A$218,MATCH(M65,$A$19:INDEX($A$19:$A$218,$E$12),1)))*(INDEX($D$19:$D$218,MATCH(M65,$A$19:INDEX($A$19:$A$218,$E$12),1)+1)-INDEX($D$19:$D$218,MATCH(M65,$A$19:INDEX($A$19:$A$218,$E$12),1)))/(INDEX($A$19:$A$218,MATCH(M65,$A$19:INDEX($A$19:$A$218,$E$12),1)+1)-INDEX($A$19:$A$218,MATCH(M65,$A$19:INDEX($A$19:$A$218,$E$12),1))))))</f>
        <v/>
      </c>
      <c r="Y65">
        <f>IF(X65="","",X65*1000/$B$4)</f>
        <v/>
      </c>
    </row>
    <row r="66">
      <c r="A66" s="10" t="n"/>
      <c r="B66" s="10" t="n"/>
      <c r="C66" s="11">
        <f>IF(A66="","",$B$5*TAN(RADIANS(A66)))</f>
        <v/>
      </c>
      <c r="D66" s="11">
        <f>IF(C66="","",C66*(1+B66/100))</f>
        <v/>
      </c>
      <c r="E66" s="11">
        <f>IF(A66="","",$B$6*TAN(RADIANS(A66)))</f>
        <v/>
      </c>
      <c r="G66" s="12">
        <f>IF(U66="","",T66)</f>
        <v/>
      </c>
      <c r="H66" s="12">
        <f>IF(U66="","",$E$4+V66*COS(RADIANS($E$8))-W66*SIN(RADIANS($E$8)))</f>
        <v/>
      </c>
      <c r="I66" s="12">
        <f>IF(U66="","",$E$5+V66*SIN(RADIANS($E$8))+W66*COS(RADIANS($E$8)))</f>
        <v/>
      </c>
      <c r="J66" s="12">
        <f>IF(H66="","",H66-$B$7)</f>
        <v/>
      </c>
      <c r="K66" s="12">
        <f>IF(I66="","",I66-$B$8)</f>
        <v/>
      </c>
      <c r="L66" s="12">
        <f>IFERROR(SQRT(J66^2+K66^2)*$B$4/1000,"")</f>
        <v/>
      </c>
      <c r="M66" s="12">
        <f>IF(OR($E$13&lt;&gt;"OK",L66=""),"",IF(L66&lt;=$D$19,$A$19,IF(L66&gt;=INDEX($D$19:$D$218,$E$12),INDEX($A$19:$A$218,$E$12),INDEX($A$19:$A$218,MATCH(L66,$D$19:INDEX($D$19:$D$218,$E$12),1))+(L66-INDEX($D$19:$D$218,MATCH(L66,$D$19:INDEX($D$19:$D$218,$E$12),1)))*(INDEX($A$19:$A$218,MATCH(L66,$D$19:INDEX($D$19:$D$218,$E$12),1)+1)-INDEX($A$19:$A$218,MATCH(L66,$D$19:INDEX($D$19:$D$218,$E$12),1)))/(INDEX($D$19:$D$218,MATCH(L66,$D$19:INDEX($D$19:$D$218,$E$12),1)+1)-INDEX($D$19:$D$218,MATCH(L66,$D$19:INDEX($D$19:$D$218,$E$12),1))))))</f>
        <v/>
      </c>
      <c r="N66" s="12">
        <f>IF(M66="","",$B$6*TAN(RADIANS(M66)))</f>
        <v/>
      </c>
      <c r="O66" s="12">
        <f>IF(N66="","",IF(L66=0,0,-N66*J66/SQRT(J66^2+K66^2)))</f>
        <v/>
      </c>
      <c r="P66" s="12">
        <f>IF(N66="","",IF(L66=0,0,N66*K66/SQRT(J66^2+K66^2)))</f>
        <v/>
      </c>
      <c r="Q66" s="12">
        <f>IF(N66="","",IF(N66=0,$B$7,$B$7-Y66*O66/N66))</f>
        <v/>
      </c>
      <c r="R66" s="12">
        <f>IF(N66="","",IF(N66=0,$B$8,$B$8+Y66*P66/N66))</f>
        <v/>
      </c>
      <c r="S66" s="12">
        <f>IFERROR(SQRT((Q66-H66)^2+(R66-I66)^2),"")</f>
        <v/>
      </c>
      <c r="T66">
        <f>39</f>
        <v/>
      </c>
      <c r="U66">
        <f>IF(T66&gt;4*$E$9,"",MIN(INT(T66/$E$9)+1,4))</f>
        <v/>
      </c>
      <c r="V66">
        <f>IF(T66=4*$E$9,-$E$6/2,IF(U66="","",CHOOSE(U66,-$E$6/2+MOD(T66,$E$9)/$E$9*$E$6,$E$6/2,$E$6/2-MOD(T66,$E$9)/$E$9*$E$6,-$E$6/2)))</f>
        <v/>
      </c>
      <c r="W66">
        <f>IF(T66=4*$E$9,-$E$7/2,IF(U66="","",CHOOSE(U66,-$E$7/2,-$E$7/2+MOD(T66,$E$9)/$E$9*$E$7,$E$7/2,$E$7/2-MOD(T66,$E$9)/$E$9*$E$7)))</f>
        <v/>
      </c>
      <c r="X66">
        <f>IF(OR($E$13&lt;&gt;"OK",M66=""),"",IF(M66&lt;=$A$19,$D$19,IF(M66&gt;=INDEX($A$19:$A$218,$E$12),INDEX($D$19:$D$218,$E$12),INDEX($D$19:$D$218,MATCH(M66,$A$19:INDEX($A$19:$A$218,$E$12),1))+(M66-INDEX($A$19:$A$218,MATCH(M66,$A$19:INDEX($A$19:$A$218,$E$12),1)))*(INDEX($D$19:$D$218,MATCH(M66,$A$19:INDEX($A$19:$A$218,$E$12),1)+1)-INDEX($D$19:$D$218,MATCH(M66,$A$19:INDEX($A$19:$A$218,$E$12),1)))/(INDEX($A$19:$A$218,MATCH(M66,$A$19:INDEX($A$19:$A$218,$E$12),1)+1)-INDEX($A$19:$A$218,MATCH(M66,$A$19:INDEX($A$19:$A$218,$E$12),1))))))</f>
        <v/>
      </c>
      <c r="Y66">
        <f>IF(X66="","",X66*1000/$B$4)</f>
        <v/>
      </c>
    </row>
    <row r="67">
      <c r="A67" s="10" t="n"/>
      <c r="B67" s="10" t="n"/>
      <c r="C67" s="11">
        <f>IF(A67="","",$B$5*TAN(RADIANS(A67)))</f>
        <v/>
      </c>
      <c r="D67" s="11">
        <f>IF(C67="","",C67*(1+B67/100))</f>
        <v/>
      </c>
      <c r="E67" s="11">
        <f>IF(A67="","",$B$6*TAN(RADIANS(A67)))</f>
        <v/>
      </c>
      <c r="G67" s="12">
        <f>IF(U67="","",T67)</f>
        <v/>
      </c>
      <c r="H67" s="12">
        <f>IF(U67="","",$E$4+V67*COS(RADIANS($E$8))-W67*SIN(RADIANS($E$8)))</f>
        <v/>
      </c>
      <c r="I67" s="12">
        <f>IF(U67="","",$E$5+V67*SIN(RADIANS($E$8))+W67*COS(RADIANS($E$8)))</f>
        <v/>
      </c>
      <c r="J67" s="12">
        <f>IF(H67="","",H67-$B$7)</f>
        <v/>
      </c>
      <c r="K67" s="12">
        <f>IF(I67="","",I67-$B$8)</f>
        <v/>
      </c>
      <c r="L67" s="12">
        <f>IFERROR(SQRT(J67^2+K67^2)*$B$4/1000,"")</f>
        <v/>
      </c>
      <c r="M67" s="12">
        <f>IF(OR($E$13&lt;&gt;"OK",L67=""),"",IF(L67&lt;=$D$19,$A$19,IF(L67&gt;=INDEX($D$19:$D$218,$E$12),INDEX($A$19:$A$218,$E$12),INDEX($A$19:$A$218,MATCH(L67,$D$19:INDEX($D$19:$D$218,$E$12),1))+(L67-INDEX($D$19:$D$218,MATCH(L67,$D$19:INDEX($D$19:$D$218,$E$12),1)))*(INDEX($A$19:$A$218,MATCH(L67,$D$19:INDEX($D$19:$D$218,$E$12),1)+1)-INDEX($A$19:$A$218,MATCH(L67,$D$19:INDEX($D$19:$D$218,$E$12),1)))/(INDEX($D$19:$D$218,MATCH(L67,$D$19:INDEX($D$19:$D$218,$E$12),1)+1)-INDEX($D$19:$D$218,MATCH(L67,$D$19:INDEX($D$19:$D$218,$E$12),1))))))</f>
        <v/>
      </c>
      <c r="N67" s="12">
        <f>IF(M67="","",$B$6*TAN(RADIANS(M67)))</f>
        <v/>
      </c>
      <c r="O67" s="12">
        <f>IF(N67="","",IF(L67=0,0,-N67*J67/SQRT(J67^2+K67^2)))</f>
        <v/>
      </c>
      <c r="P67" s="12">
        <f>IF(N67="","",IF(L67=0,0,N67*K67/SQRT(J67^2+K67^2)))</f>
        <v/>
      </c>
      <c r="Q67" s="12">
        <f>IF(N67="","",IF(N67=0,$B$7,$B$7-Y67*O67/N67))</f>
        <v/>
      </c>
      <c r="R67" s="12">
        <f>IF(N67="","",IF(N67=0,$B$8,$B$8+Y67*P67/N67))</f>
        <v/>
      </c>
      <c r="S67" s="12">
        <f>IFERROR(SQRT((Q67-H67)^2+(R67-I67)^2),"")</f>
        <v/>
      </c>
      <c r="T67">
        <f>40</f>
        <v/>
      </c>
      <c r="U67">
        <f>IF(T67&gt;4*$E$9,"",MIN(INT(T67/$E$9)+1,4))</f>
        <v/>
      </c>
      <c r="V67">
        <f>IF(T67=4*$E$9,-$E$6/2,IF(U67="","",CHOOSE(U67,-$E$6/2+MOD(T67,$E$9)/$E$9*$E$6,$E$6/2,$E$6/2-MOD(T67,$E$9)/$E$9*$E$6,-$E$6/2)))</f>
        <v/>
      </c>
      <c r="W67">
        <f>IF(T67=4*$E$9,-$E$7/2,IF(U67="","",CHOOSE(U67,-$E$7/2,-$E$7/2+MOD(T67,$E$9)/$E$9*$E$7,$E$7/2,$E$7/2-MOD(T67,$E$9)/$E$9*$E$7)))</f>
        <v/>
      </c>
      <c r="X67">
        <f>IF(OR($E$13&lt;&gt;"OK",M67=""),"",IF(M67&lt;=$A$19,$D$19,IF(M67&gt;=INDEX($A$19:$A$218,$E$12),INDEX($D$19:$D$218,$E$12),INDEX($D$19:$D$218,MATCH(M67,$A$19:INDEX($A$19:$A$218,$E$12),1))+(M67-INDEX($A$19:$A$218,MATCH(M67,$A$19:INDEX($A$19:$A$218,$E$12),1)))*(INDEX($D$19:$D$218,MATCH(M67,$A$19:INDEX($A$19:$A$218,$E$12),1)+1)-INDEX($D$19:$D$218,MATCH(M67,$A$19:INDEX($A$19:$A$218,$E$12),1)))/(INDEX($A$19:$A$218,MATCH(M67,$A$19:INDEX($A$19:$A$218,$E$12),1)+1)-INDEX($A$19:$A$218,MATCH(M67,$A$19:INDEX($A$19:$A$218,$E$12),1))))))</f>
        <v/>
      </c>
      <c r="Y67">
        <f>IF(X67="","",X67*1000/$B$4)</f>
        <v/>
      </c>
    </row>
    <row r="68">
      <c r="A68" s="10" t="n"/>
      <c r="B68" s="10" t="n"/>
      <c r="C68" s="11">
        <f>IF(A68="","",$B$5*TAN(RADIANS(A68)))</f>
        <v/>
      </c>
      <c r="D68" s="11">
        <f>IF(C68="","",C68*(1+B68/100))</f>
        <v/>
      </c>
      <c r="E68" s="11">
        <f>IF(A68="","",$B$6*TAN(RADIANS(A68)))</f>
        <v/>
      </c>
      <c r="G68" s="12">
        <f>IF(U68="","",T68)</f>
        <v/>
      </c>
      <c r="H68" s="12">
        <f>IF(U68="","",$E$4+V68*COS(RADIANS($E$8))-W68*SIN(RADIANS($E$8)))</f>
        <v/>
      </c>
      <c r="I68" s="12">
        <f>IF(U68="","",$E$5+V68*SIN(RADIANS($E$8))+W68*COS(RADIANS($E$8)))</f>
        <v/>
      </c>
      <c r="J68" s="12">
        <f>IF(H68="","",H68-$B$7)</f>
        <v/>
      </c>
      <c r="K68" s="12">
        <f>IF(I68="","",I68-$B$8)</f>
        <v/>
      </c>
      <c r="L68" s="12">
        <f>IFERROR(SQRT(J68^2+K68^2)*$B$4/1000,"")</f>
        <v/>
      </c>
      <c r="M68" s="12">
        <f>IF(OR($E$13&lt;&gt;"OK",L68=""),"",IF(L68&lt;=$D$19,$A$19,IF(L68&gt;=INDEX($D$19:$D$218,$E$12),INDEX($A$19:$A$218,$E$12),INDEX($A$19:$A$218,MATCH(L68,$D$19:INDEX($D$19:$D$218,$E$12),1))+(L68-INDEX($D$19:$D$218,MATCH(L68,$D$19:INDEX($D$19:$D$218,$E$12),1)))*(INDEX($A$19:$A$218,MATCH(L68,$D$19:INDEX($D$19:$D$218,$E$12),1)+1)-INDEX($A$19:$A$218,MATCH(L68,$D$19:INDEX($D$19:$D$218,$E$12),1)))/(INDEX($D$19:$D$218,MATCH(L68,$D$19:INDEX($D$19:$D$218,$E$12),1)+1)-INDEX($D$19:$D$218,MATCH(L68,$D$19:INDEX($D$19:$D$218,$E$12),1))))))</f>
        <v/>
      </c>
      <c r="N68" s="12">
        <f>IF(M68="","",$B$6*TAN(RADIANS(M68)))</f>
        <v/>
      </c>
      <c r="O68" s="12">
        <f>IF(N68="","",IF(L68=0,0,-N68*J68/SQRT(J68^2+K68^2)))</f>
        <v/>
      </c>
      <c r="P68" s="12">
        <f>IF(N68="","",IF(L68=0,0,N68*K68/SQRT(J68^2+K68^2)))</f>
        <v/>
      </c>
      <c r="Q68" s="12">
        <f>IF(N68="","",IF(N68=0,$B$7,$B$7-Y68*O68/N68))</f>
        <v/>
      </c>
      <c r="R68" s="12">
        <f>IF(N68="","",IF(N68=0,$B$8,$B$8+Y68*P68/N68))</f>
        <v/>
      </c>
      <c r="S68" s="12">
        <f>IFERROR(SQRT((Q68-H68)^2+(R68-I68)^2),"")</f>
        <v/>
      </c>
      <c r="T68">
        <f>41</f>
        <v/>
      </c>
      <c r="U68">
        <f>IF(T68&gt;4*$E$9,"",MIN(INT(T68/$E$9)+1,4))</f>
        <v/>
      </c>
      <c r="V68">
        <f>IF(T68=4*$E$9,-$E$6/2,IF(U68="","",CHOOSE(U68,-$E$6/2+MOD(T68,$E$9)/$E$9*$E$6,$E$6/2,$E$6/2-MOD(T68,$E$9)/$E$9*$E$6,-$E$6/2)))</f>
        <v/>
      </c>
      <c r="W68">
        <f>IF(T68=4*$E$9,-$E$7/2,IF(U68="","",CHOOSE(U68,-$E$7/2,-$E$7/2+MOD(T68,$E$9)/$E$9*$E$7,$E$7/2,$E$7/2-MOD(T68,$E$9)/$E$9*$E$7)))</f>
        <v/>
      </c>
      <c r="X68">
        <f>IF(OR($E$13&lt;&gt;"OK",M68=""),"",IF(M68&lt;=$A$19,$D$19,IF(M68&gt;=INDEX($A$19:$A$218,$E$12),INDEX($D$19:$D$218,$E$12),INDEX($D$19:$D$218,MATCH(M68,$A$19:INDEX($A$19:$A$218,$E$12),1))+(M68-INDEX($A$19:$A$218,MATCH(M68,$A$19:INDEX($A$19:$A$218,$E$12),1)))*(INDEX($D$19:$D$218,MATCH(M68,$A$19:INDEX($A$19:$A$218,$E$12),1)+1)-INDEX($D$19:$D$218,MATCH(M68,$A$19:INDEX($A$19:$A$218,$E$12),1)))/(INDEX($A$19:$A$218,MATCH(M68,$A$19:INDEX($A$19:$A$218,$E$12),1)+1)-INDEX($A$19:$A$218,MATCH(M68,$A$19:INDEX($A$19:$A$218,$E$12),1))))))</f>
        <v/>
      </c>
      <c r="Y68">
        <f>IF(X68="","",X68*1000/$B$4)</f>
        <v/>
      </c>
    </row>
    <row r="69">
      <c r="A69" s="10" t="n"/>
      <c r="B69" s="10" t="n"/>
      <c r="C69" s="11">
        <f>IF(A69="","",$B$5*TAN(RADIANS(A69)))</f>
        <v/>
      </c>
      <c r="D69" s="11">
        <f>IF(C69="","",C69*(1+B69/100))</f>
        <v/>
      </c>
      <c r="E69" s="11">
        <f>IF(A69="","",$B$6*TAN(RADIANS(A69)))</f>
        <v/>
      </c>
      <c r="G69" s="12">
        <f>IF(U69="","",T69)</f>
        <v/>
      </c>
      <c r="H69" s="12">
        <f>IF(U69="","",$E$4+V69*COS(RADIANS($E$8))-W69*SIN(RADIANS($E$8)))</f>
        <v/>
      </c>
      <c r="I69" s="12">
        <f>IF(U69="","",$E$5+V69*SIN(RADIANS($E$8))+W69*COS(RADIANS($E$8)))</f>
        <v/>
      </c>
      <c r="J69" s="12">
        <f>IF(H69="","",H69-$B$7)</f>
        <v/>
      </c>
      <c r="K69" s="12">
        <f>IF(I69="","",I69-$B$8)</f>
        <v/>
      </c>
      <c r="L69" s="12">
        <f>IFERROR(SQRT(J69^2+K69^2)*$B$4/1000,"")</f>
        <v/>
      </c>
      <c r="M69" s="12">
        <f>IF(OR($E$13&lt;&gt;"OK",L69=""),"",IF(L69&lt;=$D$19,$A$19,IF(L69&gt;=INDEX($D$19:$D$218,$E$12),INDEX($A$19:$A$218,$E$12),INDEX($A$19:$A$218,MATCH(L69,$D$19:INDEX($D$19:$D$218,$E$12),1))+(L69-INDEX($D$19:$D$218,MATCH(L69,$D$19:INDEX($D$19:$D$218,$E$12),1)))*(INDEX($A$19:$A$218,MATCH(L69,$D$19:INDEX($D$19:$D$218,$E$12),1)+1)-INDEX($A$19:$A$218,MATCH(L69,$D$19:INDEX($D$19:$D$218,$E$12),1)))/(INDEX($D$19:$D$218,MATCH(L69,$D$19:INDEX($D$19:$D$218,$E$12),1)+1)-INDEX($D$19:$D$218,MATCH(L69,$D$19:INDEX($D$19:$D$218,$E$12),1))))))</f>
        <v/>
      </c>
      <c r="N69" s="12">
        <f>IF(M69="","",$B$6*TAN(RADIANS(M69)))</f>
        <v/>
      </c>
      <c r="O69" s="12">
        <f>IF(N69="","",IF(L69=0,0,-N69*J69/SQRT(J69^2+K69^2)))</f>
        <v/>
      </c>
      <c r="P69" s="12">
        <f>IF(N69="","",IF(L69=0,0,N69*K69/SQRT(J69^2+K69^2)))</f>
        <v/>
      </c>
      <c r="Q69" s="12">
        <f>IF(N69="","",IF(N69=0,$B$7,$B$7-Y69*O69/N69))</f>
        <v/>
      </c>
      <c r="R69" s="12">
        <f>IF(N69="","",IF(N69=0,$B$8,$B$8+Y69*P69/N69))</f>
        <v/>
      </c>
      <c r="S69" s="12">
        <f>IFERROR(SQRT((Q69-H69)^2+(R69-I69)^2),"")</f>
        <v/>
      </c>
      <c r="T69">
        <f>42</f>
        <v/>
      </c>
      <c r="U69">
        <f>IF(T69&gt;4*$E$9,"",MIN(INT(T69/$E$9)+1,4))</f>
        <v/>
      </c>
      <c r="V69">
        <f>IF(T69=4*$E$9,-$E$6/2,IF(U69="","",CHOOSE(U69,-$E$6/2+MOD(T69,$E$9)/$E$9*$E$6,$E$6/2,$E$6/2-MOD(T69,$E$9)/$E$9*$E$6,-$E$6/2)))</f>
        <v/>
      </c>
      <c r="W69">
        <f>IF(T69=4*$E$9,-$E$7/2,IF(U69="","",CHOOSE(U69,-$E$7/2,-$E$7/2+MOD(T69,$E$9)/$E$9*$E$7,$E$7/2,$E$7/2-MOD(T69,$E$9)/$E$9*$E$7)))</f>
        <v/>
      </c>
      <c r="X69">
        <f>IF(OR($E$13&lt;&gt;"OK",M69=""),"",IF(M69&lt;=$A$19,$D$19,IF(M69&gt;=INDEX($A$19:$A$218,$E$12),INDEX($D$19:$D$218,$E$12),INDEX($D$19:$D$218,MATCH(M69,$A$19:INDEX($A$19:$A$218,$E$12),1))+(M69-INDEX($A$19:$A$218,MATCH(M69,$A$19:INDEX($A$19:$A$218,$E$12),1)))*(INDEX($D$19:$D$218,MATCH(M69,$A$19:INDEX($A$19:$A$218,$E$12),1)+1)-INDEX($D$19:$D$218,MATCH(M69,$A$19:INDEX($A$19:$A$218,$E$12),1)))/(INDEX($A$19:$A$218,MATCH(M69,$A$19:INDEX($A$19:$A$218,$E$12),1)+1)-INDEX($A$19:$A$218,MATCH(M69,$A$19:INDEX($A$19:$A$218,$E$12),1))))))</f>
        <v/>
      </c>
      <c r="Y69">
        <f>IF(X69="","",X69*1000/$B$4)</f>
        <v/>
      </c>
    </row>
    <row r="70">
      <c r="A70" s="10" t="n"/>
      <c r="B70" s="10" t="n"/>
      <c r="C70" s="11">
        <f>IF(A70="","",$B$5*TAN(RADIANS(A70)))</f>
        <v/>
      </c>
      <c r="D70" s="11">
        <f>IF(C70="","",C70*(1+B70/100))</f>
        <v/>
      </c>
      <c r="E70" s="11">
        <f>IF(A70="","",$B$6*TAN(RADIANS(A70)))</f>
        <v/>
      </c>
      <c r="G70" s="12">
        <f>IF(U70="","",T70)</f>
        <v/>
      </c>
      <c r="H70" s="12">
        <f>IF(U70="","",$E$4+V70*COS(RADIANS($E$8))-W70*SIN(RADIANS($E$8)))</f>
        <v/>
      </c>
      <c r="I70" s="12">
        <f>IF(U70="","",$E$5+V70*SIN(RADIANS($E$8))+W70*COS(RADIANS($E$8)))</f>
        <v/>
      </c>
      <c r="J70" s="12">
        <f>IF(H70="","",H70-$B$7)</f>
        <v/>
      </c>
      <c r="K70" s="12">
        <f>IF(I70="","",I70-$B$8)</f>
        <v/>
      </c>
      <c r="L70" s="12">
        <f>IFERROR(SQRT(J70^2+K70^2)*$B$4/1000,"")</f>
        <v/>
      </c>
      <c r="M70" s="12">
        <f>IF(OR($E$13&lt;&gt;"OK",L70=""),"",IF(L70&lt;=$D$19,$A$19,IF(L70&gt;=INDEX($D$19:$D$218,$E$12),INDEX($A$19:$A$218,$E$12),INDEX($A$19:$A$218,MATCH(L70,$D$19:INDEX($D$19:$D$218,$E$12),1))+(L70-INDEX($D$19:$D$218,MATCH(L70,$D$19:INDEX($D$19:$D$218,$E$12),1)))*(INDEX($A$19:$A$218,MATCH(L70,$D$19:INDEX($D$19:$D$218,$E$12),1)+1)-INDEX($A$19:$A$218,MATCH(L70,$D$19:INDEX($D$19:$D$218,$E$12),1)))/(INDEX($D$19:$D$218,MATCH(L70,$D$19:INDEX($D$19:$D$218,$E$12),1)+1)-INDEX($D$19:$D$218,MATCH(L70,$D$19:INDEX($D$19:$D$218,$E$12),1))))))</f>
        <v/>
      </c>
      <c r="N70" s="12">
        <f>IF(M70="","",$B$6*TAN(RADIANS(M70)))</f>
        <v/>
      </c>
      <c r="O70" s="12">
        <f>IF(N70="","",IF(L70=0,0,-N70*J70/SQRT(J70^2+K70^2)))</f>
        <v/>
      </c>
      <c r="P70" s="12">
        <f>IF(N70="","",IF(L70=0,0,N70*K70/SQRT(J70^2+K70^2)))</f>
        <v/>
      </c>
      <c r="Q70" s="12">
        <f>IF(N70="","",IF(N70=0,$B$7,$B$7-Y70*O70/N70))</f>
        <v/>
      </c>
      <c r="R70" s="12">
        <f>IF(N70="","",IF(N70=0,$B$8,$B$8+Y70*P70/N70))</f>
        <v/>
      </c>
      <c r="S70" s="12">
        <f>IFERROR(SQRT((Q70-H70)^2+(R70-I70)^2),"")</f>
        <v/>
      </c>
      <c r="T70">
        <f>43</f>
        <v/>
      </c>
      <c r="U70">
        <f>IF(T70&gt;4*$E$9,"",MIN(INT(T70/$E$9)+1,4))</f>
        <v/>
      </c>
      <c r="V70">
        <f>IF(T70=4*$E$9,-$E$6/2,IF(U70="","",CHOOSE(U70,-$E$6/2+MOD(T70,$E$9)/$E$9*$E$6,$E$6/2,$E$6/2-MOD(T70,$E$9)/$E$9*$E$6,-$E$6/2)))</f>
        <v/>
      </c>
      <c r="W70">
        <f>IF(T70=4*$E$9,-$E$7/2,IF(U70="","",CHOOSE(U70,-$E$7/2,-$E$7/2+MOD(T70,$E$9)/$E$9*$E$7,$E$7/2,$E$7/2-MOD(T70,$E$9)/$E$9*$E$7)))</f>
        <v/>
      </c>
      <c r="X70">
        <f>IF(OR($E$13&lt;&gt;"OK",M70=""),"",IF(M70&lt;=$A$19,$D$19,IF(M70&gt;=INDEX($A$19:$A$218,$E$12),INDEX($D$19:$D$218,$E$12),INDEX($D$19:$D$218,MATCH(M70,$A$19:INDEX($A$19:$A$218,$E$12),1))+(M70-INDEX($A$19:$A$218,MATCH(M70,$A$19:INDEX($A$19:$A$218,$E$12),1)))*(INDEX($D$19:$D$218,MATCH(M70,$A$19:INDEX($A$19:$A$218,$E$12),1)+1)-INDEX($D$19:$D$218,MATCH(M70,$A$19:INDEX($A$19:$A$218,$E$12),1)))/(INDEX($A$19:$A$218,MATCH(M70,$A$19:INDEX($A$19:$A$218,$E$12),1)+1)-INDEX($A$19:$A$218,MATCH(M70,$A$19:INDEX($A$19:$A$218,$E$12),1))))))</f>
        <v/>
      </c>
      <c r="Y70">
        <f>IF(X70="","",X70*1000/$B$4)</f>
        <v/>
      </c>
    </row>
    <row r="71">
      <c r="A71" s="10" t="n"/>
      <c r="B71" s="10" t="n"/>
      <c r="C71" s="11">
        <f>IF(A71="","",$B$5*TAN(RADIANS(A71)))</f>
        <v/>
      </c>
      <c r="D71" s="11">
        <f>IF(C71="","",C71*(1+B71/100))</f>
        <v/>
      </c>
      <c r="E71" s="11">
        <f>IF(A71="","",$B$6*TAN(RADIANS(A71)))</f>
        <v/>
      </c>
      <c r="G71" s="12">
        <f>IF(U71="","",T71)</f>
        <v/>
      </c>
      <c r="H71" s="12">
        <f>IF(U71="","",$E$4+V71*COS(RADIANS($E$8))-W71*SIN(RADIANS($E$8)))</f>
        <v/>
      </c>
      <c r="I71" s="12">
        <f>IF(U71="","",$E$5+V71*SIN(RADIANS($E$8))+W71*COS(RADIANS($E$8)))</f>
        <v/>
      </c>
      <c r="J71" s="12">
        <f>IF(H71="","",H71-$B$7)</f>
        <v/>
      </c>
      <c r="K71" s="12">
        <f>IF(I71="","",I71-$B$8)</f>
        <v/>
      </c>
      <c r="L71" s="12">
        <f>IFERROR(SQRT(J71^2+K71^2)*$B$4/1000,"")</f>
        <v/>
      </c>
      <c r="M71" s="12">
        <f>IF(OR($E$13&lt;&gt;"OK",L71=""),"",IF(L71&lt;=$D$19,$A$19,IF(L71&gt;=INDEX($D$19:$D$218,$E$12),INDEX($A$19:$A$218,$E$12),INDEX($A$19:$A$218,MATCH(L71,$D$19:INDEX($D$19:$D$218,$E$12),1))+(L71-INDEX($D$19:$D$218,MATCH(L71,$D$19:INDEX($D$19:$D$218,$E$12),1)))*(INDEX($A$19:$A$218,MATCH(L71,$D$19:INDEX($D$19:$D$218,$E$12),1)+1)-INDEX($A$19:$A$218,MATCH(L71,$D$19:INDEX($D$19:$D$218,$E$12),1)))/(INDEX($D$19:$D$218,MATCH(L71,$D$19:INDEX($D$19:$D$218,$E$12),1)+1)-INDEX($D$19:$D$218,MATCH(L71,$D$19:INDEX($D$19:$D$218,$E$12),1))))))</f>
        <v/>
      </c>
      <c r="N71" s="12">
        <f>IF(M71="","",$B$6*TAN(RADIANS(M71)))</f>
        <v/>
      </c>
      <c r="O71" s="12">
        <f>IF(N71="","",IF(L71=0,0,-N71*J71/SQRT(J71^2+K71^2)))</f>
        <v/>
      </c>
      <c r="P71" s="12">
        <f>IF(N71="","",IF(L71=0,0,N71*K71/SQRT(J71^2+K71^2)))</f>
        <v/>
      </c>
      <c r="Q71" s="12">
        <f>IF(N71="","",IF(N71=0,$B$7,$B$7-Y71*O71/N71))</f>
        <v/>
      </c>
      <c r="R71" s="12">
        <f>IF(N71="","",IF(N71=0,$B$8,$B$8+Y71*P71/N71))</f>
        <v/>
      </c>
      <c r="S71" s="12">
        <f>IFERROR(SQRT((Q71-H71)^2+(R71-I71)^2),"")</f>
        <v/>
      </c>
      <c r="T71">
        <f>44</f>
        <v/>
      </c>
      <c r="U71">
        <f>IF(T71&gt;4*$E$9,"",MIN(INT(T71/$E$9)+1,4))</f>
        <v/>
      </c>
      <c r="V71">
        <f>IF(T71=4*$E$9,-$E$6/2,IF(U71="","",CHOOSE(U71,-$E$6/2+MOD(T71,$E$9)/$E$9*$E$6,$E$6/2,$E$6/2-MOD(T71,$E$9)/$E$9*$E$6,-$E$6/2)))</f>
        <v/>
      </c>
      <c r="W71">
        <f>IF(T71=4*$E$9,-$E$7/2,IF(U71="","",CHOOSE(U71,-$E$7/2,-$E$7/2+MOD(T71,$E$9)/$E$9*$E$7,$E$7/2,$E$7/2-MOD(T71,$E$9)/$E$9*$E$7)))</f>
        <v/>
      </c>
      <c r="X71">
        <f>IF(OR($E$13&lt;&gt;"OK",M71=""),"",IF(M71&lt;=$A$19,$D$19,IF(M71&gt;=INDEX($A$19:$A$218,$E$12),INDEX($D$19:$D$218,$E$12),INDEX($D$19:$D$218,MATCH(M71,$A$19:INDEX($A$19:$A$218,$E$12),1))+(M71-INDEX($A$19:$A$218,MATCH(M71,$A$19:INDEX($A$19:$A$218,$E$12),1)))*(INDEX($D$19:$D$218,MATCH(M71,$A$19:INDEX($A$19:$A$218,$E$12),1)+1)-INDEX($D$19:$D$218,MATCH(M71,$A$19:INDEX($A$19:$A$218,$E$12),1)))/(INDEX($A$19:$A$218,MATCH(M71,$A$19:INDEX($A$19:$A$218,$E$12),1)+1)-INDEX($A$19:$A$218,MATCH(M71,$A$19:INDEX($A$19:$A$218,$E$12),1))))))</f>
        <v/>
      </c>
      <c r="Y71">
        <f>IF(X71="","",X71*1000/$B$4)</f>
        <v/>
      </c>
    </row>
    <row r="72">
      <c r="A72" s="10" t="n"/>
      <c r="B72" s="10" t="n"/>
      <c r="C72" s="11">
        <f>IF(A72="","",$B$5*TAN(RADIANS(A72)))</f>
        <v/>
      </c>
      <c r="D72" s="11">
        <f>IF(C72="","",C72*(1+B72/100))</f>
        <v/>
      </c>
      <c r="E72" s="11">
        <f>IF(A72="","",$B$6*TAN(RADIANS(A72)))</f>
        <v/>
      </c>
      <c r="G72" s="12">
        <f>IF(U72="","",T72)</f>
        <v/>
      </c>
      <c r="H72" s="12">
        <f>IF(U72="","",$E$4+V72*COS(RADIANS($E$8))-W72*SIN(RADIANS($E$8)))</f>
        <v/>
      </c>
      <c r="I72" s="12">
        <f>IF(U72="","",$E$5+V72*SIN(RADIANS($E$8))+W72*COS(RADIANS($E$8)))</f>
        <v/>
      </c>
      <c r="J72" s="12">
        <f>IF(H72="","",H72-$B$7)</f>
        <v/>
      </c>
      <c r="K72" s="12">
        <f>IF(I72="","",I72-$B$8)</f>
        <v/>
      </c>
      <c r="L72" s="12">
        <f>IFERROR(SQRT(J72^2+K72^2)*$B$4/1000,"")</f>
        <v/>
      </c>
      <c r="M72" s="12">
        <f>IF(OR($E$13&lt;&gt;"OK",L72=""),"",IF(L72&lt;=$D$19,$A$19,IF(L72&gt;=INDEX($D$19:$D$218,$E$12),INDEX($A$19:$A$218,$E$12),INDEX($A$19:$A$218,MATCH(L72,$D$19:INDEX($D$19:$D$218,$E$12),1))+(L72-INDEX($D$19:$D$218,MATCH(L72,$D$19:INDEX($D$19:$D$218,$E$12),1)))*(INDEX($A$19:$A$218,MATCH(L72,$D$19:INDEX($D$19:$D$218,$E$12),1)+1)-INDEX($A$19:$A$218,MATCH(L72,$D$19:INDEX($D$19:$D$218,$E$12),1)))/(INDEX($D$19:$D$218,MATCH(L72,$D$19:INDEX($D$19:$D$218,$E$12),1)+1)-INDEX($D$19:$D$218,MATCH(L72,$D$19:INDEX($D$19:$D$218,$E$12),1))))))</f>
        <v/>
      </c>
      <c r="N72" s="12">
        <f>IF(M72="","",$B$6*TAN(RADIANS(M72)))</f>
        <v/>
      </c>
      <c r="O72" s="12">
        <f>IF(N72="","",IF(L72=0,0,-N72*J72/SQRT(J72^2+K72^2)))</f>
        <v/>
      </c>
      <c r="P72" s="12">
        <f>IF(N72="","",IF(L72=0,0,N72*K72/SQRT(J72^2+K72^2)))</f>
        <v/>
      </c>
      <c r="Q72" s="12">
        <f>IF(N72="","",IF(N72=0,$B$7,$B$7-Y72*O72/N72))</f>
        <v/>
      </c>
      <c r="R72" s="12">
        <f>IF(N72="","",IF(N72=0,$B$8,$B$8+Y72*P72/N72))</f>
        <v/>
      </c>
      <c r="S72" s="12">
        <f>IFERROR(SQRT((Q72-H72)^2+(R72-I72)^2),"")</f>
        <v/>
      </c>
      <c r="T72">
        <f>45</f>
        <v/>
      </c>
      <c r="U72">
        <f>IF(T72&gt;4*$E$9,"",MIN(INT(T72/$E$9)+1,4))</f>
        <v/>
      </c>
      <c r="V72">
        <f>IF(T72=4*$E$9,-$E$6/2,IF(U72="","",CHOOSE(U72,-$E$6/2+MOD(T72,$E$9)/$E$9*$E$6,$E$6/2,$E$6/2-MOD(T72,$E$9)/$E$9*$E$6,-$E$6/2)))</f>
        <v/>
      </c>
      <c r="W72">
        <f>IF(T72=4*$E$9,-$E$7/2,IF(U72="","",CHOOSE(U72,-$E$7/2,-$E$7/2+MOD(T72,$E$9)/$E$9*$E$7,$E$7/2,$E$7/2-MOD(T72,$E$9)/$E$9*$E$7)))</f>
        <v/>
      </c>
      <c r="X72">
        <f>IF(OR($E$13&lt;&gt;"OK",M72=""),"",IF(M72&lt;=$A$19,$D$19,IF(M72&gt;=INDEX($A$19:$A$218,$E$12),INDEX($D$19:$D$218,$E$12),INDEX($D$19:$D$218,MATCH(M72,$A$19:INDEX($A$19:$A$218,$E$12),1))+(M72-INDEX($A$19:$A$218,MATCH(M72,$A$19:INDEX($A$19:$A$218,$E$12),1)))*(INDEX($D$19:$D$218,MATCH(M72,$A$19:INDEX($A$19:$A$218,$E$12),1)+1)-INDEX($D$19:$D$218,MATCH(M72,$A$19:INDEX($A$19:$A$218,$E$12),1)))/(INDEX($A$19:$A$218,MATCH(M72,$A$19:INDEX($A$19:$A$218,$E$12),1)+1)-INDEX($A$19:$A$218,MATCH(M72,$A$19:INDEX($A$19:$A$218,$E$12),1))))))</f>
        <v/>
      </c>
      <c r="Y72">
        <f>IF(X72="","",X72*1000/$B$4)</f>
        <v/>
      </c>
    </row>
    <row r="73">
      <c r="A73" s="10" t="n"/>
      <c r="B73" s="10" t="n"/>
      <c r="C73" s="11">
        <f>IF(A73="","",$B$5*TAN(RADIANS(A73)))</f>
        <v/>
      </c>
      <c r="D73" s="11">
        <f>IF(C73="","",C73*(1+B73/100))</f>
        <v/>
      </c>
      <c r="E73" s="11">
        <f>IF(A73="","",$B$6*TAN(RADIANS(A73)))</f>
        <v/>
      </c>
      <c r="G73" s="12">
        <f>IF(U73="","",T73)</f>
        <v/>
      </c>
      <c r="H73" s="12">
        <f>IF(U73="","",$E$4+V73*COS(RADIANS($E$8))-W73*SIN(RADIANS($E$8)))</f>
        <v/>
      </c>
      <c r="I73" s="12">
        <f>IF(U73="","",$E$5+V73*SIN(RADIANS($E$8))+W73*COS(RADIANS($E$8)))</f>
        <v/>
      </c>
      <c r="J73" s="12">
        <f>IF(H73="","",H73-$B$7)</f>
        <v/>
      </c>
      <c r="K73" s="12">
        <f>IF(I73="","",I73-$B$8)</f>
        <v/>
      </c>
      <c r="L73" s="12">
        <f>IFERROR(SQRT(J73^2+K73^2)*$B$4/1000,"")</f>
        <v/>
      </c>
      <c r="M73" s="12">
        <f>IF(OR($E$13&lt;&gt;"OK",L73=""),"",IF(L73&lt;=$D$19,$A$19,IF(L73&gt;=INDEX($D$19:$D$218,$E$12),INDEX($A$19:$A$218,$E$12),INDEX($A$19:$A$218,MATCH(L73,$D$19:INDEX($D$19:$D$218,$E$12),1))+(L73-INDEX($D$19:$D$218,MATCH(L73,$D$19:INDEX($D$19:$D$218,$E$12),1)))*(INDEX($A$19:$A$218,MATCH(L73,$D$19:INDEX($D$19:$D$218,$E$12),1)+1)-INDEX($A$19:$A$218,MATCH(L73,$D$19:INDEX($D$19:$D$218,$E$12),1)))/(INDEX($D$19:$D$218,MATCH(L73,$D$19:INDEX($D$19:$D$218,$E$12),1)+1)-INDEX($D$19:$D$218,MATCH(L73,$D$19:INDEX($D$19:$D$218,$E$12),1))))))</f>
        <v/>
      </c>
      <c r="N73" s="12">
        <f>IF(M73="","",$B$6*TAN(RADIANS(M73)))</f>
        <v/>
      </c>
      <c r="O73" s="12">
        <f>IF(N73="","",IF(L73=0,0,-N73*J73/SQRT(J73^2+K73^2)))</f>
        <v/>
      </c>
      <c r="P73" s="12">
        <f>IF(N73="","",IF(L73=0,0,N73*K73/SQRT(J73^2+K73^2)))</f>
        <v/>
      </c>
      <c r="Q73" s="12">
        <f>IF(N73="","",IF(N73=0,$B$7,$B$7-Y73*O73/N73))</f>
        <v/>
      </c>
      <c r="R73" s="12">
        <f>IF(N73="","",IF(N73=0,$B$8,$B$8+Y73*P73/N73))</f>
        <v/>
      </c>
      <c r="S73" s="12">
        <f>IFERROR(SQRT((Q73-H73)^2+(R73-I73)^2),"")</f>
        <v/>
      </c>
      <c r="T73">
        <f>46</f>
        <v/>
      </c>
      <c r="U73">
        <f>IF(T73&gt;4*$E$9,"",MIN(INT(T73/$E$9)+1,4))</f>
        <v/>
      </c>
      <c r="V73">
        <f>IF(T73=4*$E$9,-$E$6/2,IF(U73="","",CHOOSE(U73,-$E$6/2+MOD(T73,$E$9)/$E$9*$E$6,$E$6/2,$E$6/2-MOD(T73,$E$9)/$E$9*$E$6,-$E$6/2)))</f>
        <v/>
      </c>
      <c r="W73">
        <f>IF(T73=4*$E$9,-$E$7/2,IF(U73="","",CHOOSE(U73,-$E$7/2,-$E$7/2+MOD(T73,$E$9)/$E$9*$E$7,$E$7/2,$E$7/2-MOD(T73,$E$9)/$E$9*$E$7)))</f>
        <v/>
      </c>
      <c r="X73">
        <f>IF(OR($E$13&lt;&gt;"OK",M73=""),"",IF(M73&lt;=$A$19,$D$19,IF(M73&gt;=INDEX($A$19:$A$218,$E$12),INDEX($D$19:$D$218,$E$12),INDEX($D$19:$D$218,MATCH(M73,$A$19:INDEX($A$19:$A$218,$E$12),1))+(M73-INDEX($A$19:$A$218,MATCH(M73,$A$19:INDEX($A$19:$A$218,$E$12),1)))*(INDEX($D$19:$D$218,MATCH(M73,$A$19:INDEX($A$19:$A$218,$E$12),1)+1)-INDEX($D$19:$D$218,MATCH(M73,$A$19:INDEX($A$19:$A$218,$E$12),1)))/(INDEX($A$19:$A$218,MATCH(M73,$A$19:INDEX($A$19:$A$218,$E$12),1)+1)-INDEX($A$19:$A$218,MATCH(M73,$A$19:INDEX($A$19:$A$218,$E$12),1))))))</f>
        <v/>
      </c>
      <c r="Y73">
        <f>IF(X73="","",X73*1000/$B$4)</f>
        <v/>
      </c>
    </row>
    <row r="74">
      <c r="A74" s="10" t="n"/>
      <c r="B74" s="10" t="n"/>
      <c r="C74" s="11">
        <f>IF(A74="","",$B$5*TAN(RADIANS(A74)))</f>
        <v/>
      </c>
      <c r="D74" s="11">
        <f>IF(C74="","",C74*(1+B74/100))</f>
        <v/>
      </c>
      <c r="E74" s="11">
        <f>IF(A74="","",$B$6*TAN(RADIANS(A74)))</f>
        <v/>
      </c>
      <c r="G74" s="12">
        <f>IF(U74="","",T74)</f>
        <v/>
      </c>
      <c r="H74" s="12">
        <f>IF(U74="","",$E$4+V74*COS(RADIANS($E$8))-W74*SIN(RADIANS($E$8)))</f>
        <v/>
      </c>
      <c r="I74" s="12">
        <f>IF(U74="","",$E$5+V74*SIN(RADIANS($E$8))+W74*COS(RADIANS($E$8)))</f>
        <v/>
      </c>
      <c r="J74" s="12">
        <f>IF(H74="","",H74-$B$7)</f>
        <v/>
      </c>
      <c r="K74" s="12">
        <f>IF(I74="","",I74-$B$8)</f>
        <v/>
      </c>
      <c r="L74" s="12">
        <f>IFERROR(SQRT(J74^2+K74^2)*$B$4/1000,"")</f>
        <v/>
      </c>
      <c r="M74" s="12">
        <f>IF(OR($E$13&lt;&gt;"OK",L74=""),"",IF(L74&lt;=$D$19,$A$19,IF(L74&gt;=INDEX($D$19:$D$218,$E$12),INDEX($A$19:$A$218,$E$12),INDEX($A$19:$A$218,MATCH(L74,$D$19:INDEX($D$19:$D$218,$E$12),1))+(L74-INDEX($D$19:$D$218,MATCH(L74,$D$19:INDEX($D$19:$D$218,$E$12),1)))*(INDEX($A$19:$A$218,MATCH(L74,$D$19:INDEX($D$19:$D$218,$E$12),1)+1)-INDEX($A$19:$A$218,MATCH(L74,$D$19:INDEX($D$19:$D$218,$E$12),1)))/(INDEX($D$19:$D$218,MATCH(L74,$D$19:INDEX($D$19:$D$218,$E$12),1)+1)-INDEX($D$19:$D$218,MATCH(L74,$D$19:INDEX($D$19:$D$218,$E$12),1))))))</f>
        <v/>
      </c>
      <c r="N74" s="12">
        <f>IF(M74="","",$B$6*TAN(RADIANS(M74)))</f>
        <v/>
      </c>
      <c r="O74" s="12">
        <f>IF(N74="","",IF(L74=0,0,-N74*J74/SQRT(J74^2+K74^2)))</f>
        <v/>
      </c>
      <c r="P74" s="12">
        <f>IF(N74="","",IF(L74=0,0,N74*K74/SQRT(J74^2+K74^2)))</f>
        <v/>
      </c>
      <c r="Q74" s="12">
        <f>IF(N74="","",IF(N74=0,$B$7,$B$7-Y74*O74/N74))</f>
        <v/>
      </c>
      <c r="R74" s="12">
        <f>IF(N74="","",IF(N74=0,$B$8,$B$8+Y74*P74/N74))</f>
        <v/>
      </c>
      <c r="S74" s="12">
        <f>IFERROR(SQRT((Q74-H74)^2+(R74-I74)^2),"")</f>
        <v/>
      </c>
      <c r="T74">
        <f>47</f>
        <v/>
      </c>
      <c r="U74">
        <f>IF(T74&gt;4*$E$9,"",MIN(INT(T74/$E$9)+1,4))</f>
        <v/>
      </c>
      <c r="V74">
        <f>IF(T74=4*$E$9,-$E$6/2,IF(U74="","",CHOOSE(U74,-$E$6/2+MOD(T74,$E$9)/$E$9*$E$6,$E$6/2,$E$6/2-MOD(T74,$E$9)/$E$9*$E$6,-$E$6/2)))</f>
        <v/>
      </c>
      <c r="W74">
        <f>IF(T74=4*$E$9,-$E$7/2,IF(U74="","",CHOOSE(U74,-$E$7/2,-$E$7/2+MOD(T74,$E$9)/$E$9*$E$7,$E$7/2,$E$7/2-MOD(T74,$E$9)/$E$9*$E$7)))</f>
        <v/>
      </c>
      <c r="X74">
        <f>IF(OR($E$13&lt;&gt;"OK",M74=""),"",IF(M74&lt;=$A$19,$D$19,IF(M74&gt;=INDEX($A$19:$A$218,$E$12),INDEX($D$19:$D$218,$E$12),INDEX($D$19:$D$218,MATCH(M74,$A$19:INDEX($A$19:$A$218,$E$12),1))+(M74-INDEX($A$19:$A$218,MATCH(M74,$A$19:INDEX($A$19:$A$218,$E$12),1)))*(INDEX($D$19:$D$218,MATCH(M74,$A$19:INDEX($A$19:$A$218,$E$12),1)+1)-INDEX($D$19:$D$218,MATCH(M74,$A$19:INDEX($A$19:$A$218,$E$12),1)))/(INDEX($A$19:$A$218,MATCH(M74,$A$19:INDEX($A$19:$A$218,$E$12),1)+1)-INDEX($A$19:$A$218,MATCH(M74,$A$19:INDEX($A$19:$A$218,$E$12),1))))))</f>
        <v/>
      </c>
      <c r="Y74">
        <f>IF(X74="","",X74*1000/$B$4)</f>
        <v/>
      </c>
    </row>
    <row r="75">
      <c r="A75" s="10" t="n"/>
      <c r="B75" s="10" t="n"/>
      <c r="C75" s="11">
        <f>IF(A75="","",$B$5*TAN(RADIANS(A75)))</f>
        <v/>
      </c>
      <c r="D75" s="11">
        <f>IF(C75="","",C75*(1+B75/100))</f>
        <v/>
      </c>
      <c r="E75" s="11">
        <f>IF(A75="","",$B$6*TAN(RADIANS(A75)))</f>
        <v/>
      </c>
      <c r="G75" s="12">
        <f>IF(U75="","",T75)</f>
        <v/>
      </c>
      <c r="H75" s="12">
        <f>IF(U75="","",$E$4+V75*COS(RADIANS($E$8))-W75*SIN(RADIANS($E$8)))</f>
        <v/>
      </c>
      <c r="I75" s="12">
        <f>IF(U75="","",$E$5+V75*SIN(RADIANS($E$8))+W75*COS(RADIANS($E$8)))</f>
        <v/>
      </c>
      <c r="J75" s="12">
        <f>IF(H75="","",H75-$B$7)</f>
        <v/>
      </c>
      <c r="K75" s="12">
        <f>IF(I75="","",I75-$B$8)</f>
        <v/>
      </c>
      <c r="L75" s="12">
        <f>IFERROR(SQRT(J75^2+K75^2)*$B$4/1000,"")</f>
        <v/>
      </c>
      <c r="M75" s="12">
        <f>IF(OR($E$13&lt;&gt;"OK",L75=""),"",IF(L75&lt;=$D$19,$A$19,IF(L75&gt;=INDEX($D$19:$D$218,$E$12),INDEX($A$19:$A$218,$E$12),INDEX($A$19:$A$218,MATCH(L75,$D$19:INDEX($D$19:$D$218,$E$12),1))+(L75-INDEX($D$19:$D$218,MATCH(L75,$D$19:INDEX($D$19:$D$218,$E$12),1)))*(INDEX($A$19:$A$218,MATCH(L75,$D$19:INDEX($D$19:$D$218,$E$12),1)+1)-INDEX($A$19:$A$218,MATCH(L75,$D$19:INDEX($D$19:$D$218,$E$12),1)))/(INDEX($D$19:$D$218,MATCH(L75,$D$19:INDEX($D$19:$D$218,$E$12),1)+1)-INDEX($D$19:$D$218,MATCH(L75,$D$19:INDEX($D$19:$D$218,$E$12),1))))))</f>
        <v/>
      </c>
      <c r="N75" s="12">
        <f>IF(M75="","",$B$6*TAN(RADIANS(M75)))</f>
        <v/>
      </c>
      <c r="O75" s="12">
        <f>IF(N75="","",IF(L75=0,0,-N75*J75/SQRT(J75^2+K75^2)))</f>
        <v/>
      </c>
      <c r="P75" s="12">
        <f>IF(N75="","",IF(L75=0,0,N75*K75/SQRT(J75^2+K75^2)))</f>
        <v/>
      </c>
      <c r="Q75" s="12">
        <f>IF(N75="","",IF(N75=0,$B$7,$B$7-Y75*O75/N75))</f>
        <v/>
      </c>
      <c r="R75" s="12">
        <f>IF(N75="","",IF(N75=0,$B$8,$B$8+Y75*P75/N75))</f>
        <v/>
      </c>
      <c r="S75" s="12">
        <f>IFERROR(SQRT((Q75-H75)^2+(R75-I75)^2),"")</f>
        <v/>
      </c>
      <c r="T75">
        <f>48</f>
        <v/>
      </c>
      <c r="U75">
        <f>IF(T75&gt;4*$E$9,"",MIN(INT(T75/$E$9)+1,4))</f>
        <v/>
      </c>
      <c r="V75">
        <f>IF(T75=4*$E$9,-$E$6/2,IF(U75="","",CHOOSE(U75,-$E$6/2+MOD(T75,$E$9)/$E$9*$E$6,$E$6/2,$E$6/2-MOD(T75,$E$9)/$E$9*$E$6,-$E$6/2)))</f>
        <v/>
      </c>
      <c r="W75">
        <f>IF(T75=4*$E$9,-$E$7/2,IF(U75="","",CHOOSE(U75,-$E$7/2,-$E$7/2+MOD(T75,$E$9)/$E$9*$E$7,$E$7/2,$E$7/2-MOD(T75,$E$9)/$E$9*$E$7)))</f>
        <v/>
      </c>
      <c r="X75">
        <f>IF(OR($E$13&lt;&gt;"OK",M75=""),"",IF(M75&lt;=$A$19,$D$19,IF(M75&gt;=INDEX($A$19:$A$218,$E$12),INDEX($D$19:$D$218,$E$12),INDEX($D$19:$D$218,MATCH(M75,$A$19:INDEX($A$19:$A$218,$E$12),1))+(M75-INDEX($A$19:$A$218,MATCH(M75,$A$19:INDEX($A$19:$A$218,$E$12),1)))*(INDEX($D$19:$D$218,MATCH(M75,$A$19:INDEX($A$19:$A$218,$E$12),1)+1)-INDEX($D$19:$D$218,MATCH(M75,$A$19:INDEX($A$19:$A$218,$E$12),1)))/(INDEX($A$19:$A$218,MATCH(M75,$A$19:INDEX($A$19:$A$218,$E$12),1)+1)-INDEX($A$19:$A$218,MATCH(M75,$A$19:INDEX($A$19:$A$218,$E$12),1))))))</f>
        <v/>
      </c>
      <c r="Y75">
        <f>IF(X75="","",X75*1000/$B$4)</f>
        <v/>
      </c>
    </row>
    <row r="76">
      <c r="A76" s="10" t="n"/>
      <c r="B76" s="10" t="n"/>
      <c r="C76" s="11">
        <f>IF(A76="","",$B$5*TAN(RADIANS(A76)))</f>
        <v/>
      </c>
      <c r="D76" s="11">
        <f>IF(C76="","",C76*(1+B76/100))</f>
        <v/>
      </c>
      <c r="E76" s="11">
        <f>IF(A76="","",$B$6*TAN(RADIANS(A76)))</f>
        <v/>
      </c>
      <c r="G76" s="12">
        <f>IF(U76="","",T76)</f>
        <v/>
      </c>
      <c r="H76" s="12">
        <f>IF(U76="","",$E$4+V76*COS(RADIANS($E$8))-W76*SIN(RADIANS($E$8)))</f>
        <v/>
      </c>
      <c r="I76" s="12">
        <f>IF(U76="","",$E$5+V76*SIN(RADIANS($E$8))+W76*COS(RADIANS($E$8)))</f>
        <v/>
      </c>
      <c r="J76" s="12">
        <f>IF(H76="","",H76-$B$7)</f>
        <v/>
      </c>
      <c r="K76" s="12">
        <f>IF(I76="","",I76-$B$8)</f>
        <v/>
      </c>
      <c r="L76" s="12">
        <f>IFERROR(SQRT(J76^2+K76^2)*$B$4/1000,"")</f>
        <v/>
      </c>
      <c r="M76" s="12">
        <f>IF(OR($E$13&lt;&gt;"OK",L76=""),"",IF(L76&lt;=$D$19,$A$19,IF(L76&gt;=INDEX($D$19:$D$218,$E$12),INDEX($A$19:$A$218,$E$12),INDEX($A$19:$A$218,MATCH(L76,$D$19:INDEX($D$19:$D$218,$E$12),1))+(L76-INDEX($D$19:$D$218,MATCH(L76,$D$19:INDEX($D$19:$D$218,$E$12),1)))*(INDEX($A$19:$A$218,MATCH(L76,$D$19:INDEX($D$19:$D$218,$E$12),1)+1)-INDEX($A$19:$A$218,MATCH(L76,$D$19:INDEX($D$19:$D$218,$E$12),1)))/(INDEX($D$19:$D$218,MATCH(L76,$D$19:INDEX($D$19:$D$218,$E$12),1)+1)-INDEX($D$19:$D$218,MATCH(L76,$D$19:INDEX($D$19:$D$218,$E$12),1))))))</f>
        <v/>
      </c>
      <c r="N76" s="12">
        <f>IF(M76="","",$B$6*TAN(RADIANS(M76)))</f>
        <v/>
      </c>
      <c r="O76" s="12">
        <f>IF(N76="","",IF(L76=0,0,-N76*J76/SQRT(J76^2+K76^2)))</f>
        <v/>
      </c>
      <c r="P76" s="12">
        <f>IF(N76="","",IF(L76=0,0,N76*K76/SQRT(J76^2+K76^2)))</f>
        <v/>
      </c>
      <c r="Q76" s="12">
        <f>IF(N76="","",IF(N76=0,$B$7,$B$7-Y76*O76/N76))</f>
        <v/>
      </c>
      <c r="R76" s="12">
        <f>IF(N76="","",IF(N76=0,$B$8,$B$8+Y76*P76/N76))</f>
        <v/>
      </c>
      <c r="S76" s="12">
        <f>IFERROR(SQRT((Q76-H76)^2+(R76-I76)^2),"")</f>
        <v/>
      </c>
      <c r="T76">
        <f>49</f>
        <v/>
      </c>
      <c r="U76">
        <f>IF(T76&gt;4*$E$9,"",MIN(INT(T76/$E$9)+1,4))</f>
        <v/>
      </c>
      <c r="V76">
        <f>IF(T76=4*$E$9,-$E$6/2,IF(U76="","",CHOOSE(U76,-$E$6/2+MOD(T76,$E$9)/$E$9*$E$6,$E$6/2,$E$6/2-MOD(T76,$E$9)/$E$9*$E$6,-$E$6/2)))</f>
        <v/>
      </c>
      <c r="W76">
        <f>IF(T76=4*$E$9,-$E$7/2,IF(U76="","",CHOOSE(U76,-$E$7/2,-$E$7/2+MOD(T76,$E$9)/$E$9*$E$7,$E$7/2,$E$7/2-MOD(T76,$E$9)/$E$9*$E$7)))</f>
        <v/>
      </c>
      <c r="X76">
        <f>IF(OR($E$13&lt;&gt;"OK",M76=""),"",IF(M76&lt;=$A$19,$D$19,IF(M76&gt;=INDEX($A$19:$A$218,$E$12),INDEX($D$19:$D$218,$E$12),INDEX($D$19:$D$218,MATCH(M76,$A$19:INDEX($A$19:$A$218,$E$12),1))+(M76-INDEX($A$19:$A$218,MATCH(M76,$A$19:INDEX($A$19:$A$218,$E$12),1)))*(INDEX($D$19:$D$218,MATCH(M76,$A$19:INDEX($A$19:$A$218,$E$12),1)+1)-INDEX($D$19:$D$218,MATCH(M76,$A$19:INDEX($A$19:$A$218,$E$12),1)))/(INDEX($A$19:$A$218,MATCH(M76,$A$19:INDEX($A$19:$A$218,$E$12),1)+1)-INDEX($A$19:$A$218,MATCH(M76,$A$19:INDEX($A$19:$A$218,$E$12),1))))))</f>
        <v/>
      </c>
      <c r="Y76">
        <f>IF(X76="","",X76*1000/$B$4)</f>
        <v/>
      </c>
    </row>
    <row r="77">
      <c r="A77" s="10" t="n"/>
      <c r="B77" s="10" t="n"/>
      <c r="C77" s="11">
        <f>IF(A77="","",$B$5*TAN(RADIANS(A77)))</f>
        <v/>
      </c>
      <c r="D77" s="11">
        <f>IF(C77="","",C77*(1+B77/100))</f>
        <v/>
      </c>
      <c r="E77" s="11">
        <f>IF(A77="","",$B$6*TAN(RADIANS(A77)))</f>
        <v/>
      </c>
      <c r="G77" s="12">
        <f>IF(U77="","",T77)</f>
        <v/>
      </c>
      <c r="H77" s="12">
        <f>IF(U77="","",$E$4+V77*COS(RADIANS($E$8))-W77*SIN(RADIANS($E$8)))</f>
        <v/>
      </c>
      <c r="I77" s="12">
        <f>IF(U77="","",$E$5+V77*SIN(RADIANS($E$8))+W77*COS(RADIANS($E$8)))</f>
        <v/>
      </c>
      <c r="J77" s="12">
        <f>IF(H77="","",H77-$B$7)</f>
        <v/>
      </c>
      <c r="K77" s="12">
        <f>IF(I77="","",I77-$B$8)</f>
        <v/>
      </c>
      <c r="L77" s="12">
        <f>IFERROR(SQRT(J77^2+K77^2)*$B$4/1000,"")</f>
        <v/>
      </c>
      <c r="M77" s="12">
        <f>IF(OR($E$13&lt;&gt;"OK",L77=""),"",IF(L77&lt;=$D$19,$A$19,IF(L77&gt;=INDEX($D$19:$D$218,$E$12),INDEX($A$19:$A$218,$E$12),INDEX($A$19:$A$218,MATCH(L77,$D$19:INDEX($D$19:$D$218,$E$12),1))+(L77-INDEX($D$19:$D$218,MATCH(L77,$D$19:INDEX($D$19:$D$218,$E$12),1)))*(INDEX($A$19:$A$218,MATCH(L77,$D$19:INDEX($D$19:$D$218,$E$12),1)+1)-INDEX($A$19:$A$218,MATCH(L77,$D$19:INDEX($D$19:$D$218,$E$12),1)))/(INDEX($D$19:$D$218,MATCH(L77,$D$19:INDEX($D$19:$D$218,$E$12),1)+1)-INDEX($D$19:$D$218,MATCH(L77,$D$19:INDEX($D$19:$D$218,$E$12),1))))))</f>
        <v/>
      </c>
      <c r="N77" s="12">
        <f>IF(M77="","",$B$6*TAN(RADIANS(M77)))</f>
        <v/>
      </c>
      <c r="O77" s="12">
        <f>IF(N77="","",IF(L77=0,0,-N77*J77/SQRT(J77^2+K77^2)))</f>
        <v/>
      </c>
      <c r="P77" s="12">
        <f>IF(N77="","",IF(L77=0,0,N77*K77/SQRT(J77^2+K77^2)))</f>
        <v/>
      </c>
      <c r="Q77" s="12">
        <f>IF(N77="","",IF(N77=0,$B$7,$B$7-Y77*O77/N77))</f>
        <v/>
      </c>
      <c r="R77" s="12">
        <f>IF(N77="","",IF(N77=0,$B$8,$B$8+Y77*P77/N77))</f>
        <v/>
      </c>
      <c r="S77" s="12">
        <f>IFERROR(SQRT((Q77-H77)^2+(R77-I77)^2),"")</f>
        <v/>
      </c>
      <c r="T77">
        <f>50</f>
        <v/>
      </c>
      <c r="U77">
        <f>IF(T77&gt;4*$E$9,"",MIN(INT(T77/$E$9)+1,4))</f>
        <v/>
      </c>
      <c r="V77">
        <f>IF(T77=4*$E$9,-$E$6/2,IF(U77="","",CHOOSE(U77,-$E$6/2+MOD(T77,$E$9)/$E$9*$E$6,$E$6/2,$E$6/2-MOD(T77,$E$9)/$E$9*$E$6,-$E$6/2)))</f>
        <v/>
      </c>
      <c r="W77">
        <f>IF(T77=4*$E$9,-$E$7/2,IF(U77="","",CHOOSE(U77,-$E$7/2,-$E$7/2+MOD(T77,$E$9)/$E$9*$E$7,$E$7/2,$E$7/2-MOD(T77,$E$9)/$E$9*$E$7)))</f>
        <v/>
      </c>
      <c r="X77">
        <f>IF(OR($E$13&lt;&gt;"OK",M77=""),"",IF(M77&lt;=$A$19,$D$19,IF(M77&gt;=INDEX($A$19:$A$218,$E$12),INDEX($D$19:$D$218,$E$12),INDEX($D$19:$D$218,MATCH(M77,$A$19:INDEX($A$19:$A$218,$E$12),1))+(M77-INDEX($A$19:$A$218,MATCH(M77,$A$19:INDEX($A$19:$A$218,$E$12),1)))*(INDEX($D$19:$D$218,MATCH(M77,$A$19:INDEX($A$19:$A$218,$E$12),1)+1)-INDEX($D$19:$D$218,MATCH(M77,$A$19:INDEX($A$19:$A$218,$E$12),1)))/(INDEX($A$19:$A$218,MATCH(M77,$A$19:INDEX($A$19:$A$218,$E$12),1)+1)-INDEX($A$19:$A$218,MATCH(M77,$A$19:INDEX($A$19:$A$218,$E$12),1))))))</f>
        <v/>
      </c>
      <c r="Y77">
        <f>IF(X77="","",X77*1000/$B$4)</f>
        <v/>
      </c>
    </row>
    <row r="78">
      <c r="A78" s="10" t="n"/>
      <c r="B78" s="10" t="n"/>
      <c r="C78" s="11">
        <f>IF(A78="","",$B$5*TAN(RADIANS(A78)))</f>
        <v/>
      </c>
      <c r="D78" s="11">
        <f>IF(C78="","",C78*(1+B78/100))</f>
        <v/>
      </c>
      <c r="E78" s="11">
        <f>IF(A78="","",$B$6*TAN(RADIANS(A78)))</f>
        <v/>
      </c>
      <c r="G78" s="12">
        <f>IF(U78="","",T78)</f>
        <v/>
      </c>
      <c r="H78" s="12">
        <f>IF(U78="","",$E$4+V78*COS(RADIANS($E$8))-W78*SIN(RADIANS($E$8)))</f>
        <v/>
      </c>
      <c r="I78" s="12">
        <f>IF(U78="","",$E$5+V78*SIN(RADIANS($E$8))+W78*COS(RADIANS($E$8)))</f>
        <v/>
      </c>
      <c r="J78" s="12">
        <f>IF(H78="","",H78-$B$7)</f>
        <v/>
      </c>
      <c r="K78" s="12">
        <f>IF(I78="","",I78-$B$8)</f>
        <v/>
      </c>
      <c r="L78" s="12">
        <f>IFERROR(SQRT(J78^2+K78^2)*$B$4/1000,"")</f>
        <v/>
      </c>
      <c r="M78" s="12">
        <f>IF(OR($E$13&lt;&gt;"OK",L78=""),"",IF(L78&lt;=$D$19,$A$19,IF(L78&gt;=INDEX($D$19:$D$218,$E$12),INDEX($A$19:$A$218,$E$12),INDEX($A$19:$A$218,MATCH(L78,$D$19:INDEX($D$19:$D$218,$E$12),1))+(L78-INDEX($D$19:$D$218,MATCH(L78,$D$19:INDEX($D$19:$D$218,$E$12),1)))*(INDEX($A$19:$A$218,MATCH(L78,$D$19:INDEX($D$19:$D$218,$E$12),1)+1)-INDEX($A$19:$A$218,MATCH(L78,$D$19:INDEX($D$19:$D$218,$E$12),1)))/(INDEX($D$19:$D$218,MATCH(L78,$D$19:INDEX($D$19:$D$218,$E$12),1)+1)-INDEX($D$19:$D$218,MATCH(L78,$D$19:INDEX($D$19:$D$218,$E$12),1))))))</f>
        <v/>
      </c>
      <c r="N78" s="12">
        <f>IF(M78="","",$B$6*TAN(RADIANS(M78)))</f>
        <v/>
      </c>
      <c r="O78" s="12">
        <f>IF(N78="","",IF(L78=0,0,-N78*J78/SQRT(J78^2+K78^2)))</f>
        <v/>
      </c>
      <c r="P78" s="12">
        <f>IF(N78="","",IF(L78=0,0,N78*K78/SQRT(J78^2+K78^2)))</f>
        <v/>
      </c>
      <c r="Q78" s="12">
        <f>IF(N78="","",IF(N78=0,$B$7,$B$7-Y78*O78/N78))</f>
        <v/>
      </c>
      <c r="R78" s="12">
        <f>IF(N78="","",IF(N78=0,$B$8,$B$8+Y78*P78/N78))</f>
        <v/>
      </c>
      <c r="S78" s="12">
        <f>IFERROR(SQRT((Q78-H78)^2+(R78-I78)^2),"")</f>
        <v/>
      </c>
      <c r="T78">
        <f>51</f>
        <v/>
      </c>
      <c r="U78">
        <f>IF(T78&gt;4*$E$9,"",MIN(INT(T78/$E$9)+1,4))</f>
        <v/>
      </c>
      <c r="V78">
        <f>IF(T78=4*$E$9,-$E$6/2,IF(U78="","",CHOOSE(U78,-$E$6/2+MOD(T78,$E$9)/$E$9*$E$6,$E$6/2,$E$6/2-MOD(T78,$E$9)/$E$9*$E$6,-$E$6/2)))</f>
        <v/>
      </c>
      <c r="W78">
        <f>IF(T78=4*$E$9,-$E$7/2,IF(U78="","",CHOOSE(U78,-$E$7/2,-$E$7/2+MOD(T78,$E$9)/$E$9*$E$7,$E$7/2,$E$7/2-MOD(T78,$E$9)/$E$9*$E$7)))</f>
        <v/>
      </c>
      <c r="X78">
        <f>IF(OR($E$13&lt;&gt;"OK",M78=""),"",IF(M78&lt;=$A$19,$D$19,IF(M78&gt;=INDEX($A$19:$A$218,$E$12),INDEX($D$19:$D$218,$E$12),INDEX($D$19:$D$218,MATCH(M78,$A$19:INDEX($A$19:$A$218,$E$12),1))+(M78-INDEX($A$19:$A$218,MATCH(M78,$A$19:INDEX($A$19:$A$218,$E$12),1)))*(INDEX($D$19:$D$218,MATCH(M78,$A$19:INDEX($A$19:$A$218,$E$12),1)+1)-INDEX($D$19:$D$218,MATCH(M78,$A$19:INDEX($A$19:$A$218,$E$12),1)))/(INDEX($A$19:$A$218,MATCH(M78,$A$19:INDEX($A$19:$A$218,$E$12),1)+1)-INDEX($A$19:$A$218,MATCH(M78,$A$19:INDEX($A$19:$A$218,$E$12),1))))))</f>
        <v/>
      </c>
      <c r="Y78">
        <f>IF(X78="","",X78*1000/$B$4)</f>
        <v/>
      </c>
    </row>
    <row r="79">
      <c r="A79" s="10" t="n"/>
      <c r="B79" s="10" t="n"/>
      <c r="C79" s="11">
        <f>IF(A79="","",$B$5*TAN(RADIANS(A79)))</f>
        <v/>
      </c>
      <c r="D79" s="11">
        <f>IF(C79="","",C79*(1+B79/100))</f>
        <v/>
      </c>
      <c r="E79" s="11">
        <f>IF(A79="","",$B$6*TAN(RADIANS(A79)))</f>
        <v/>
      </c>
      <c r="G79" s="12">
        <f>IF(U79="","",T79)</f>
        <v/>
      </c>
      <c r="H79" s="12">
        <f>IF(U79="","",$E$4+V79*COS(RADIANS($E$8))-W79*SIN(RADIANS($E$8)))</f>
        <v/>
      </c>
      <c r="I79" s="12">
        <f>IF(U79="","",$E$5+V79*SIN(RADIANS($E$8))+W79*COS(RADIANS($E$8)))</f>
        <v/>
      </c>
      <c r="J79" s="12">
        <f>IF(H79="","",H79-$B$7)</f>
        <v/>
      </c>
      <c r="K79" s="12">
        <f>IF(I79="","",I79-$B$8)</f>
        <v/>
      </c>
      <c r="L79" s="12">
        <f>IFERROR(SQRT(J79^2+K79^2)*$B$4/1000,"")</f>
        <v/>
      </c>
      <c r="M79" s="12">
        <f>IF(OR($E$13&lt;&gt;"OK",L79=""),"",IF(L79&lt;=$D$19,$A$19,IF(L79&gt;=INDEX($D$19:$D$218,$E$12),INDEX($A$19:$A$218,$E$12),INDEX($A$19:$A$218,MATCH(L79,$D$19:INDEX($D$19:$D$218,$E$12),1))+(L79-INDEX($D$19:$D$218,MATCH(L79,$D$19:INDEX($D$19:$D$218,$E$12),1)))*(INDEX($A$19:$A$218,MATCH(L79,$D$19:INDEX($D$19:$D$218,$E$12),1)+1)-INDEX($A$19:$A$218,MATCH(L79,$D$19:INDEX($D$19:$D$218,$E$12),1)))/(INDEX($D$19:$D$218,MATCH(L79,$D$19:INDEX($D$19:$D$218,$E$12),1)+1)-INDEX($D$19:$D$218,MATCH(L79,$D$19:INDEX($D$19:$D$218,$E$12),1))))))</f>
        <v/>
      </c>
      <c r="N79" s="12">
        <f>IF(M79="","",$B$6*TAN(RADIANS(M79)))</f>
        <v/>
      </c>
      <c r="O79" s="12">
        <f>IF(N79="","",IF(L79=0,0,-N79*J79/SQRT(J79^2+K79^2)))</f>
        <v/>
      </c>
      <c r="P79" s="12">
        <f>IF(N79="","",IF(L79=0,0,N79*K79/SQRT(J79^2+K79^2)))</f>
        <v/>
      </c>
      <c r="Q79" s="12">
        <f>IF(N79="","",IF(N79=0,$B$7,$B$7-Y79*O79/N79))</f>
        <v/>
      </c>
      <c r="R79" s="12">
        <f>IF(N79="","",IF(N79=0,$B$8,$B$8+Y79*P79/N79))</f>
        <v/>
      </c>
      <c r="S79" s="12">
        <f>IFERROR(SQRT((Q79-H79)^2+(R79-I79)^2),"")</f>
        <v/>
      </c>
      <c r="T79">
        <f>52</f>
        <v/>
      </c>
      <c r="U79">
        <f>IF(T79&gt;4*$E$9,"",MIN(INT(T79/$E$9)+1,4))</f>
        <v/>
      </c>
      <c r="V79">
        <f>IF(T79=4*$E$9,-$E$6/2,IF(U79="","",CHOOSE(U79,-$E$6/2+MOD(T79,$E$9)/$E$9*$E$6,$E$6/2,$E$6/2-MOD(T79,$E$9)/$E$9*$E$6,-$E$6/2)))</f>
        <v/>
      </c>
      <c r="W79">
        <f>IF(T79=4*$E$9,-$E$7/2,IF(U79="","",CHOOSE(U79,-$E$7/2,-$E$7/2+MOD(T79,$E$9)/$E$9*$E$7,$E$7/2,$E$7/2-MOD(T79,$E$9)/$E$9*$E$7)))</f>
        <v/>
      </c>
      <c r="X79">
        <f>IF(OR($E$13&lt;&gt;"OK",M79=""),"",IF(M79&lt;=$A$19,$D$19,IF(M79&gt;=INDEX($A$19:$A$218,$E$12),INDEX($D$19:$D$218,$E$12),INDEX($D$19:$D$218,MATCH(M79,$A$19:INDEX($A$19:$A$218,$E$12),1))+(M79-INDEX($A$19:$A$218,MATCH(M79,$A$19:INDEX($A$19:$A$218,$E$12),1)))*(INDEX($D$19:$D$218,MATCH(M79,$A$19:INDEX($A$19:$A$218,$E$12),1)+1)-INDEX($D$19:$D$218,MATCH(M79,$A$19:INDEX($A$19:$A$218,$E$12),1)))/(INDEX($A$19:$A$218,MATCH(M79,$A$19:INDEX($A$19:$A$218,$E$12),1)+1)-INDEX($A$19:$A$218,MATCH(M79,$A$19:INDEX($A$19:$A$218,$E$12),1))))))</f>
        <v/>
      </c>
      <c r="Y79">
        <f>IF(X79="","",X79*1000/$B$4)</f>
        <v/>
      </c>
    </row>
    <row r="80">
      <c r="A80" s="10" t="n"/>
      <c r="B80" s="10" t="n"/>
      <c r="C80" s="11">
        <f>IF(A80="","",$B$5*TAN(RADIANS(A80)))</f>
        <v/>
      </c>
      <c r="D80" s="11">
        <f>IF(C80="","",C80*(1+B80/100))</f>
        <v/>
      </c>
      <c r="E80" s="11">
        <f>IF(A80="","",$B$6*TAN(RADIANS(A80)))</f>
        <v/>
      </c>
      <c r="G80" s="12">
        <f>IF(U80="","",T80)</f>
        <v/>
      </c>
      <c r="H80" s="12">
        <f>IF(U80="","",$E$4+V80*COS(RADIANS($E$8))-W80*SIN(RADIANS($E$8)))</f>
        <v/>
      </c>
      <c r="I80" s="12">
        <f>IF(U80="","",$E$5+V80*SIN(RADIANS($E$8))+W80*COS(RADIANS($E$8)))</f>
        <v/>
      </c>
      <c r="J80" s="12">
        <f>IF(H80="","",H80-$B$7)</f>
        <v/>
      </c>
      <c r="K80" s="12">
        <f>IF(I80="","",I80-$B$8)</f>
        <v/>
      </c>
      <c r="L80" s="12">
        <f>IFERROR(SQRT(J80^2+K80^2)*$B$4/1000,"")</f>
        <v/>
      </c>
      <c r="M80" s="12">
        <f>IF(OR($E$13&lt;&gt;"OK",L80=""),"",IF(L80&lt;=$D$19,$A$19,IF(L80&gt;=INDEX($D$19:$D$218,$E$12),INDEX($A$19:$A$218,$E$12),INDEX($A$19:$A$218,MATCH(L80,$D$19:INDEX($D$19:$D$218,$E$12),1))+(L80-INDEX($D$19:$D$218,MATCH(L80,$D$19:INDEX($D$19:$D$218,$E$12),1)))*(INDEX($A$19:$A$218,MATCH(L80,$D$19:INDEX($D$19:$D$218,$E$12),1)+1)-INDEX($A$19:$A$218,MATCH(L80,$D$19:INDEX($D$19:$D$218,$E$12),1)))/(INDEX($D$19:$D$218,MATCH(L80,$D$19:INDEX($D$19:$D$218,$E$12),1)+1)-INDEX($D$19:$D$218,MATCH(L80,$D$19:INDEX($D$19:$D$218,$E$12),1))))))</f>
        <v/>
      </c>
      <c r="N80" s="12">
        <f>IF(M80="","",$B$6*TAN(RADIANS(M80)))</f>
        <v/>
      </c>
      <c r="O80" s="12">
        <f>IF(N80="","",IF(L80=0,0,-N80*J80/SQRT(J80^2+K80^2)))</f>
        <v/>
      </c>
      <c r="P80" s="12">
        <f>IF(N80="","",IF(L80=0,0,N80*K80/SQRT(J80^2+K80^2)))</f>
        <v/>
      </c>
      <c r="Q80" s="12">
        <f>IF(N80="","",IF(N80=0,$B$7,$B$7-Y80*O80/N80))</f>
        <v/>
      </c>
      <c r="R80" s="12">
        <f>IF(N80="","",IF(N80=0,$B$8,$B$8+Y80*P80/N80))</f>
        <v/>
      </c>
      <c r="S80" s="12">
        <f>IFERROR(SQRT((Q80-H80)^2+(R80-I80)^2),"")</f>
        <v/>
      </c>
      <c r="T80">
        <f>53</f>
        <v/>
      </c>
      <c r="U80">
        <f>IF(T80&gt;4*$E$9,"",MIN(INT(T80/$E$9)+1,4))</f>
        <v/>
      </c>
      <c r="V80">
        <f>IF(T80=4*$E$9,-$E$6/2,IF(U80="","",CHOOSE(U80,-$E$6/2+MOD(T80,$E$9)/$E$9*$E$6,$E$6/2,$E$6/2-MOD(T80,$E$9)/$E$9*$E$6,-$E$6/2)))</f>
        <v/>
      </c>
      <c r="W80">
        <f>IF(T80=4*$E$9,-$E$7/2,IF(U80="","",CHOOSE(U80,-$E$7/2,-$E$7/2+MOD(T80,$E$9)/$E$9*$E$7,$E$7/2,$E$7/2-MOD(T80,$E$9)/$E$9*$E$7)))</f>
        <v/>
      </c>
      <c r="X80">
        <f>IF(OR($E$13&lt;&gt;"OK",M80=""),"",IF(M80&lt;=$A$19,$D$19,IF(M80&gt;=INDEX($A$19:$A$218,$E$12),INDEX($D$19:$D$218,$E$12),INDEX($D$19:$D$218,MATCH(M80,$A$19:INDEX($A$19:$A$218,$E$12),1))+(M80-INDEX($A$19:$A$218,MATCH(M80,$A$19:INDEX($A$19:$A$218,$E$12),1)))*(INDEX($D$19:$D$218,MATCH(M80,$A$19:INDEX($A$19:$A$218,$E$12),1)+1)-INDEX($D$19:$D$218,MATCH(M80,$A$19:INDEX($A$19:$A$218,$E$12),1)))/(INDEX($A$19:$A$218,MATCH(M80,$A$19:INDEX($A$19:$A$218,$E$12),1)+1)-INDEX($A$19:$A$218,MATCH(M80,$A$19:INDEX($A$19:$A$218,$E$12),1))))))</f>
        <v/>
      </c>
      <c r="Y80">
        <f>IF(X80="","",X80*1000/$B$4)</f>
        <v/>
      </c>
    </row>
    <row r="81">
      <c r="A81" s="10" t="n"/>
      <c r="B81" s="10" t="n"/>
      <c r="C81" s="11">
        <f>IF(A81="","",$B$5*TAN(RADIANS(A81)))</f>
        <v/>
      </c>
      <c r="D81" s="11">
        <f>IF(C81="","",C81*(1+B81/100))</f>
        <v/>
      </c>
      <c r="E81" s="11">
        <f>IF(A81="","",$B$6*TAN(RADIANS(A81)))</f>
        <v/>
      </c>
      <c r="G81" s="12">
        <f>IF(U81="","",T81)</f>
        <v/>
      </c>
      <c r="H81" s="12">
        <f>IF(U81="","",$E$4+V81*COS(RADIANS($E$8))-W81*SIN(RADIANS($E$8)))</f>
        <v/>
      </c>
      <c r="I81" s="12">
        <f>IF(U81="","",$E$5+V81*SIN(RADIANS($E$8))+W81*COS(RADIANS($E$8)))</f>
        <v/>
      </c>
      <c r="J81" s="12">
        <f>IF(H81="","",H81-$B$7)</f>
        <v/>
      </c>
      <c r="K81" s="12">
        <f>IF(I81="","",I81-$B$8)</f>
        <v/>
      </c>
      <c r="L81" s="12">
        <f>IFERROR(SQRT(J81^2+K81^2)*$B$4/1000,"")</f>
        <v/>
      </c>
      <c r="M81" s="12">
        <f>IF(OR($E$13&lt;&gt;"OK",L81=""),"",IF(L81&lt;=$D$19,$A$19,IF(L81&gt;=INDEX($D$19:$D$218,$E$12),INDEX($A$19:$A$218,$E$12),INDEX($A$19:$A$218,MATCH(L81,$D$19:INDEX($D$19:$D$218,$E$12),1))+(L81-INDEX($D$19:$D$218,MATCH(L81,$D$19:INDEX($D$19:$D$218,$E$12),1)))*(INDEX($A$19:$A$218,MATCH(L81,$D$19:INDEX($D$19:$D$218,$E$12),1)+1)-INDEX($A$19:$A$218,MATCH(L81,$D$19:INDEX($D$19:$D$218,$E$12),1)))/(INDEX($D$19:$D$218,MATCH(L81,$D$19:INDEX($D$19:$D$218,$E$12),1)+1)-INDEX($D$19:$D$218,MATCH(L81,$D$19:INDEX($D$19:$D$218,$E$12),1))))))</f>
        <v/>
      </c>
      <c r="N81" s="12">
        <f>IF(M81="","",$B$6*TAN(RADIANS(M81)))</f>
        <v/>
      </c>
      <c r="O81" s="12">
        <f>IF(N81="","",IF(L81=0,0,-N81*J81/SQRT(J81^2+K81^2)))</f>
        <v/>
      </c>
      <c r="P81" s="12">
        <f>IF(N81="","",IF(L81=0,0,N81*K81/SQRT(J81^2+K81^2)))</f>
        <v/>
      </c>
      <c r="Q81" s="12">
        <f>IF(N81="","",IF(N81=0,$B$7,$B$7-Y81*O81/N81))</f>
        <v/>
      </c>
      <c r="R81" s="12">
        <f>IF(N81="","",IF(N81=0,$B$8,$B$8+Y81*P81/N81))</f>
        <v/>
      </c>
      <c r="S81" s="12">
        <f>IFERROR(SQRT((Q81-H81)^2+(R81-I81)^2),"")</f>
        <v/>
      </c>
      <c r="T81">
        <f>54</f>
        <v/>
      </c>
      <c r="U81">
        <f>IF(T81&gt;4*$E$9,"",MIN(INT(T81/$E$9)+1,4))</f>
        <v/>
      </c>
      <c r="V81">
        <f>IF(T81=4*$E$9,-$E$6/2,IF(U81="","",CHOOSE(U81,-$E$6/2+MOD(T81,$E$9)/$E$9*$E$6,$E$6/2,$E$6/2-MOD(T81,$E$9)/$E$9*$E$6,-$E$6/2)))</f>
        <v/>
      </c>
      <c r="W81">
        <f>IF(T81=4*$E$9,-$E$7/2,IF(U81="","",CHOOSE(U81,-$E$7/2,-$E$7/2+MOD(T81,$E$9)/$E$9*$E$7,$E$7/2,$E$7/2-MOD(T81,$E$9)/$E$9*$E$7)))</f>
        <v/>
      </c>
      <c r="X81">
        <f>IF(OR($E$13&lt;&gt;"OK",M81=""),"",IF(M81&lt;=$A$19,$D$19,IF(M81&gt;=INDEX($A$19:$A$218,$E$12),INDEX($D$19:$D$218,$E$12),INDEX($D$19:$D$218,MATCH(M81,$A$19:INDEX($A$19:$A$218,$E$12),1))+(M81-INDEX($A$19:$A$218,MATCH(M81,$A$19:INDEX($A$19:$A$218,$E$12),1)))*(INDEX($D$19:$D$218,MATCH(M81,$A$19:INDEX($A$19:$A$218,$E$12),1)+1)-INDEX($D$19:$D$218,MATCH(M81,$A$19:INDEX($A$19:$A$218,$E$12),1)))/(INDEX($A$19:$A$218,MATCH(M81,$A$19:INDEX($A$19:$A$218,$E$12),1)+1)-INDEX($A$19:$A$218,MATCH(M81,$A$19:INDEX($A$19:$A$218,$E$12),1))))))</f>
        <v/>
      </c>
      <c r="Y81">
        <f>IF(X81="","",X81*1000/$B$4)</f>
        <v/>
      </c>
    </row>
    <row r="82">
      <c r="A82" s="10" t="n"/>
      <c r="B82" s="10" t="n"/>
      <c r="C82" s="11">
        <f>IF(A82="","",$B$5*TAN(RADIANS(A82)))</f>
        <v/>
      </c>
      <c r="D82" s="11">
        <f>IF(C82="","",C82*(1+B82/100))</f>
        <v/>
      </c>
      <c r="E82" s="11">
        <f>IF(A82="","",$B$6*TAN(RADIANS(A82)))</f>
        <v/>
      </c>
      <c r="G82" s="12">
        <f>IF(U82="","",T82)</f>
        <v/>
      </c>
      <c r="H82" s="12">
        <f>IF(U82="","",$E$4+V82*COS(RADIANS($E$8))-W82*SIN(RADIANS($E$8)))</f>
        <v/>
      </c>
      <c r="I82" s="12">
        <f>IF(U82="","",$E$5+V82*SIN(RADIANS($E$8))+W82*COS(RADIANS($E$8)))</f>
        <v/>
      </c>
      <c r="J82" s="12">
        <f>IF(H82="","",H82-$B$7)</f>
        <v/>
      </c>
      <c r="K82" s="12">
        <f>IF(I82="","",I82-$B$8)</f>
        <v/>
      </c>
      <c r="L82" s="12">
        <f>IFERROR(SQRT(J82^2+K82^2)*$B$4/1000,"")</f>
        <v/>
      </c>
      <c r="M82" s="12">
        <f>IF(OR($E$13&lt;&gt;"OK",L82=""),"",IF(L82&lt;=$D$19,$A$19,IF(L82&gt;=INDEX($D$19:$D$218,$E$12),INDEX($A$19:$A$218,$E$12),INDEX($A$19:$A$218,MATCH(L82,$D$19:INDEX($D$19:$D$218,$E$12),1))+(L82-INDEX($D$19:$D$218,MATCH(L82,$D$19:INDEX($D$19:$D$218,$E$12),1)))*(INDEX($A$19:$A$218,MATCH(L82,$D$19:INDEX($D$19:$D$218,$E$12),1)+1)-INDEX($A$19:$A$218,MATCH(L82,$D$19:INDEX($D$19:$D$218,$E$12),1)))/(INDEX($D$19:$D$218,MATCH(L82,$D$19:INDEX($D$19:$D$218,$E$12),1)+1)-INDEX($D$19:$D$218,MATCH(L82,$D$19:INDEX($D$19:$D$218,$E$12),1))))))</f>
        <v/>
      </c>
      <c r="N82" s="12">
        <f>IF(M82="","",$B$6*TAN(RADIANS(M82)))</f>
        <v/>
      </c>
      <c r="O82" s="12">
        <f>IF(N82="","",IF(L82=0,0,-N82*J82/SQRT(J82^2+K82^2)))</f>
        <v/>
      </c>
      <c r="P82" s="12">
        <f>IF(N82="","",IF(L82=0,0,N82*K82/SQRT(J82^2+K82^2)))</f>
        <v/>
      </c>
      <c r="Q82" s="12">
        <f>IF(N82="","",IF(N82=0,$B$7,$B$7-Y82*O82/N82))</f>
        <v/>
      </c>
      <c r="R82" s="12">
        <f>IF(N82="","",IF(N82=0,$B$8,$B$8+Y82*P82/N82))</f>
        <v/>
      </c>
      <c r="S82" s="12">
        <f>IFERROR(SQRT((Q82-H82)^2+(R82-I82)^2),"")</f>
        <v/>
      </c>
      <c r="T82">
        <f>55</f>
        <v/>
      </c>
      <c r="U82">
        <f>IF(T82&gt;4*$E$9,"",MIN(INT(T82/$E$9)+1,4))</f>
        <v/>
      </c>
      <c r="V82">
        <f>IF(T82=4*$E$9,-$E$6/2,IF(U82="","",CHOOSE(U82,-$E$6/2+MOD(T82,$E$9)/$E$9*$E$6,$E$6/2,$E$6/2-MOD(T82,$E$9)/$E$9*$E$6,-$E$6/2)))</f>
        <v/>
      </c>
      <c r="W82">
        <f>IF(T82=4*$E$9,-$E$7/2,IF(U82="","",CHOOSE(U82,-$E$7/2,-$E$7/2+MOD(T82,$E$9)/$E$9*$E$7,$E$7/2,$E$7/2-MOD(T82,$E$9)/$E$9*$E$7)))</f>
        <v/>
      </c>
      <c r="X82">
        <f>IF(OR($E$13&lt;&gt;"OK",M82=""),"",IF(M82&lt;=$A$19,$D$19,IF(M82&gt;=INDEX($A$19:$A$218,$E$12),INDEX($D$19:$D$218,$E$12),INDEX($D$19:$D$218,MATCH(M82,$A$19:INDEX($A$19:$A$218,$E$12),1))+(M82-INDEX($A$19:$A$218,MATCH(M82,$A$19:INDEX($A$19:$A$218,$E$12),1)))*(INDEX($D$19:$D$218,MATCH(M82,$A$19:INDEX($A$19:$A$218,$E$12),1)+1)-INDEX($D$19:$D$218,MATCH(M82,$A$19:INDEX($A$19:$A$218,$E$12),1)))/(INDEX($A$19:$A$218,MATCH(M82,$A$19:INDEX($A$19:$A$218,$E$12),1)+1)-INDEX($A$19:$A$218,MATCH(M82,$A$19:INDEX($A$19:$A$218,$E$12),1))))))</f>
        <v/>
      </c>
      <c r="Y82">
        <f>IF(X82="","",X82*1000/$B$4)</f>
        <v/>
      </c>
    </row>
    <row r="83">
      <c r="A83" s="10" t="n"/>
      <c r="B83" s="10" t="n"/>
      <c r="C83" s="11">
        <f>IF(A83="","",$B$5*TAN(RADIANS(A83)))</f>
        <v/>
      </c>
      <c r="D83" s="11">
        <f>IF(C83="","",C83*(1+B83/100))</f>
        <v/>
      </c>
      <c r="E83" s="11">
        <f>IF(A83="","",$B$6*TAN(RADIANS(A83)))</f>
        <v/>
      </c>
      <c r="G83" s="12">
        <f>IF(U83="","",T83)</f>
        <v/>
      </c>
      <c r="H83" s="12">
        <f>IF(U83="","",$E$4+V83*COS(RADIANS($E$8))-W83*SIN(RADIANS($E$8)))</f>
        <v/>
      </c>
      <c r="I83" s="12">
        <f>IF(U83="","",$E$5+V83*SIN(RADIANS($E$8))+W83*COS(RADIANS($E$8)))</f>
        <v/>
      </c>
      <c r="J83" s="12">
        <f>IF(H83="","",H83-$B$7)</f>
        <v/>
      </c>
      <c r="K83" s="12">
        <f>IF(I83="","",I83-$B$8)</f>
        <v/>
      </c>
      <c r="L83" s="12">
        <f>IFERROR(SQRT(J83^2+K83^2)*$B$4/1000,"")</f>
        <v/>
      </c>
      <c r="M83" s="12">
        <f>IF(OR($E$13&lt;&gt;"OK",L83=""),"",IF(L83&lt;=$D$19,$A$19,IF(L83&gt;=INDEX($D$19:$D$218,$E$12),INDEX($A$19:$A$218,$E$12),INDEX($A$19:$A$218,MATCH(L83,$D$19:INDEX($D$19:$D$218,$E$12),1))+(L83-INDEX($D$19:$D$218,MATCH(L83,$D$19:INDEX($D$19:$D$218,$E$12),1)))*(INDEX($A$19:$A$218,MATCH(L83,$D$19:INDEX($D$19:$D$218,$E$12),1)+1)-INDEX($A$19:$A$218,MATCH(L83,$D$19:INDEX($D$19:$D$218,$E$12),1)))/(INDEX($D$19:$D$218,MATCH(L83,$D$19:INDEX($D$19:$D$218,$E$12),1)+1)-INDEX($D$19:$D$218,MATCH(L83,$D$19:INDEX($D$19:$D$218,$E$12),1))))))</f>
        <v/>
      </c>
      <c r="N83" s="12">
        <f>IF(M83="","",$B$6*TAN(RADIANS(M83)))</f>
        <v/>
      </c>
      <c r="O83" s="12">
        <f>IF(N83="","",IF(L83=0,0,-N83*J83/SQRT(J83^2+K83^2)))</f>
        <v/>
      </c>
      <c r="P83" s="12">
        <f>IF(N83="","",IF(L83=0,0,N83*K83/SQRT(J83^2+K83^2)))</f>
        <v/>
      </c>
      <c r="Q83" s="12">
        <f>IF(N83="","",IF(N83=0,$B$7,$B$7-Y83*O83/N83))</f>
        <v/>
      </c>
      <c r="R83" s="12">
        <f>IF(N83="","",IF(N83=0,$B$8,$B$8+Y83*P83/N83))</f>
        <v/>
      </c>
      <c r="S83" s="12">
        <f>IFERROR(SQRT((Q83-H83)^2+(R83-I83)^2),"")</f>
        <v/>
      </c>
      <c r="T83">
        <f>56</f>
        <v/>
      </c>
      <c r="U83">
        <f>IF(T83&gt;4*$E$9,"",MIN(INT(T83/$E$9)+1,4))</f>
        <v/>
      </c>
      <c r="V83">
        <f>IF(T83=4*$E$9,-$E$6/2,IF(U83="","",CHOOSE(U83,-$E$6/2+MOD(T83,$E$9)/$E$9*$E$6,$E$6/2,$E$6/2-MOD(T83,$E$9)/$E$9*$E$6,-$E$6/2)))</f>
        <v/>
      </c>
      <c r="W83">
        <f>IF(T83=4*$E$9,-$E$7/2,IF(U83="","",CHOOSE(U83,-$E$7/2,-$E$7/2+MOD(T83,$E$9)/$E$9*$E$7,$E$7/2,$E$7/2-MOD(T83,$E$9)/$E$9*$E$7)))</f>
        <v/>
      </c>
      <c r="X83">
        <f>IF(OR($E$13&lt;&gt;"OK",M83=""),"",IF(M83&lt;=$A$19,$D$19,IF(M83&gt;=INDEX($A$19:$A$218,$E$12),INDEX($D$19:$D$218,$E$12),INDEX($D$19:$D$218,MATCH(M83,$A$19:INDEX($A$19:$A$218,$E$12),1))+(M83-INDEX($A$19:$A$218,MATCH(M83,$A$19:INDEX($A$19:$A$218,$E$12),1)))*(INDEX($D$19:$D$218,MATCH(M83,$A$19:INDEX($A$19:$A$218,$E$12),1)+1)-INDEX($D$19:$D$218,MATCH(M83,$A$19:INDEX($A$19:$A$218,$E$12),1)))/(INDEX($A$19:$A$218,MATCH(M83,$A$19:INDEX($A$19:$A$218,$E$12),1)+1)-INDEX($A$19:$A$218,MATCH(M83,$A$19:INDEX($A$19:$A$218,$E$12),1))))))</f>
        <v/>
      </c>
      <c r="Y83">
        <f>IF(X83="","",X83*1000/$B$4)</f>
        <v/>
      </c>
    </row>
    <row r="84">
      <c r="A84" s="10" t="n"/>
      <c r="B84" s="10" t="n"/>
      <c r="C84" s="11">
        <f>IF(A84="","",$B$5*TAN(RADIANS(A84)))</f>
        <v/>
      </c>
      <c r="D84" s="11">
        <f>IF(C84="","",C84*(1+B84/100))</f>
        <v/>
      </c>
      <c r="E84" s="11">
        <f>IF(A84="","",$B$6*TAN(RADIANS(A84)))</f>
        <v/>
      </c>
      <c r="G84" s="12">
        <f>IF(U84="","",T84)</f>
        <v/>
      </c>
      <c r="H84" s="12">
        <f>IF(U84="","",$E$4+V84*COS(RADIANS($E$8))-W84*SIN(RADIANS($E$8)))</f>
        <v/>
      </c>
      <c r="I84" s="12">
        <f>IF(U84="","",$E$5+V84*SIN(RADIANS($E$8))+W84*COS(RADIANS($E$8)))</f>
        <v/>
      </c>
      <c r="J84" s="12">
        <f>IF(H84="","",H84-$B$7)</f>
        <v/>
      </c>
      <c r="K84" s="12">
        <f>IF(I84="","",I84-$B$8)</f>
        <v/>
      </c>
      <c r="L84" s="12">
        <f>IFERROR(SQRT(J84^2+K84^2)*$B$4/1000,"")</f>
        <v/>
      </c>
      <c r="M84" s="12">
        <f>IF(OR($E$13&lt;&gt;"OK",L84=""),"",IF(L84&lt;=$D$19,$A$19,IF(L84&gt;=INDEX($D$19:$D$218,$E$12),INDEX($A$19:$A$218,$E$12),INDEX($A$19:$A$218,MATCH(L84,$D$19:INDEX($D$19:$D$218,$E$12),1))+(L84-INDEX($D$19:$D$218,MATCH(L84,$D$19:INDEX($D$19:$D$218,$E$12),1)))*(INDEX($A$19:$A$218,MATCH(L84,$D$19:INDEX($D$19:$D$218,$E$12),1)+1)-INDEX($A$19:$A$218,MATCH(L84,$D$19:INDEX($D$19:$D$218,$E$12),1)))/(INDEX($D$19:$D$218,MATCH(L84,$D$19:INDEX($D$19:$D$218,$E$12),1)+1)-INDEX($D$19:$D$218,MATCH(L84,$D$19:INDEX($D$19:$D$218,$E$12),1))))))</f>
        <v/>
      </c>
      <c r="N84" s="12">
        <f>IF(M84="","",$B$6*TAN(RADIANS(M84)))</f>
        <v/>
      </c>
      <c r="O84" s="12">
        <f>IF(N84="","",IF(L84=0,0,-N84*J84/SQRT(J84^2+K84^2)))</f>
        <v/>
      </c>
      <c r="P84" s="12">
        <f>IF(N84="","",IF(L84=0,0,N84*K84/SQRT(J84^2+K84^2)))</f>
        <v/>
      </c>
      <c r="Q84" s="12">
        <f>IF(N84="","",IF(N84=0,$B$7,$B$7-Y84*O84/N84))</f>
        <v/>
      </c>
      <c r="R84" s="12">
        <f>IF(N84="","",IF(N84=0,$B$8,$B$8+Y84*P84/N84))</f>
        <v/>
      </c>
      <c r="S84" s="12">
        <f>IFERROR(SQRT((Q84-H84)^2+(R84-I84)^2),"")</f>
        <v/>
      </c>
      <c r="T84">
        <f>57</f>
        <v/>
      </c>
      <c r="U84">
        <f>IF(T84&gt;4*$E$9,"",MIN(INT(T84/$E$9)+1,4))</f>
        <v/>
      </c>
      <c r="V84">
        <f>IF(T84=4*$E$9,-$E$6/2,IF(U84="","",CHOOSE(U84,-$E$6/2+MOD(T84,$E$9)/$E$9*$E$6,$E$6/2,$E$6/2-MOD(T84,$E$9)/$E$9*$E$6,-$E$6/2)))</f>
        <v/>
      </c>
      <c r="W84">
        <f>IF(T84=4*$E$9,-$E$7/2,IF(U84="","",CHOOSE(U84,-$E$7/2,-$E$7/2+MOD(T84,$E$9)/$E$9*$E$7,$E$7/2,$E$7/2-MOD(T84,$E$9)/$E$9*$E$7)))</f>
        <v/>
      </c>
      <c r="X84">
        <f>IF(OR($E$13&lt;&gt;"OK",M84=""),"",IF(M84&lt;=$A$19,$D$19,IF(M84&gt;=INDEX($A$19:$A$218,$E$12),INDEX($D$19:$D$218,$E$12),INDEX($D$19:$D$218,MATCH(M84,$A$19:INDEX($A$19:$A$218,$E$12),1))+(M84-INDEX($A$19:$A$218,MATCH(M84,$A$19:INDEX($A$19:$A$218,$E$12),1)))*(INDEX($D$19:$D$218,MATCH(M84,$A$19:INDEX($A$19:$A$218,$E$12),1)+1)-INDEX($D$19:$D$218,MATCH(M84,$A$19:INDEX($A$19:$A$218,$E$12),1)))/(INDEX($A$19:$A$218,MATCH(M84,$A$19:INDEX($A$19:$A$218,$E$12),1)+1)-INDEX($A$19:$A$218,MATCH(M84,$A$19:INDEX($A$19:$A$218,$E$12),1))))))</f>
        <v/>
      </c>
      <c r="Y84">
        <f>IF(X84="","",X84*1000/$B$4)</f>
        <v/>
      </c>
    </row>
    <row r="85">
      <c r="A85" s="10" t="n"/>
      <c r="B85" s="10" t="n"/>
      <c r="C85" s="11">
        <f>IF(A85="","",$B$5*TAN(RADIANS(A85)))</f>
        <v/>
      </c>
      <c r="D85" s="11">
        <f>IF(C85="","",C85*(1+B85/100))</f>
        <v/>
      </c>
      <c r="E85" s="11">
        <f>IF(A85="","",$B$6*TAN(RADIANS(A85)))</f>
        <v/>
      </c>
      <c r="G85" s="12">
        <f>IF(U85="","",T85)</f>
        <v/>
      </c>
      <c r="H85" s="12">
        <f>IF(U85="","",$E$4+V85*COS(RADIANS($E$8))-W85*SIN(RADIANS($E$8)))</f>
        <v/>
      </c>
      <c r="I85" s="12">
        <f>IF(U85="","",$E$5+V85*SIN(RADIANS($E$8))+W85*COS(RADIANS($E$8)))</f>
        <v/>
      </c>
      <c r="J85" s="12">
        <f>IF(H85="","",H85-$B$7)</f>
        <v/>
      </c>
      <c r="K85" s="12">
        <f>IF(I85="","",I85-$B$8)</f>
        <v/>
      </c>
      <c r="L85" s="12">
        <f>IFERROR(SQRT(J85^2+K85^2)*$B$4/1000,"")</f>
        <v/>
      </c>
      <c r="M85" s="12">
        <f>IF(OR($E$13&lt;&gt;"OK",L85=""),"",IF(L85&lt;=$D$19,$A$19,IF(L85&gt;=INDEX($D$19:$D$218,$E$12),INDEX($A$19:$A$218,$E$12),INDEX($A$19:$A$218,MATCH(L85,$D$19:INDEX($D$19:$D$218,$E$12),1))+(L85-INDEX($D$19:$D$218,MATCH(L85,$D$19:INDEX($D$19:$D$218,$E$12),1)))*(INDEX($A$19:$A$218,MATCH(L85,$D$19:INDEX($D$19:$D$218,$E$12),1)+1)-INDEX($A$19:$A$218,MATCH(L85,$D$19:INDEX($D$19:$D$218,$E$12),1)))/(INDEX($D$19:$D$218,MATCH(L85,$D$19:INDEX($D$19:$D$218,$E$12),1)+1)-INDEX($D$19:$D$218,MATCH(L85,$D$19:INDEX($D$19:$D$218,$E$12),1))))))</f>
        <v/>
      </c>
      <c r="N85" s="12">
        <f>IF(M85="","",$B$6*TAN(RADIANS(M85)))</f>
        <v/>
      </c>
      <c r="O85" s="12">
        <f>IF(N85="","",IF(L85=0,0,-N85*J85/SQRT(J85^2+K85^2)))</f>
        <v/>
      </c>
      <c r="P85" s="12">
        <f>IF(N85="","",IF(L85=0,0,N85*K85/SQRT(J85^2+K85^2)))</f>
        <v/>
      </c>
      <c r="Q85" s="12">
        <f>IF(N85="","",IF(N85=0,$B$7,$B$7-Y85*O85/N85))</f>
        <v/>
      </c>
      <c r="R85" s="12">
        <f>IF(N85="","",IF(N85=0,$B$8,$B$8+Y85*P85/N85))</f>
        <v/>
      </c>
      <c r="S85" s="12">
        <f>IFERROR(SQRT((Q85-H85)^2+(R85-I85)^2),"")</f>
        <v/>
      </c>
      <c r="T85">
        <f>58</f>
        <v/>
      </c>
      <c r="U85">
        <f>IF(T85&gt;4*$E$9,"",MIN(INT(T85/$E$9)+1,4))</f>
        <v/>
      </c>
      <c r="V85">
        <f>IF(T85=4*$E$9,-$E$6/2,IF(U85="","",CHOOSE(U85,-$E$6/2+MOD(T85,$E$9)/$E$9*$E$6,$E$6/2,$E$6/2-MOD(T85,$E$9)/$E$9*$E$6,-$E$6/2)))</f>
        <v/>
      </c>
      <c r="W85">
        <f>IF(T85=4*$E$9,-$E$7/2,IF(U85="","",CHOOSE(U85,-$E$7/2,-$E$7/2+MOD(T85,$E$9)/$E$9*$E$7,$E$7/2,$E$7/2-MOD(T85,$E$9)/$E$9*$E$7)))</f>
        <v/>
      </c>
      <c r="X85">
        <f>IF(OR($E$13&lt;&gt;"OK",M85=""),"",IF(M85&lt;=$A$19,$D$19,IF(M85&gt;=INDEX($A$19:$A$218,$E$12),INDEX($D$19:$D$218,$E$12),INDEX($D$19:$D$218,MATCH(M85,$A$19:INDEX($A$19:$A$218,$E$12),1))+(M85-INDEX($A$19:$A$218,MATCH(M85,$A$19:INDEX($A$19:$A$218,$E$12),1)))*(INDEX($D$19:$D$218,MATCH(M85,$A$19:INDEX($A$19:$A$218,$E$12),1)+1)-INDEX($D$19:$D$218,MATCH(M85,$A$19:INDEX($A$19:$A$218,$E$12),1)))/(INDEX($A$19:$A$218,MATCH(M85,$A$19:INDEX($A$19:$A$218,$E$12),1)+1)-INDEX($A$19:$A$218,MATCH(M85,$A$19:INDEX($A$19:$A$218,$E$12),1))))))</f>
        <v/>
      </c>
      <c r="Y85">
        <f>IF(X85="","",X85*1000/$B$4)</f>
        <v/>
      </c>
    </row>
    <row r="86">
      <c r="A86" s="10" t="n"/>
      <c r="B86" s="10" t="n"/>
      <c r="C86" s="11">
        <f>IF(A86="","",$B$5*TAN(RADIANS(A86)))</f>
        <v/>
      </c>
      <c r="D86" s="11">
        <f>IF(C86="","",C86*(1+B86/100))</f>
        <v/>
      </c>
      <c r="E86" s="11">
        <f>IF(A86="","",$B$6*TAN(RADIANS(A86)))</f>
        <v/>
      </c>
      <c r="G86" s="12">
        <f>IF(U86="","",T86)</f>
        <v/>
      </c>
      <c r="H86" s="12">
        <f>IF(U86="","",$E$4+V86*COS(RADIANS($E$8))-W86*SIN(RADIANS($E$8)))</f>
        <v/>
      </c>
      <c r="I86" s="12">
        <f>IF(U86="","",$E$5+V86*SIN(RADIANS($E$8))+W86*COS(RADIANS($E$8)))</f>
        <v/>
      </c>
      <c r="J86" s="12">
        <f>IF(H86="","",H86-$B$7)</f>
        <v/>
      </c>
      <c r="K86" s="12">
        <f>IF(I86="","",I86-$B$8)</f>
        <v/>
      </c>
      <c r="L86" s="12">
        <f>IFERROR(SQRT(J86^2+K86^2)*$B$4/1000,"")</f>
        <v/>
      </c>
      <c r="M86" s="12">
        <f>IF(OR($E$13&lt;&gt;"OK",L86=""),"",IF(L86&lt;=$D$19,$A$19,IF(L86&gt;=INDEX($D$19:$D$218,$E$12),INDEX($A$19:$A$218,$E$12),INDEX($A$19:$A$218,MATCH(L86,$D$19:INDEX($D$19:$D$218,$E$12),1))+(L86-INDEX($D$19:$D$218,MATCH(L86,$D$19:INDEX($D$19:$D$218,$E$12),1)))*(INDEX($A$19:$A$218,MATCH(L86,$D$19:INDEX($D$19:$D$218,$E$12),1)+1)-INDEX($A$19:$A$218,MATCH(L86,$D$19:INDEX($D$19:$D$218,$E$12),1)))/(INDEX($D$19:$D$218,MATCH(L86,$D$19:INDEX($D$19:$D$218,$E$12),1)+1)-INDEX($D$19:$D$218,MATCH(L86,$D$19:INDEX($D$19:$D$218,$E$12),1))))))</f>
        <v/>
      </c>
      <c r="N86" s="12">
        <f>IF(M86="","",$B$6*TAN(RADIANS(M86)))</f>
        <v/>
      </c>
      <c r="O86" s="12">
        <f>IF(N86="","",IF(L86=0,0,-N86*J86/SQRT(J86^2+K86^2)))</f>
        <v/>
      </c>
      <c r="P86" s="12">
        <f>IF(N86="","",IF(L86=0,0,N86*K86/SQRT(J86^2+K86^2)))</f>
        <v/>
      </c>
      <c r="Q86" s="12">
        <f>IF(N86="","",IF(N86=0,$B$7,$B$7-Y86*O86/N86))</f>
        <v/>
      </c>
      <c r="R86" s="12">
        <f>IF(N86="","",IF(N86=0,$B$8,$B$8+Y86*P86/N86))</f>
        <v/>
      </c>
      <c r="S86" s="12">
        <f>IFERROR(SQRT((Q86-H86)^2+(R86-I86)^2),"")</f>
        <v/>
      </c>
      <c r="T86">
        <f>59</f>
        <v/>
      </c>
      <c r="U86">
        <f>IF(T86&gt;4*$E$9,"",MIN(INT(T86/$E$9)+1,4))</f>
        <v/>
      </c>
      <c r="V86">
        <f>IF(T86=4*$E$9,-$E$6/2,IF(U86="","",CHOOSE(U86,-$E$6/2+MOD(T86,$E$9)/$E$9*$E$6,$E$6/2,$E$6/2-MOD(T86,$E$9)/$E$9*$E$6,-$E$6/2)))</f>
        <v/>
      </c>
      <c r="W86">
        <f>IF(T86=4*$E$9,-$E$7/2,IF(U86="","",CHOOSE(U86,-$E$7/2,-$E$7/2+MOD(T86,$E$9)/$E$9*$E$7,$E$7/2,$E$7/2-MOD(T86,$E$9)/$E$9*$E$7)))</f>
        <v/>
      </c>
      <c r="X86">
        <f>IF(OR($E$13&lt;&gt;"OK",M86=""),"",IF(M86&lt;=$A$19,$D$19,IF(M86&gt;=INDEX($A$19:$A$218,$E$12),INDEX($D$19:$D$218,$E$12),INDEX($D$19:$D$218,MATCH(M86,$A$19:INDEX($A$19:$A$218,$E$12),1))+(M86-INDEX($A$19:$A$218,MATCH(M86,$A$19:INDEX($A$19:$A$218,$E$12),1)))*(INDEX($D$19:$D$218,MATCH(M86,$A$19:INDEX($A$19:$A$218,$E$12),1)+1)-INDEX($D$19:$D$218,MATCH(M86,$A$19:INDEX($A$19:$A$218,$E$12),1)))/(INDEX($A$19:$A$218,MATCH(M86,$A$19:INDEX($A$19:$A$218,$E$12),1)+1)-INDEX($A$19:$A$218,MATCH(M86,$A$19:INDEX($A$19:$A$218,$E$12),1))))))</f>
        <v/>
      </c>
      <c r="Y86">
        <f>IF(X86="","",X86*1000/$B$4)</f>
        <v/>
      </c>
    </row>
    <row r="87">
      <c r="A87" s="10" t="n"/>
      <c r="B87" s="10" t="n"/>
      <c r="C87" s="11">
        <f>IF(A87="","",$B$5*TAN(RADIANS(A87)))</f>
        <v/>
      </c>
      <c r="D87" s="11">
        <f>IF(C87="","",C87*(1+B87/100))</f>
        <v/>
      </c>
      <c r="E87" s="11">
        <f>IF(A87="","",$B$6*TAN(RADIANS(A87)))</f>
        <v/>
      </c>
      <c r="G87" s="12">
        <f>IF(U87="","",T87)</f>
        <v/>
      </c>
      <c r="H87" s="12">
        <f>IF(U87="","",$E$4+V87*COS(RADIANS($E$8))-W87*SIN(RADIANS($E$8)))</f>
        <v/>
      </c>
      <c r="I87" s="12">
        <f>IF(U87="","",$E$5+V87*SIN(RADIANS($E$8))+W87*COS(RADIANS($E$8)))</f>
        <v/>
      </c>
      <c r="J87" s="12">
        <f>IF(H87="","",H87-$B$7)</f>
        <v/>
      </c>
      <c r="K87" s="12">
        <f>IF(I87="","",I87-$B$8)</f>
        <v/>
      </c>
      <c r="L87" s="12">
        <f>IFERROR(SQRT(J87^2+K87^2)*$B$4/1000,"")</f>
        <v/>
      </c>
      <c r="M87" s="12">
        <f>IF(OR($E$13&lt;&gt;"OK",L87=""),"",IF(L87&lt;=$D$19,$A$19,IF(L87&gt;=INDEX($D$19:$D$218,$E$12),INDEX($A$19:$A$218,$E$12),INDEX($A$19:$A$218,MATCH(L87,$D$19:INDEX($D$19:$D$218,$E$12),1))+(L87-INDEX($D$19:$D$218,MATCH(L87,$D$19:INDEX($D$19:$D$218,$E$12),1)))*(INDEX($A$19:$A$218,MATCH(L87,$D$19:INDEX($D$19:$D$218,$E$12),1)+1)-INDEX($A$19:$A$218,MATCH(L87,$D$19:INDEX($D$19:$D$218,$E$12),1)))/(INDEX($D$19:$D$218,MATCH(L87,$D$19:INDEX($D$19:$D$218,$E$12),1)+1)-INDEX($D$19:$D$218,MATCH(L87,$D$19:INDEX($D$19:$D$218,$E$12),1))))))</f>
        <v/>
      </c>
      <c r="N87" s="12">
        <f>IF(M87="","",$B$6*TAN(RADIANS(M87)))</f>
        <v/>
      </c>
      <c r="O87" s="12">
        <f>IF(N87="","",IF(L87=0,0,-N87*J87/SQRT(J87^2+K87^2)))</f>
        <v/>
      </c>
      <c r="P87" s="12">
        <f>IF(N87="","",IF(L87=0,0,N87*K87/SQRT(J87^2+K87^2)))</f>
        <v/>
      </c>
      <c r="Q87" s="12">
        <f>IF(N87="","",IF(N87=0,$B$7,$B$7-Y87*O87/N87))</f>
        <v/>
      </c>
      <c r="R87" s="12">
        <f>IF(N87="","",IF(N87=0,$B$8,$B$8+Y87*P87/N87))</f>
        <v/>
      </c>
      <c r="S87" s="12">
        <f>IFERROR(SQRT((Q87-H87)^2+(R87-I87)^2),"")</f>
        <v/>
      </c>
      <c r="T87">
        <f>60</f>
        <v/>
      </c>
      <c r="U87">
        <f>IF(T87&gt;4*$E$9,"",MIN(INT(T87/$E$9)+1,4))</f>
        <v/>
      </c>
      <c r="V87">
        <f>IF(T87=4*$E$9,-$E$6/2,IF(U87="","",CHOOSE(U87,-$E$6/2+MOD(T87,$E$9)/$E$9*$E$6,$E$6/2,$E$6/2-MOD(T87,$E$9)/$E$9*$E$6,-$E$6/2)))</f>
        <v/>
      </c>
      <c r="W87">
        <f>IF(T87=4*$E$9,-$E$7/2,IF(U87="","",CHOOSE(U87,-$E$7/2,-$E$7/2+MOD(T87,$E$9)/$E$9*$E$7,$E$7/2,$E$7/2-MOD(T87,$E$9)/$E$9*$E$7)))</f>
        <v/>
      </c>
      <c r="X87">
        <f>IF(OR($E$13&lt;&gt;"OK",M87=""),"",IF(M87&lt;=$A$19,$D$19,IF(M87&gt;=INDEX($A$19:$A$218,$E$12),INDEX($D$19:$D$218,$E$12),INDEX($D$19:$D$218,MATCH(M87,$A$19:INDEX($A$19:$A$218,$E$12),1))+(M87-INDEX($A$19:$A$218,MATCH(M87,$A$19:INDEX($A$19:$A$218,$E$12),1)))*(INDEX($D$19:$D$218,MATCH(M87,$A$19:INDEX($A$19:$A$218,$E$12),1)+1)-INDEX($D$19:$D$218,MATCH(M87,$A$19:INDEX($A$19:$A$218,$E$12),1)))/(INDEX($A$19:$A$218,MATCH(M87,$A$19:INDEX($A$19:$A$218,$E$12),1)+1)-INDEX($A$19:$A$218,MATCH(M87,$A$19:INDEX($A$19:$A$218,$E$12),1))))))</f>
        <v/>
      </c>
      <c r="Y87">
        <f>IF(X87="","",X87*1000/$B$4)</f>
        <v/>
      </c>
    </row>
    <row r="88">
      <c r="A88" s="10" t="n"/>
      <c r="B88" s="10" t="n"/>
      <c r="C88" s="11">
        <f>IF(A88="","",$B$5*TAN(RADIANS(A88)))</f>
        <v/>
      </c>
      <c r="D88" s="11">
        <f>IF(C88="","",C88*(1+B88/100))</f>
        <v/>
      </c>
      <c r="E88" s="11">
        <f>IF(A88="","",$B$6*TAN(RADIANS(A88)))</f>
        <v/>
      </c>
      <c r="G88" s="12">
        <f>IF(U88="","",T88)</f>
        <v/>
      </c>
      <c r="H88" s="12">
        <f>IF(U88="","",$E$4+V88*COS(RADIANS($E$8))-W88*SIN(RADIANS($E$8)))</f>
        <v/>
      </c>
      <c r="I88" s="12">
        <f>IF(U88="","",$E$5+V88*SIN(RADIANS($E$8))+W88*COS(RADIANS($E$8)))</f>
        <v/>
      </c>
      <c r="J88" s="12">
        <f>IF(H88="","",H88-$B$7)</f>
        <v/>
      </c>
      <c r="K88" s="12">
        <f>IF(I88="","",I88-$B$8)</f>
        <v/>
      </c>
      <c r="L88" s="12">
        <f>IFERROR(SQRT(J88^2+K88^2)*$B$4/1000,"")</f>
        <v/>
      </c>
      <c r="M88" s="12">
        <f>IF(OR($E$13&lt;&gt;"OK",L88=""),"",IF(L88&lt;=$D$19,$A$19,IF(L88&gt;=INDEX($D$19:$D$218,$E$12),INDEX($A$19:$A$218,$E$12),INDEX($A$19:$A$218,MATCH(L88,$D$19:INDEX($D$19:$D$218,$E$12),1))+(L88-INDEX($D$19:$D$218,MATCH(L88,$D$19:INDEX($D$19:$D$218,$E$12),1)))*(INDEX($A$19:$A$218,MATCH(L88,$D$19:INDEX($D$19:$D$218,$E$12),1)+1)-INDEX($A$19:$A$218,MATCH(L88,$D$19:INDEX($D$19:$D$218,$E$12),1)))/(INDEX($D$19:$D$218,MATCH(L88,$D$19:INDEX($D$19:$D$218,$E$12),1)+1)-INDEX($D$19:$D$218,MATCH(L88,$D$19:INDEX($D$19:$D$218,$E$12),1))))))</f>
        <v/>
      </c>
      <c r="N88" s="12">
        <f>IF(M88="","",$B$6*TAN(RADIANS(M88)))</f>
        <v/>
      </c>
      <c r="O88" s="12">
        <f>IF(N88="","",IF(L88=0,0,-N88*J88/SQRT(J88^2+K88^2)))</f>
        <v/>
      </c>
      <c r="P88" s="12">
        <f>IF(N88="","",IF(L88=0,0,N88*K88/SQRT(J88^2+K88^2)))</f>
        <v/>
      </c>
      <c r="Q88" s="12">
        <f>IF(N88="","",IF(N88=0,$B$7,$B$7-Y88*O88/N88))</f>
        <v/>
      </c>
      <c r="R88" s="12">
        <f>IF(N88="","",IF(N88=0,$B$8,$B$8+Y88*P88/N88))</f>
        <v/>
      </c>
      <c r="S88" s="12">
        <f>IFERROR(SQRT((Q88-H88)^2+(R88-I88)^2),"")</f>
        <v/>
      </c>
      <c r="T88">
        <f>61</f>
        <v/>
      </c>
      <c r="U88">
        <f>IF(T88&gt;4*$E$9,"",MIN(INT(T88/$E$9)+1,4))</f>
        <v/>
      </c>
      <c r="V88">
        <f>IF(T88=4*$E$9,-$E$6/2,IF(U88="","",CHOOSE(U88,-$E$6/2+MOD(T88,$E$9)/$E$9*$E$6,$E$6/2,$E$6/2-MOD(T88,$E$9)/$E$9*$E$6,-$E$6/2)))</f>
        <v/>
      </c>
      <c r="W88">
        <f>IF(T88=4*$E$9,-$E$7/2,IF(U88="","",CHOOSE(U88,-$E$7/2,-$E$7/2+MOD(T88,$E$9)/$E$9*$E$7,$E$7/2,$E$7/2-MOD(T88,$E$9)/$E$9*$E$7)))</f>
        <v/>
      </c>
      <c r="X88">
        <f>IF(OR($E$13&lt;&gt;"OK",M88=""),"",IF(M88&lt;=$A$19,$D$19,IF(M88&gt;=INDEX($A$19:$A$218,$E$12),INDEX($D$19:$D$218,$E$12),INDEX($D$19:$D$218,MATCH(M88,$A$19:INDEX($A$19:$A$218,$E$12),1))+(M88-INDEX($A$19:$A$218,MATCH(M88,$A$19:INDEX($A$19:$A$218,$E$12),1)))*(INDEX($D$19:$D$218,MATCH(M88,$A$19:INDEX($A$19:$A$218,$E$12),1)+1)-INDEX($D$19:$D$218,MATCH(M88,$A$19:INDEX($A$19:$A$218,$E$12),1)))/(INDEX($A$19:$A$218,MATCH(M88,$A$19:INDEX($A$19:$A$218,$E$12),1)+1)-INDEX($A$19:$A$218,MATCH(M88,$A$19:INDEX($A$19:$A$218,$E$12),1))))))</f>
        <v/>
      </c>
      <c r="Y88">
        <f>IF(X88="","",X88*1000/$B$4)</f>
        <v/>
      </c>
    </row>
    <row r="89">
      <c r="A89" s="10" t="n"/>
      <c r="B89" s="10" t="n"/>
      <c r="C89" s="11">
        <f>IF(A89="","",$B$5*TAN(RADIANS(A89)))</f>
        <v/>
      </c>
      <c r="D89" s="11">
        <f>IF(C89="","",C89*(1+B89/100))</f>
        <v/>
      </c>
      <c r="E89" s="11">
        <f>IF(A89="","",$B$6*TAN(RADIANS(A89)))</f>
        <v/>
      </c>
      <c r="G89" s="12">
        <f>IF(U89="","",T89)</f>
        <v/>
      </c>
      <c r="H89" s="12">
        <f>IF(U89="","",$E$4+V89*COS(RADIANS($E$8))-W89*SIN(RADIANS($E$8)))</f>
        <v/>
      </c>
      <c r="I89" s="12">
        <f>IF(U89="","",$E$5+V89*SIN(RADIANS($E$8))+W89*COS(RADIANS($E$8)))</f>
        <v/>
      </c>
      <c r="J89" s="12">
        <f>IF(H89="","",H89-$B$7)</f>
        <v/>
      </c>
      <c r="K89" s="12">
        <f>IF(I89="","",I89-$B$8)</f>
        <v/>
      </c>
      <c r="L89" s="12">
        <f>IFERROR(SQRT(J89^2+K89^2)*$B$4/1000,"")</f>
        <v/>
      </c>
      <c r="M89" s="12">
        <f>IF(OR($E$13&lt;&gt;"OK",L89=""),"",IF(L89&lt;=$D$19,$A$19,IF(L89&gt;=INDEX($D$19:$D$218,$E$12),INDEX($A$19:$A$218,$E$12),INDEX($A$19:$A$218,MATCH(L89,$D$19:INDEX($D$19:$D$218,$E$12),1))+(L89-INDEX($D$19:$D$218,MATCH(L89,$D$19:INDEX($D$19:$D$218,$E$12),1)))*(INDEX($A$19:$A$218,MATCH(L89,$D$19:INDEX($D$19:$D$218,$E$12),1)+1)-INDEX($A$19:$A$218,MATCH(L89,$D$19:INDEX($D$19:$D$218,$E$12),1)))/(INDEX($D$19:$D$218,MATCH(L89,$D$19:INDEX($D$19:$D$218,$E$12),1)+1)-INDEX($D$19:$D$218,MATCH(L89,$D$19:INDEX($D$19:$D$218,$E$12),1))))))</f>
        <v/>
      </c>
      <c r="N89" s="12">
        <f>IF(M89="","",$B$6*TAN(RADIANS(M89)))</f>
        <v/>
      </c>
      <c r="O89" s="12">
        <f>IF(N89="","",IF(L89=0,0,-N89*J89/SQRT(J89^2+K89^2)))</f>
        <v/>
      </c>
      <c r="P89" s="12">
        <f>IF(N89="","",IF(L89=0,0,N89*K89/SQRT(J89^2+K89^2)))</f>
        <v/>
      </c>
      <c r="Q89" s="12">
        <f>IF(N89="","",IF(N89=0,$B$7,$B$7-Y89*O89/N89))</f>
        <v/>
      </c>
      <c r="R89" s="12">
        <f>IF(N89="","",IF(N89=0,$B$8,$B$8+Y89*P89/N89))</f>
        <v/>
      </c>
      <c r="S89" s="12">
        <f>IFERROR(SQRT((Q89-H89)^2+(R89-I89)^2),"")</f>
        <v/>
      </c>
      <c r="T89">
        <f>62</f>
        <v/>
      </c>
      <c r="U89">
        <f>IF(T89&gt;4*$E$9,"",MIN(INT(T89/$E$9)+1,4))</f>
        <v/>
      </c>
      <c r="V89">
        <f>IF(T89=4*$E$9,-$E$6/2,IF(U89="","",CHOOSE(U89,-$E$6/2+MOD(T89,$E$9)/$E$9*$E$6,$E$6/2,$E$6/2-MOD(T89,$E$9)/$E$9*$E$6,-$E$6/2)))</f>
        <v/>
      </c>
      <c r="W89">
        <f>IF(T89=4*$E$9,-$E$7/2,IF(U89="","",CHOOSE(U89,-$E$7/2,-$E$7/2+MOD(T89,$E$9)/$E$9*$E$7,$E$7/2,$E$7/2-MOD(T89,$E$9)/$E$9*$E$7)))</f>
        <v/>
      </c>
      <c r="X89">
        <f>IF(OR($E$13&lt;&gt;"OK",M89=""),"",IF(M89&lt;=$A$19,$D$19,IF(M89&gt;=INDEX($A$19:$A$218,$E$12),INDEX($D$19:$D$218,$E$12),INDEX($D$19:$D$218,MATCH(M89,$A$19:INDEX($A$19:$A$218,$E$12),1))+(M89-INDEX($A$19:$A$218,MATCH(M89,$A$19:INDEX($A$19:$A$218,$E$12),1)))*(INDEX($D$19:$D$218,MATCH(M89,$A$19:INDEX($A$19:$A$218,$E$12),1)+1)-INDEX($D$19:$D$218,MATCH(M89,$A$19:INDEX($A$19:$A$218,$E$12),1)))/(INDEX($A$19:$A$218,MATCH(M89,$A$19:INDEX($A$19:$A$218,$E$12),1)+1)-INDEX($A$19:$A$218,MATCH(M89,$A$19:INDEX($A$19:$A$218,$E$12),1))))))</f>
        <v/>
      </c>
      <c r="Y89">
        <f>IF(X89="","",X89*1000/$B$4)</f>
        <v/>
      </c>
    </row>
    <row r="90">
      <c r="A90" s="10" t="n"/>
      <c r="B90" s="10" t="n"/>
      <c r="C90" s="11">
        <f>IF(A90="","",$B$5*TAN(RADIANS(A90)))</f>
        <v/>
      </c>
      <c r="D90" s="11">
        <f>IF(C90="","",C90*(1+B90/100))</f>
        <v/>
      </c>
      <c r="E90" s="11">
        <f>IF(A90="","",$B$6*TAN(RADIANS(A90)))</f>
        <v/>
      </c>
      <c r="G90" s="12">
        <f>IF(U90="","",T90)</f>
        <v/>
      </c>
      <c r="H90" s="12">
        <f>IF(U90="","",$E$4+V90*COS(RADIANS($E$8))-W90*SIN(RADIANS($E$8)))</f>
        <v/>
      </c>
      <c r="I90" s="12">
        <f>IF(U90="","",$E$5+V90*SIN(RADIANS($E$8))+W90*COS(RADIANS($E$8)))</f>
        <v/>
      </c>
      <c r="J90" s="12">
        <f>IF(H90="","",H90-$B$7)</f>
        <v/>
      </c>
      <c r="K90" s="12">
        <f>IF(I90="","",I90-$B$8)</f>
        <v/>
      </c>
      <c r="L90" s="12">
        <f>IFERROR(SQRT(J90^2+K90^2)*$B$4/1000,"")</f>
        <v/>
      </c>
      <c r="M90" s="12">
        <f>IF(OR($E$13&lt;&gt;"OK",L90=""),"",IF(L90&lt;=$D$19,$A$19,IF(L90&gt;=INDEX($D$19:$D$218,$E$12),INDEX($A$19:$A$218,$E$12),INDEX($A$19:$A$218,MATCH(L90,$D$19:INDEX($D$19:$D$218,$E$12),1))+(L90-INDEX($D$19:$D$218,MATCH(L90,$D$19:INDEX($D$19:$D$218,$E$12),1)))*(INDEX($A$19:$A$218,MATCH(L90,$D$19:INDEX($D$19:$D$218,$E$12),1)+1)-INDEX($A$19:$A$218,MATCH(L90,$D$19:INDEX($D$19:$D$218,$E$12),1)))/(INDEX($D$19:$D$218,MATCH(L90,$D$19:INDEX($D$19:$D$218,$E$12),1)+1)-INDEX($D$19:$D$218,MATCH(L90,$D$19:INDEX($D$19:$D$218,$E$12),1))))))</f>
        <v/>
      </c>
      <c r="N90" s="12">
        <f>IF(M90="","",$B$6*TAN(RADIANS(M90)))</f>
        <v/>
      </c>
      <c r="O90" s="12">
        <f>IF(N90="","",IF(L90=0,0,-N90*J90/SQRT(J90^2+K90^2)))</f>
        <v/>
      </c>
      <c r="P90" s="12">
        <f>IF(N90="","",IF(L90=0,0,N90*K90/SQRT(J90^2+K90^2)))</f>
        <v/>
      </c>
      <c r="Q90" s="12">
        <f>IF(N90="","",IF(N90=0,$B$7,$B$7-Y90*O90/N90))</f>
        <v/>
      </c>
      <c r="R90" s="12">
        <f>IF(N90="","",IF(N90=0,$B$8,$B$8+Y90*P90/N90))</f>
        <v/>
      </c>
      <c r="S90" s="12">
        <f>IFERROR(SQRT((Q90-H90)^2+(R90-I90)^2),"")</f>
        <v/>
      </c>
      <c r="T90">
        <f>63</f>
        <v/>
      </c>
      <c r="U90">
        <f>IF(T90&gt;4*$E$9,"",MIN(INT(T90/$E$9)+1,4))</f>
        <v/>
      </c>
      <c r="V90">
        <f>IF(T90=4*$E$9,-$E$6/2,IF(U90="","",CHOOSE(U90,-$E$6/2+MOD(T90,$E$9)/$E$9*$E$6,$E$6/2,$E$6/2-MOD(T90,$E$9)/$E$9*$E$6,-$E$6/2)))</f>
        <v/>
      </c>
      <c r="W90">
        <f>IF(T90=4*$E$9,-$E$7/2,IF(U90="","",CHOOSE(U90,-$E$7/2,-$E$7/2+MOD(T90,$E$9)/$E$9*$E$7,$E$7/2,$E$7/2-MOD(T90,$E$9)/$E$9*$E$7)))</f>
        <v/>
      </c>
      <c r="X90">
        <f>IF(OR($E$13&lt;&gt;"OK",M90=""),"",IF(M90&lt;=$A$19,$D$19,IF(M90&gt;=INDEX($A$19:$A$218,$E$12),INDEX($D$19:$D$218,$E$12),INDEX($D$19:$D$218,MATCH(M90,$A$19:INDEX($A$19:$A$218,$E$12),1))+(M90-INDEX($A$19:$A$218,MATCH(M90,$A$19:INDEX($A$19:$A$218,$E$12),1)))*(INDEX($D$19:$D$218,MATCH(M90,$A$19:INDEX($A$19:$A$218,$E$12),1)+1)-INDEX($D$19:$D$218,MATCH(M90,$A$19:INDEX($A$19:$A$218,$E$12),1)))/(INDEX($A$19:$A$218,MATCH(M90,$A$19:INDEX($A$19:$A$218,$E$12),1)+1)-INDEX($A$19:$A$218,MATCH(M90,$A$19:INDEX($A$19:$A$218,$E$12),1))))))</f>
        <v/>
      </c>
      <c r="Y90">
        <f>IF(X90="","",X90*1000/$B$4)</f>
        <v/>
      </c>
    </row>
    <row r="91">
      <c r="A91" s="10" t="n"/>
      <c r="B91" s="10" t="n"/>
      <c r="C91" s="11">
        <f>IF(A91="","",$B$5*TAN(RADIANS(A91)))</f>
        <v/>
      </c>
      <c r="D91" s="11">
        <f>IF(C91="","",C91*(1+B91/100))</f>
        <v/>
      </c>
      <c r="E91" s="11">
        <f>IF(A91="","",$B$6*TAN(RADIANS(A91)))</f>
        <v/>
      </c>
      <c r="G91" s="12">
        <f>IF(U91="","",T91)</f>
        <v/>
      </c>
      <c r="H91" s="12">
        <f>IF(U91="","",$E$4+V91*COS(RADIANS($E$8))-W91*SIN(RADIANS($E$8)))</f>
        <v/>
      </c>
      <c r="I91" s="12">
        <f>IF(U91="","",$E$5+V91*SIN(RADIANS($E$8))+W91*COS(RADIANS($E$8)))</f>
        <v/>
      </c>
      <c r="J91" s="12">
        <f>IF(H91="","",H91-$B$7)</f>
        <v/>
      </c>
      <c r="K91" s="12">
        <f>IF(I91="","",I91-$B$8)</f>
        <v/>
      </c>
      <c r="L91" s="12">
        <f>IFERROR(SQRT(J91^2+K91^2)*$B$4/1000,"")</f>
        <v/>
      </c>
      <c r="M91" s="12">
        <f>IF(OR($E$13&lt;&gt;"OK",L91=""),"",IF(L91&lt;=$D$19,$A$19,IF(L91&gt;=INDEX($D$19:$D$218,$E$12),INDEX($A$19:$A$218,$E$12),INDEX($A$19:$A$218,MATCH(L91,$D$19:INDEX($D$19:$D$218,$E$12),1))+(L91-INDEX($D$19:$D$218,MATCH(L91,$D$19:INDEX($D$19:$D$218,$E$12),1)))*(INDEX($A$19:$A$218,MATCH(L91,$D$19:INDEX($D$19:$D$218,$E$12),1)+1)-INDEX($A$19:$A$218,MATCH(L91,$D$19:INDEX($D$19:$D$218,$E$12),1)))/(INDEX($D$19:$D$218,MATCH(L91,$D$19:INDEX($D$19:$D$218,$E$12),1)+1)-INDEX($D$19:$D$218,MATCH(L91,$D$19:INDEX($D$19:$D$218,$E$12),1))))))</f>
        <v/>
      </c>
      <c r="N91" s="12">
        <f>IF(M91="","",$B$6*TAN(RADIANS(M91)))</f>
        <v/>
      </c>
      <c r="O91" s="12">
        <f>IF(N91="","",IF(L91=0,0,-N91*J91/SQRT(J91^2+K91^2)))</f>
        <v/>
      </c>
      <c r="P91" s="12">
        <f>IF(N91="","",IF(L91=0,0,N91*K91/SQRT(J91^2+K91^2)))</f>
        <v/>
      </c>
      <c r="Q91" s="12">
        <f>IF(N91="","",IF(N91=0,$B$7,$B$7-Y91*O91/N91))</f>
        <v/>
      </c>
      <c r="R91" s="12">
        <f>IF(N91="","",IF(N91=0,$B$8,$B$8+Y91*P91/N91))</f>
        <v/>
      </c>
      <c r="S91" s="12">
        <f>IFERROR(SQRT((Q91-H91)^2+(R91-I91)^2),"")</f>
        <v/>
      </c>
      <c r="T91">
        <f>64</f>
        <v/>
      </c>
      <c r="U91">
        <f>IF(T91&gt;4*$E$9,"",MIN(INT(T91/$E$9)+1,4))</f>
        <v/>
      </c>
      <c r="V91">
        <f>IF(T91=4*$E$9,-$E$6/2,IF(U91="","",CHOOSE(U91,-$E$6/2+MOD(T91,$E$9)/$E$9*$E$6,$E$6/2,$E$6/2-MOD(T91,$E$9)/$E$9*$E$6,-$E$6/2)))</f>
        <v/>
      </c>
      <c r="W91">
        <f>IF(T91=4*$E$9,-$E$7/2,IF(U91="","",CHOOSE(U91,-$E$7/2,-$E$7/2+MOD(T91,$E$9)/$E$9*$E$7,$E$7/2,$E$7/2-MOD(T91,$E$9)/$E$9*$E$7)))</f>
        <v/>
      </c>
      <c r="X91">
        <f>IF(OR($E$13&lt;&gt;"OK",M91=""),"",IF(M91&lt;=$A$19,$D$19,IF(M91&gt;=INDEX($A$19:$A$218,$E$12),INDEX($D$19:$D$218,$E$12),INDEX($D$19:$D$218,MATCH(M91,$A$19:INDEX($A$19:$A$218,$E$12),1))+(M91-INDEX($A$19:$A$218,MATCH(M91,$A$19:INDEX($A$19:$A$218,$E$12),1)))*(INDEX($D$19:$D$218,MATCH(M91,$A$19:INDEX($A$19:$A$218,$E$12),1)+1)-INDEX($D$19:$D$218,MATCH(M91,$A$19:INDEX($A$19:$A$218,$E$12),1)))/(INDEX($A$19:$A$218,MATCH(M91,$A$19:INDEX($A$19:$A$218,$E$12),1)+1)-INDEX($A$19:$A$218,MATCH(M91,$A$19:INDEX($A$19:$A$218,$E$12),1))))))</f>
        <v/>
      </c>
      <c r="Y91">
        <f>IF(X91="","",X91*1000/$B$4)</f>
        <v/>
      </c>
    </row>
    <row r="92">
      <c r="A92" s="10" t="n"/>
      <c r="B92" s="10" t="n"/>
      <c r="C92" s="11">
        <f>IF(A92="","",$B$5*TAN(RADIANS(A92)))</f>
        <v/>
      </c>
      <c r="D92" s="11">
        <f>IF(C92="","",C92*(1+B92/100))</f>
        <v/>
      </c>
      <c r="E92" s="11">
        <f>IF(A92="","",$B$6*TAN(RADIANS(A92)))</f>
        <v/>
      </c>
      <c r="G92" s="12">
        <f>IF(U92="","",T92)</f>
        <v/>
      </c>
      <c r="H92" s="12">
        <f>IF(U92="","",$E$4+V92*COS(RADIANS($E$8))-W92*SIN(RADIANS($E$8)))</f>
        <v/>
      </c>
      <c r="I92" s="12">
        <f>IF(U92="","",$E$5+V92*SIN(RADIANS($E$8))+W92*COS(RADIANS($E$8)))</f>
        <v/>
      </c>
      <c r="J92" s="12">
        <f>IF(H92="","",H92-$B$7)</f>
        <v/>
      </c>
      <c r="K92" s="12">
        <f>IF(I92="","",I92-$B$8)</f>
        <v/>
      </c>
      <c r="L92" s="12">
        <f>IFERROR(SQRT(J92^2+K92^2)*$B$4/1000,"")</f>
        <v/>
      </c>
      <c r="M92" s="12">
        <f>IF(OR($E$13&lt;&gt;"OK",L92=""),"",IF(L92&lt;=$D$19,$A$19,IF(L92&gt;=INDEX($D$19:$D$218,$E$12),INDEX($A$19:$A$218,$E$12),INDEX($A$19:$A$218,MATCH(L92,$D$19:INDEX($D$19:$D$218,$E$12),1))+(L92-INDEX($D$19:$D$218,MATCH(L92,$D$19:INDEX($D$19:$D$218,$E$12),1)))*(INDEX($A$19:$A$218,MATCH(L92,$D$19:INDEX($D$19:$D$218,$E$12),1)+1)-INDEX($A$19:$A$218,MATCH(L92,$D$19:INDEX($D$19:$D$218,$E$12),1)))/(INDEX($D$19:$D$218,MATCH(L92,$D$19:INDEX($D$19:$D$218,$E$12),1)+1)-INDEX($D$19:$D$218,MATCH(L92,$D$19:INDEX($D$19:$D$218,$E$12),1))))))</f>
        <v/>
      </c>
      <c r="N92" s="12">
        <f>IF(M92="","",$B$6*TAN(RADIANS(M92)))</f>
        <v/>
      </c>
      <c r="O92" s="12">
        <f>IF(N92="","",IF(L92=0,0,-N92*J92/SQRT(J92^2+K92^2)))</f>
        <v/>
      </c>
      <c r="P92" s="12">
        <f>IF(N92="","",IF(L92=0,0,N92*K92/SQRT(J92^2+K92^2)))</f>
        <v/>
      </c>
      <c r="Q92" s="12">
        <f>IF(N92="","",IF(N92=0,$B$7,$B$7-Y92*O92/N92))</f>
        <v/>
      </c>
      <c r="R92" s="12">
        <f>IF(N92="","",IF(N92=0,$B$8,$B$8+Y92*P92/N92))</f>
        <v/>
      </c>
      <c r="S92" s="12">
        <f>IFERROR(SQRT((Q92-H92)^2+(R92-I92)^2),"")</f>
        <v/>
      </c>
      <c r="T92">
        <f>65</f>
        <v/>
      </c>
      <c r="U92">
        <f>IF(T92&gt;4*$E$9,"",MIN(INT(T92/$E$9)+1,4))</f>
        <v/>
      </c>
      <c r="V92">
        <f>IF(T92=4*$E$9,-$E$6/2,IF(U92="","",CHOOSE(U92,-$E$6/2+MOD(T92,$E$9)/$E$9*$E$6,$E$6/2,$E$6/2-MOD(T92,$E$9)/$E$9*$E$6,-$E$6/2)))</f>
        <v/>
      </c>
      <c r="W92">
        <f>IF(T92=4*$E$9,-$E$7/2,IF(U92="","",CHOOSE(U92,-$E$7/2,-$E$7/2+MOD(T92,$E$9)/$E$9*$E$7,$E$7/2,$E$7/2-MOD(T92,$E$9)/$E$9*$E$7)))</f>
        <v/>
      </c>
      <c r="X92">
        <f>IF(OR($E$13&lt;&gt;"OK",M92=""),"",IF(M92&lt;=$A$19,$D$19,IF(M92&gt;=INDEX($A$19:$A$218,$E$12),INDEX($D$19:$D$218,$E$12),INDEX($D$19:$D$218,MATCH(M92,$A$19:INDEX($A$19:$A$218,$E$12),1))+(M92-INDEX($A$19:$A$218,MATCH(M92,$A$19:INDEX($A$19:$A$218,$E$12),1)))*(INDEX($D$19:$D$218,MATCH(M92,$A$19:INDEX($A$19:$A$218,$E$12),1)+1)-INDEX($D$19:$D$218,MATCH(M92,$A$19:INDEX($A$19:$A$218,$E$12),1)))/(INDEX($A$19:$A$218,MATCH(M92,$A$19:INDEX($A$19:$A$218,$E$12),1)+1)-INDEX($A$19:$A$218,MATCH(M92,$A$19:INDEX($A$19:$A$218,$E$12),1))))))</f>
        <v/>
      </c>
      <c r="Y92">
        <f>IF(X92="","",X92*1000/$B$4)</f>
        <v/>
      </c>
    </row>
    <row r="93">
      <c r="A93" s="10" t="n"/>
      <c r="B93" s="10" t="n"/>
      <c r="C93" s="11">
        <f>IF(A93="","",$B$5*TAN(RADIANS(A93)))</f>
        <v/>
      </c>
      <c r="D93" s="11">
        <f>IF(C93="","",C93*(1+B93/100))</f>
        <v/>
      </c>
      <c r="E93" s="11">
        <f>IF(A93="","",$B$6*TAN(RADIANS(A93)))</f>
        <v/>
      </c>
      <c r="G93" s="12">
        <f>IF(U93="","",T93)</f>
        <v/>
      </c>
      <c r="H93" s="12">
        <f>IF(U93="","",$E$4+V93*COS(RADIANS($E$8))-W93*SIN(RADIANS($E$8)))</f>
        <v/>
      </c>
      <c r="I93" s="12">
        <f>IF(U93="","",$E$5+V93*SIN(RADIANS($E$8))+W93*COS(RADIANS($E$8)))</f>
        <v/>
      </c>
      <c r="J93" s="12">
        <f>IF(H93="","",H93-$B$7)</f>
        <v/>
      </c>
      <c r="K93" s="12">
        <f>IF(I93="","",I93-$B$8)</f>
        <v/>
      </c>
      <c r="L93" s="12">
        <f>IFERROR(SQRT(J93^2+K93^2)*$B$4/1000,"")</f>
        <v/>
      </c>
      <c r="M93" s="12">
        <f>IF(OR($E$13&lt;&gt;"OK",L93=""),"",IF(L93&lt;=$D$19,$A$19,IF(L93&gt;=INDEX($D$19:$D$218,$E$12),INDEX($A$19:$A$218,$E$12),INDEX($A$19:$A$218,MATCH(L93,$D$19:INDEX($D$19:$D$218,$E$12),1))+(L93-INDEX($D$19:$D$218,MATCH(L93,$D$19:INDEX($D$19:$D$218,$E$12),1)))*(INDEX($A$19:$A$218,MATCH(L93,$D$19:INDEX($D$19:$D$218,$E$12),1)+1)-INDEX($A$19:$A$218,MATCH(L93,$D$19:INDEX($D$19:$D$218,$E$12),1)))/(INDEX($D$19:$D$218,MATCH(L93,$D$19:INDEX($D$19:$D$218,$E$12),1)+1)-INDEX($D$19:$D$218,MATCH(L93,$D$19:INDEX($D$19:$D$218,$E$12),1))))))</f>
        <v/>
      </c>
      <c r="N93" s="12">
        <f>IF(M93="","",$B$6*TAN(RADIANS(M93)))</f>
        <v/>
      </c>
      <c r="O93" s="12">
        <f>IF(N93="","",IF(L93=0,0,-N93*J93/SQRT(J93^2+K93^2)))</f>
        <v/>
      </c>
      <c r="P93" s="12">
        <f>IF(N93="","",IF(L93=0,0,N93*K93/SQRT(J93^2+K93^2)))</f>
        <v/>
      </c>
      <c r="Q93" s="12">
        <f>IF(N93="","",IF(N93=0,$B$7,$B$7-Y93*O93/N93))</f>
        <v/>
      </c>
      <c r="R93" s="12">
        <f>IF(N93="","",IF(N93=0,$B$8,$B$8+Y93*P93/N93))</f>
        <v/>
      </c>
      <c r="S93" s="12">
        <f>IFERROR(SQRT((Q93-H93)^2+(R93-I93)^2),"")</f>
        <v/>
      </c>
      <c r="T93">
        <f>66</f>
        <v/>
      </c>
      <c r="U93">
        <f>IF(T93&gt;4*$E$9,"",MIN(INT(T93/$E$9)+1,4))</f>
        <v/>
      </c>
      <c r="V93">
        <f>IF(T93=4*$E$9,-$E$6/2,IF(U93="","",CHOOSE(U93,-$E$6/2+MOD(T93,$E$9)/$E$9*$E$6,$E$6/2,$E$6/2-MOD(T93,$E$9)/$E$9*$E$6,-$E$6/2)))</f>
        <v/>
      </c>
      <c r="W93">
        <f>IF(T93=4*$E$9,-$E$7/2,IF(U93="","",CHOOSE(U93,-$E$7/2,-$E$7/2+MOD(T93,$E$9)/$E$9*$E$7,$E$7/2,$E$7/2-MOD(T93,$E$9)/$E$9*$E$7)))</f>
        <v/>
      </c>
      <c r="X93">
        <f>IF(OR($E$13&lt;&gt;"OK",M93=""),"",IF(M93&lt;=$A$19,$D$19,IF(M93&gt;=INDEX($A$19:$A$218,$E$12),INDEX($D$19:$D$218,$E$12),INDEX($D$19:$D$218,MATCH(M93,$A$19:INDEX($A$19:$A$218,$E$12),1))+(M93-INDEX($A$19:$A$218,MATCH(M93,$A$19:INDEX($A$19:$A$218,$E$12),1)))*(INDEX($D$19:$D$218,MATCH(M93,$A$19:INDEX($A$19:$A$218,$E$12),1)+1)-INDEX($D$19:$D$218,MATCH(M93,$A$19:INDEX($A$19:$A$218,$E$12),1)))/(INDEX($A$19:$A$218,MATCH(M93,$A$19:INDEX($A$19:$A$218,$E$12),1)+1)-INDEX($A$19:$A$218,MATCH(M93,$A$19:INDEX($A$19:$A$218,$E$12),1))))))</f>
        <v/>
      </c>
      <c r="Y93">
        <f>IF(X93="","",X93*1000/$B$4)</f>
        <v/>
      </c>
    </row>
    <row r="94">
      <c r="A94" s="10" t="n"/>
      <c r="B94" s="10" t="n"/>
      <c r="C94" s="11">
        <f>IF(A94="","",$B$5*TAN(RADIANS(A94)))</f>
        <v/>
      </c>
      <c r="D94" s="11">
        <f>IF(C94="","",C94*(1+B94/100))</f>
        <v/>
      </c>
      <c r="E94" s="11">
        <f>IF(A94="","",$B$6*TAN(RADIANS(A94)))</f>
        <v/>
      </c>
      <c r="G94" s="12">
        <f>IF(U94="","",T94)</f>
        <v/>
      </c>
      <c r="H94" s="12">
        <f>IF(U94="","",$E$4+V94*COS(RADIANS($E$8))-W94*SIN(RADIANS($E$8)))</f>
        <v/>
      </c>
      <c r="I94" s="12">
        <f>IF(U94="","",$E$5+V94*SIN(RADIANS($E$8))+W94*COS(RADIANS($E$8)))</f>
        <v/>
      </c>
      <c r="J94" s="12">
        <f>IF(H94="","",H94-$B$7)</f>
        <v/>
      </c>
      <c r="K94" s="12">
        <f>IF(I94="","",I94-$B$8)</f>
        <v/>
      </c>
      <c r="L94" s="12">
        <f>IFERROR(SQRT(J94^2+K94^2)*$B$4/1000,"")</f>
        <v/>
      </c>
      <c r="M94" s="12">
        <f>IF(OR($E$13&lt;&gt;"OK",L94=""),"",IF(L94&lt;=$D$19,$A$19,IF(L94&gt;=INDEX($D$19:$D$218,$E$12),INDEX($A$19:$A$218,$E$12),INDEX($A$19:$A$218,MATCH(L94,$D$19:INDEX($D$19:$D$218,$E$12),1))+(L94-INDEX($D$19:$D$218,MATCH(L94,$D$19:INDEX($D$19:$D$218,$E$12),1)))*(INDEX($A$19:$A$218,MATCH(L94,$D$19:INDEX($D$19:$D$218,$E$12),1)+1)-INDEX($A$19:$A$218,MATCH(L94,$D$19:INDEX($D$19:$D$218,$E$12),1)))/(INDEX($D$19:$D$218,MATCH(L94,$D$19:INDEX($D$19:$D$218,$E$12),1)+1)-INDEX($D$19:$D$218,MATCH(L94,$D$19:INDEX($D$19:$D$218,$E$12),1))))))</f>
        <v/>
      </c>
      <c r="N94" s="12">
        <f>IF(M94="","",$B$6*TAN(RADIANS(M94)))</f>
        <v/>
      </c>
      <c r="O94" s="12">
        <f>IF(N94="","",IF(L94=0,0,-N94*J94/SQRT(J94^2+K94^2)))</f>
        <v/>
      </c>
      <c r="P94" s="12">
        <f>IF(N94="","",IF(L94=0,0,N94*K94/SQRT(J94^2+K94^2)))</f>
        <v/>
      </c>
      <c r="Q94" s="12">
        <f>IF(N94="","",IF(N94=0,$B$7,$B$7-Y94*O94/N94))</f>
        <v/>
      </c>
      <c r="R94" s="12">
        <f>IF(N94="","",IF(N94=0,$B$8,$B$8+Y94*P94/N94))</f>
        <v/>
      </c>
      <c r="S94" s="12">
        <f>IFERROR(SQRT((Q94-H94)^2+(R94-I94)^2),"")</f>
        <v/>
      </c>
      <c r="T94">
        <f>67</f>
        <v/>
      </c>
      <c r="U94">
        <f>IF(T94&gt;4*$E$9,"",MIN(INT(T94/$E$9)+1,4))</f>
        <v/>
      </c>
      <c r="V94">
        <f>IF(T94=4*$E$9,-$E$6/2,IF(U94="","",CHOOSE(U94,-$E$6/2+MOD(T94,$E$9)/$E$9*$E$6,$E$6/2,$E$6/2-MOD(T94,$E$9)/$E$9*$E$6,-$E$6/2)))</f>
        <v/>
      </c>
      <c r="W94">
        <f>IF(T94=4*$E$9,-$E$7/2,IF(U94="","",CHOOSE(U94,-$E$7/2,-$E$7/2+MOD(T94,$E$9)/$E$9*$E$7,$E$7/2,$E$7/2-MOD(T94,$E$9)/$E$9*$E$7)))</f>
        <v/>
      </c>
      <c r="X94">
        <f>IF(OR($E$13&lt;&gt;"OK",M94=""),"",IF(M94&lt;=$A$19,$D$19,IF(M94&gt;=INDEX($A$19:$A$218,$E$12),INDEX($D$19:$D$218,$E$12),INDEX($D$19:$D$218,MATCH(M94,$A$19:INDEX($A$19:$A$218,$E$12),1))+(M94-INDEX($A$19:$A$218,MATCH(M94,$A$19:INDEX($A$19:$A$218,$E$12),1)))*(INDEX($D$19:$D$218,MATCH(M94,$A$19:INDEX($A$19:$A$218,$E$12),1)+1)-INDEX($D$19:$D$218,MATCH(M94,$A$19:INDEX($A$19:$A$218,$E$12),1)))/(INDEX($A$19:$A$218,MATCH(M94,$A$19:INDEX($A$19:$A$218,$E$12),1)+1)-INDEX($A$19:$A$218,MATCH(M94,$A$19:INDEX($A$19:$A$218,$E$12),1))))))</f>
        <v/>
      </c>
      <c r="Y94">
        <f>IF(X94="","",X94*1000/$B$4)</f>
        <v/>
      </c>
    </row>
    <row r="95">
      <c r="A95" s="10" t="n"/>
      <c r="B95" s="10" t="n"/>
      <c r="C95" s="11">
        <f>IF(A95="","",$B$5*TAN(RADIANS(A95)))</f>
        <v/>
      </c>
      <c r="D95" s="11">
        <f>IF(C95="","",C95*(1+B95/100))</f>
        <v/>
      </c>
      <c r="E95" s="11">
        <f>IF(A95="","",$B$6*TAN(RADIANS(A95)))</f>
        <v/>
      </c>
      <c r="G95" s="12">
        <f>IF(U95="","",T95)</f>
        <v/>
      </c>
      <c r="H95" s="12">
        <f>IF(U95="","",$E$4+V95*COS(RADIANS($E$8))-W95*SIN(RADIANS($E$8)))</f>
        <v/>
      </c>
      <c r="I95" s="12">
        <f>IF(U95="","",$E$5+V95*SIN(RADIANS($E$8))+W95*COS(RADIANS($E$8)))</f>
        <v/>
      </c>
      <c r="J95" s="12">
        <f>IF(H95="","",H95-$B$7)</f>
        <v/>
      </c>
      <c r="K95" s="12">
        <f>IF(I95="","",I95-$B$8)</f>
        <v/>
      </c>
      <c r="L95" s="12">
        <f>IFERROR(SQRT(J95^2+K95^2)*$B$4/1000,"")</f>
        <v/>
      </c>
      <c r="M95" s="12">
        <f>IF(OR($E$13&lt;&gt;"OK",L95=""),"",IF(L95&lt;=$D$19,$A$19,IF(L95&gt;=INDEX($D$19:$D$218,$E$12),INDEX($A$19:$A$218,$E$12),INDEX($A$19:$A$218,MATCH(L95,$D$19:INDEX($D$19:$D$218,$E$12),1))+(L95-INDEX($D$19:$D$218,MATCH(L95,$D$19:INDEX($D$19:$D$218,$E$12),1)))*(INDEX($A$19:$A$218,MATCH(L95,$D$19:INDEX($D$19:$D$218,$E$12),1)+1)-INDEX($A$19:$A$218,MATCH(L95,$D$19:INDEX($D$19:$D$218,$E$12),1)))/(INDEX($D$19:$D$218,MATCH(L95,$D$19:INDEX($D$19:$D$218,$E$12),1)+1)-INDEX($D$19:$D$218,MATCH(L95,$D$19:INDEX($D$19:$D$218,$E$12),1))))))</f>
        <v/>
      </c>
      <c r="N95" s="12">
        <f>IF(M95="","",$B$6*TAN(RADIANS(M95)))</f>
        <v/>
      </c>
      <c r="O95" s="12">
        <f>IF(N95="","",IF(L95=0,0,-N95*J95/SQRT(J95^2+K95^2)))</f>
        <v/>
      </c>
      <c r="P95" s="12">
        <f>IF(N95="","",IF(L95=0,0,N95*K95/SQRT(J95^2+K95^2)))</f>
        <v/>
      </c>
      <c r="Q95" s="12">
        <f>IF(N95="","",IF(N95=0,$B$7,$B$7-Y95*O95/N95))</f>
        <v/>
      </c>
      <c r="R95" s="12">
        <f>IF(N95="","",IF(N95=0,$B$8,$B$8+Y95*P95/N95))</f>
        <v/>
      </c>
      <c r="S95" s="12">
        <f>IFERROR(SQRT((Q95-H95)^2+(R95-I95)^2),"")</f>
        <v/>
      </c>
      <c r="T95">
        <f>68</f>
        <v/>
      </c>
      <c r="U95">
        <f>IF(T95&gt;4*$E$9,"",MIN(INT(T95/$E$9)+1,4))</f>
        <v/>
      </c>
      <c r="V95">
        <f>IF(T95=4*$E$9,-$E$6/2,IF(U95="","",CHOOSE(U95,-$E$6/2+MOD(T95,$E$9)/$E$9*$E$6,$E$6/2,$E$6/2-MOD(T95,$E$9)/$E$9*$E$6,-$E$6/2)))</f>
        <v/>
      </c>
      <c r="W95">
        <f>IF(T95=4*$E$9,-$E$7/2,IF(U95="","",CHOOSE(U95,-$E$7/2,-$E$7/2+MOD(T95,$E$9)/$E$9*$E$7,$E$7/2,$E$7/2-MOD(T95,$E$9)/$E$9*$E$7)))</f>
        <v/>
      </c>
      <c r="X95">
        <f>IF(OR($E$13&lt;&gt;"OK",M95=""),"",IF(M95&lt;=$A$19,$D$19,IF(M95&gt;=INDEX($A$19:$A$218,$E$12),INDEX($D$19:$D$218,$E$12),INDEX($D$19:$D$218,MATCH(M95,$A$19:INDEX($A$19:$A$218,$E$12),1))+(M95-INDEX($A$19:$A$218,MATCH(M95,$A$19:INDEX($A$19:$A$218,$E$12),1)))*(INDEX($D$19:$D$218,MATCH(M95,$A$19:INDEX($A$19:$A$218,$E$12),1)+1)-INDEX($D$19:$D$218,MATCH(M95,$A$19:INDEX($A$19:$A$218,$E$12),1)))/(INDEX($A$19:$A$218,MATCH(M95,$A$19:INDEX($A$19:$A$218,$E$12),1)+1)-INDEX($A$19:$A$218,MATCH(M95,$A$19:INDEX($A$19:$A$218,$E$12),1))))))</f>
        <v/>
      </c>
      <c r="Y95">
        <f>IF(X95="","",X95*1000/$B$4)</f>
        <v/>
      </c>
    </row>
    <row r="96">
      <c r="A96" s="10" t="n"/>
      <c r="B96" s="10" t="n"/>
      <c r="C96" s="11">
        <f>IF(A96="","",$B$5*TAN(RADIANS(A96)))</f>
        <v/>
      </c>
      <c r="D96" s="11">
        <f>IF(C96="","",C96*(1+B96/100))</f>
        <v/>
      </c>
      <c r="E96" s="11">
        <f>IF(A96="","",$B$6*TAN(RADIANS(A96)))</f>
        <v/>
      </c>
      <c r="G96" s="12">
        <f>IF(U96="","",T96)</f>
        <v/>
      </c>
      <c r="H96" s="12">
        <f>IF(U96="","",$E$4+V96*COS(RADIANS($E$8))-W96*SIN(RADIANS($E$8)))</f>
        <v/>
      </c>
      <c r="I96" s="12">
        <f>IF(U96="","",$E$5+V96*SIN(RADIANS($E$8))+W96*COS(RADIANS($E$8)))</f>
        <v/>
      </c>
      <c r="J96" s="12">
        <f>IF(H96="","",H96-$B$7)</f>
        <v/>
      </c>
      <c r="K96" s="12">
        <f>IF(I96="","",I96-$B$8)</f>
        <v/>
      </c>
      <c r="L96" s="12">
        <f>IFERROR(SQRT(J96^2+K96^2)*$B$4/1000,"")</f>
        <v/>
      </c>
      <c r="M96" s="12">
        <f>IF(OR($E$13&lt;&gt;"OK",L96=""),"",IF(L96&lt;=$D$19,$A$19,IF(L96&gt;=INDEX($D$19:$D$218,$E$12),INDEX($A$19:$A$218,$E$12),INDEX($A$19:$A$218,MATCH(L96,$D$19:INDEX($D$19:$D$218,$E$12),1))+(L96-INDEX($D$19:$D$218,MATCH(L96,$D$19:INDEX($D$19:$D$218,$E$12),1)))*(INDEX($A$19:$A$218,MATCH(L96,$D$19:INDEX($D$19:$D$218,$E$12),1)+1)-INDEX($A$19:$A$218,MATCH(L96,$D$19:INDEX($D$19:$D$218,$E$12),1)))/(INDEX($D$19:$D$218,MATCH(L96,$D$19:INDEX($D$19:$D$218,$E$12),1)+1)-INDEX($D$19:$D$218,MATCH(L96,$D$19:INDEX($D$19:$D$218,$E$12),1))))))</f>
        <v/>
      </c>
      <c r="N96" s="12">
        <f>IF(M96="","",$B$6*TAN(RADIANS(M96)))</f>
        <v/>
      </c>
      <c r="O96" s="12">
        <f>IF(N96="","",IF(L96=0,0,-N96*J96/SQRT(J96^2+K96^2)))</f>
        <v/>
      </c>
      <c r="P96" s="12">
        <f>IF(N96="","",IF(L96=0,0,N96*K96/SQRT(J96^2+K96^2)))</f>
        <v/>
      </c>
      <c r="Q96" s="12">
        <f>IF(N96="","",IF(N96=0,$B$7,$B$7-Y96*O96/N96))</f>
        <v/>
      </c>
      <c r="R96" s="12">
        <f>IF(N96="","",IF(N96=0,$B$8,$B$8+Y96*P96/N96))</f>
        <v/>
      </c>
      <c r="S96" s="12">
        <f>IFERROR(SQRT((Q96-H96)^2+(R96-I96)^2),"")</f>
        <v/>
      </c>
      <c r="T96">
        <f>69</f>
        <v/>
      </c>
      <c r="U96">
        <f>IF(T96&gt;4*$E$9,"",MIN(INT(T96/$E$9)+1,4))</f>
        <v/>
      </c>
      <c r="V96">
        <f>IF(T96=4*$E$9,-$E$6/2,IF(U96="","",CHOOSE(U96,-$E$6/2+MOD(T96,$E$9)/$E$9*$E$6,$E$6/2,$E$6/2-MOD(T96,$E$9)/$E$9*$E$6,-$E$6/2)))</f>
        <v/>
      </c>
      <c r="W96">
        <f>IF(T96=4*$E$9,-$E$7/2,IF(U96="","",CHOOSE(U96,-$E$7/2,-$E$7/2+MOD(T96,$E$9)/$E$9*$E$7,$E$7/2,$E$7/2-MOD(T96,$E$9)/$E$9*$E$7)))</f>
        <v/>
      </c>
      <c r="X96">
        <f>IF(OR($E$13&lt;&gt;"OK",M96=""),"",IF(M96&lt;=$A$19,$D$19,IF(M96&gt;=INDEX($A$19:$A$218,$E$12),INDEX($D$19:$D$218,$E$12),INDEX($D$19:$D$218,MATCH(M96,$A$19:INDEX($A$19:$A$218,$E$12),1))+(M96-INDEX($A$19:$A$218,MATCH(M96,$A$19:INDEX($A$19:$A$218,$E$12),1)))*(INDEX($D$19:$D$218,MATCH(M96,$A$19:INDEX($A$19:$A$218,$E$12),1)+1)-INDEX($D$19:$D$218,MATCH(M96,$A$19:INDEX($A$19:$A$218,$E$12),1)))/(INDEX($A$19:$A$218,MATCH(M96,$A$19:INDEX($A$19:$A$218,$E$12),1)+1)-INDEX($A$19:$A$218,MATCH(M96,$A$19:INDEX($A$19:$A$218,$E$12),1))))))</f>
        <v/>
      </c>
      <c r="Y96">
        <f>IF(X96="","",X96*1000/$B$4)</f>
        <v/>
      </c>
    </row>
    <row r="97">
      <c r="A97" s="10" t="n"/>
      <c r="B97" s="10" t="n"/>
      <c r="C97" s="11">
        <f>IF(A97="","",$B$5*TAN(RADIANS(A97)))</f>
        <v/>
      </c>
      <c r="D97" s="11">
        <f>IF(C97="","",C97*(1+B97/100))</f>
        <v/>
      </c>
      <c r="E97" s="11">
        <f>IF(A97="","",$B$6*TAN(RADIANS(A97)))</f>
        <v/>
      </c>
      <c r="G97" s="12">
        <f>IF(U97="","",T97)</f>
        <v/>
      </c>
      <c r="H97" s="12">
        <f>IF(U97="","",$E$4+V97*COS(RADIANS($E$8))-W97*SIN(RADIANS($E$8)))</f>
        <v/>
      </c>
      <c r="I97" s="12">
        <f>IF(U97="","",$E$5+V97*SIN(RADIANS($E$8))+W97*COS(RADIANS($E$8)))</f>
        <v/>
      </c>
      <c r="J97" s="12">
        <f>IF(H97="","",H97-$B$7)</f>
        <v/>
      </c>
      <c r="K97" s="12">
        <f>IF(I97="","",I97-$B$8)</f>
        <v/>
      </c>
      <c r="L97" s="12">
        <f>IFERROR(SQRT(J97^2+K97^2)*$B$4/1000,"")</f>
        <v/>
      </c>
      <c r="M97" s="12">
        <f>IF(OR($E$13&lt;&gt;"OK",L97=""),"",IF(L97&lt;=$D$19,$A$19,IF(L97&gt;=INDEX($D$19:$D$218,$E$12),INDEX($A$19:$A$218,$E$12),INDEX($A$19:$A$218,MATCH(L97,$D$19:INDEX($D$19:$D$218,$E$12),1))+(L97-INDEX($D$19:$D$218,MATCH(L97,$D$19:INDEX($D$19:$D$218,$E$12),1)))*(INDEX($A$19:$A$218,MATCH(L97,$D$19:INDEX($D$19:$D$218,$E$12),1)+1)-INDEX($A$19:$A$218,MATCH(L97,$D$19:INDEX($D$19:$D$218,$E$12),1)))/(INDEX($D$19:$D$218,MATCH(L97,$D$19:INDEX($D$19:$D$218,$E$12),1)+1)-INDEX($D$19:$D$218,MATCH(L97,$D$19:INDEX($D$19:$D$218,$E$12),1))))))</f>
        <v/>
      </c>
      <c r="N97" s="12">
        <f>IF(M97="","",$B$6*TAN(RADIANS(M97)))</f>
        <v/>
      </c>
      <c r="O97" s="12">
        <f>IF(N97="","",IF(L97=0,0,-N97*J97/SQRT(J97^2+K97^2)))</f>
        <v/>
      </c>
      <c r="P97" s="12">
        <f>IF(N97="","",IF(L97=0,0,N97*K97/SQRT(J97^2+K97^2)))</f>
        <v/>
      </c>
      <c r="Q97" s="12">
        <f>IF(N97="","",IF(N97=0,$B$7,$B$7-Y97*O97/N97))</f>
        <v/>
      </c>
      <c r="R97" s="12">
        <f>IF(N97="","",IF(N97=0,$B$8,$B$8+Y97*P97/N97))</f>
        <v/>
      </c>
      <c r="S97" s="12">
        <f>IFERROR(SQRT((Q97-H97)^2+(R97-I97)^2),"")</f>
        <v/>
      </c>
      <c r="T97">
        <f>70</f>
        <v/>
      </c>
      <c r="U97">
        <f>IF(T97&gt;4*$E$9,"",MIN(INT(T97/$E$9)+1,4))</f>
        <v/>
      </c>
      <c r="V97">
        <f>IF(T97=4*$E$9,-$E$6/2,IF(U97="","",CHOOSE(U97,-$E$6/2+MOD(T97,$E$9)/$E$9*$E$6,$E$6/2,$E$6/2-MOD(T97,$E$9)/$E$9*$E$6,-$E$6/2)))</f>
        <v/>
      </c>
      <c r="W97">
        <f>IF(T97=4*$E$9,-$E$7/2,IF(U97="","",CHOOSE(U97,-$E$7/2,-$E$7/2+MOD(T97,$E$9)/$E$9*$E$7,$E$7/2,$E$7/2-MOD(T97,$E$9)/$E$9*$E$7)))</f>
        <v/>
      </c>
      <c r="X97">
        <f>IF(OR($E$13&lt;&gt;"OK",M97=""),"",IF(M97&lt;=$A$19,$D$19,IF(M97&gt;=INDEX($A$19:$A$218,$E$12),INDEX($D$19:$D$218,$E$12),INDEX($D$19:$D$218,MATCH(M97,$A$19:INDEX($A$19:$A$218,$E$12),1))+(M97-INDEX($A$19:$A$218,MATCH(M97,$A$19:INDEX($A$19:$A$218,$E$12),1)))*(INDEX($D$19:$D$218,MATCH(M97,$A$19:INDEX($A$19:$A$218,$E$12),1)+1)-INDEX($D$19:$D$218,MATCH(M97,$A$19:INDEX($A$19:$A$218,$E$12),1)))/(INDEX($A$19:$A$218,MATCH(M97,$A$19:INDEX($A$19:$A$218,$E$12),1)+1)-INDEX($A$19:$A$218,MATCH(M97,$A$19:INDEX($A$19:$A$218,$E$12),1))))))</f>
        <v/>
      </c>
      <c r="Y97">
        <f>IF(X97="","",X97*1000/$B$4)</f>
        <v/>
      </c>
    </row>
    <row r="98">
      <c r="A98" s="10" t="n"/>
      <c r="B98" s="10" t="n"/>
      <c r="C98" s="11">
        <f>IF(A98="","",$B$5*TAN(RADIANS(A98)))</f>
        <v/>
      </c>
      <c r="D98" s="11">
        <f>IF(C98="","",C98*(1+B98/100))</f>
        <v/>
      </c>
      <c r="E98" s="11">
        <f>IF(A98="","",$B$6*TAN(RADIANS(A98)))</f>
        <v/>
      </c>
      <c r="G98" s="12">
        <f>IF(U98="","",T98)</f>
        <v/>
      </c>
      <c r="H98" s="12">
        <f>IF(U98="","",$E$4+V98*COS(RADIANS($E$8))-W98*SIN(RADIANS($E$8)))</f>
        <v/>
      </c>
      <c r="I98" s="12">
        <f>IF(U98="","",$E$5+V98*SIN(RADIANS($E$8))+W98*COS(RADIANS($E$8)))</f>
        <v/>
      </c>
      <c r="J98" s="12">
        <f>IF(H98="","",H98-$B$7)</f>
        <v/>
      </c>
      <c r="K98" s="12">
        <f>IF(I98="","",I98-$B$8)</f>
        <v/>
      </c>
      <c r="L98" s="12">
        <f>IFERROR(SQRT(J98^2+K98^2)*$B$4/1000,"")</f>
        <v/>
      </c>
      <c r="M98" s="12">
        <f>IF(OR($E$13&lt;&gt;"OK",L98=""),"",IF(L98&lt;=$D$19,$A$19,IF(L98&gt;=INDEX($D$19:$D$218,$E$12),INDEX($A$19:$A$218,$E$12),INDEX($A$19:$A$218,MATCH(L98,$D$19:INDEX($D$19:$D$218,$E$12),1))+(L98-INDEX($D$19:$D$218,MATCH(L98,$D$19:INDEX($D$19:$D$218,$E$12),1)))*(INDEX($A$19:$A$218,MATCH(L98,$D$19:INDEX($D$19:$D$218,$E$12),1)+1)-INDEX($A$19:$A$218,MATCH(L98,$D$19:INDEX($D$19:$D$218,$E$12),1)))/(INDEX($D$19:$D$218,MATCH(L98,$D$19:INDEX($D$19:$D$218,$E$12),1)+1)-INDEX($D$19:$D$218,MATCH(L98,$D$19:INDEX($D$19:$D$218,$E$12),1))))))</f>
        <v/>
      </c>
      <c r="N98" s="12">
        <f>IF(M98="","",$B$6*TAN(RADIANS(M98)))</f>
        <v/>
      </c>
      <c r="O98" s="12">
        <f>IF(N98="","",IF(L98=0,0,-N98*J98/SQRT(J98^2+K98^2)))</f>
        <v/>
      </c>
      <c r="P98" s="12">
        <f>IF(N98="","",IF(L98=0,0,N98*K98/SQRT(J98^2+K98^2)))</f>
        <v/>
      </c>
      <c r="Q98" s="12">
        <f>IF(N98="","",IF(N98=0,$B$7,$B$7-Y98*O98/N98))</f>
        <v/>
      </c>
      <c r="R98" s="12">
        <f>IF(N98="","",IF(N98=0,$B$8,$B$8+Y98*P98/N98))</f>
        <v/>
      </c>
      <c r="S98" s="12">
        <f>IFERROR(SQRT((Q98-H98)^2+(R98-I98)^2),"")</f>
        <v/>
      </c>
      <c r="T98">
        <f>71</f>
        <v/>
      </c>
      <c r="U98">
        <f>IF(T98&gt;4*$E$9,"",MIN(INT(T98/$E$9)+1,4))</f>
        <v/>
      </c>
      <c r="V98">
        <f>IF(T98=4*$E$9,-$E$6/2,IF(U98="","",CHOOSE(U98,-$E$6/2+MOD(T98,$E$9)/$E$9*$E$6,$E$6/2,$E$6/2-MOD(T98,$E$9)/$E$9*$E$6,-$E$6/2)))</f>
        <v/>
      </c>
      <c r="W98">
        <f>IF(T98=4*$E$9,-$E$7/2,IF(U98="","",CHOOSE(U98,-$E$7/2,-$E$7/2+MOD(T98,$E$9)/$E$9*$E$7,$E$7/2,$E$7/2-MOD(T98,$E$9)/$E$9*$E$7)))</f>
        <v/>
      </c>
      <c r="X98">
        <f>IF(OR($E$13&lt;&gt;"OK",M98=""),"",IF(M98&lt;=$A$19,$D$19,IF(M98&gt;=INDEX($A$19:$A$218,$E$12),INDEX($D$19:$D$218,$E$12),INDEX($D$19:$D$218,MATCH(M98,$A$19:INDEX($A$19:$A$218,$E$12),1))+(M98-INDEX($A$19:$A$218,MATCH(M98,$A$19:INDEX($A$19:$A$218,$E$12),1)))*(INDEX($D$19:$D$218,MATCH(M98,$A$19:INDEX($A$19:$A$218,$E$12),1)+1)-INDEX($D$19:$D$218,MATCH(M98,$A$19:INDEX($A$19:$A$218,$E$12),1)))/(INDEX($A$19:$A$218,MATCH(M98,$A$19:INDEX($A$19:$A$218,$E$12),1)+1)-INDEX($A$19:$A$218,MATCH(M98,$A$19:INDEX($A$19:$A$218,$E$12),1))))))</f>
        <v/>
      </c>
      <c r="Y98">
        <f>IF(X98="","",X98*1000/$B$4)</f>
        <v/>
      </c>
    </row>
    <row r="99">
      <c r="A99" s="10" t="n"/>
      <c r="B99" s="10" t="n"/>
      <c r="C99" s="11">
        <f>IF(A99="","",$B$5*TAN(RADIANS(A99)))</f>
        <v/>
      </c>
      <c r="D99" s="11">
        <f>IF(C99="","",C99*(1+B99/100))</f>
        <v/>
      </c>
      <c r="E99" s="11">
        <f>IF(A99="","",$B$6*TAN(RADIANS(A99)))</f>
        <v/>
      </c>
      <c r="G99" s="12">
        <f>IF(U99="","",T99)</f>
        <v/>
      </c>
      <c r="H99" s="12">
        <f>IF(U99="","",$E$4+V99*COS(RADIANS($E$8))-W99*SIN(RADIANS($E$8)))</f>
        <v/>
      </c>
      <c r="I99" s="12">
        <f>IF(U99="","",$E$5+V99*SIN(RADIANS($E$8))+W99*COS(RADIANS($E$8)))</f>
        <v/>
      </c>
      <c r="J99" s="12">
        <f>IF(H99="","",H99-$B$7)</f>
        <v/>
      </c>
      <c r="K99" s="12">
        <f>IF(I99="","",I99-$B$8)</f>
        <v/>
      </c>
      <c r="L99" s="12">
        <f>IFERROR(SQRT(J99^2+K99^2)*$B$4/1000,"")</f>
        <v/>
      </c>
      <c r="M99" s="12">
        <f>IF(OR($E$13&lt;&gt;"OK",L99=""),"",IF(L99&lt;=$D$19,$A$19,IF(L99&gt;=INDEX($D$19:$D$218,$E$12),INDEX($A$19:$A$218,$E$12),INDEX($A$19:$A$218,MATCH(L99,$D$19:INDEX($D$19:$D$218,$E$12),1))+(L99-INDEX($D$19:$D$218,MATCH(L99,$D$19:INDEX($D$19:$D$218,$E$12),1)))*(INDEX($A$19:$A$218,MATCH(L99,$D$19:INDEX($D$19:$D$218,$E$12),1)+1)-INDEX($A$19:$A$218,MATCH(L99,$D$19:INDEX($D$19:$D$218,$E$12),1)))/(INDEX($D$19:$D$218,MATCH(L99,$D$19:INDEX($D$19:$D$218,$E$12),1)+1)-INDEX($D$19:$D$218,MATCH(L99,$D$19:INDEX($D$19:$D$218,$E$12),1))))))</f>
        <v/>
      </c>
      <c r="N99" s="12">
        <f>IF(M99="","",$B$6*TAN(RADIANS(M99)))</f>
        <v/>
      </c>
      <c r="O99" s="12">
        <f>IF(N99="","",IF(L99=0,0,-N99*J99/SQRT(J99^2+K99^2)))</f>
        <v/>
      </c>
      <c r="P99" s="12">
        <f>IF(N99="","",IF(L99=0,0,N99*K99/SQRT(J99^2+K99^2)))</f>
        <v/>
      </c>
      <c r="Q99" s="12">
        <f>IF(N99="","",IF(N99=0,$B$7,$B$7-Y99*O99/N99))</f>
        <v/>
      </c>
      <c r="R99" s="12">
        <f>IF(N99="","",IF(N99=0,$B$8,$B$8+Y99*P99/N99))</f>
        <v/>
      </c>
      <c r="S99" s="12">
        <f>IFERROR(SQRT((Q99-H99)^2+(R99-I99)^2),"")</f>
        <v/>
      </c>
      <c r="T99">
        <f>72</f>
        <v/>
      </c>
      <c r="U99">
        <f>IF(T99&gt;4*$E$9,"",MIN(INT(T99/$E$9)+1,4))</f>
        <v/>
      </c>
      <c r="V99">
        <f>IF(T99=4*$E$9,-$E$6/2,IF(U99="","",CHOOSE(U99,-$E$6/2+MOD(T99,$E$9)/$E$9*$E$6,$E$6/2,$E$6/2-MOD(T99,$E$9)/$E$9*$E$6,-$E$6/2)))</f>
        <v/>
      </c>
      <c r="W99">
        <f>IF(T99=4*$E$9,-$E$7/2,IF(U99="","",CHOOSE(U99,-$E$7/2,-$E$7/2+MOD(T99,$E$9)/$E$9*$E$7,$E$7/2,$E$7/2-MOD(T99,$E$9)/$E$9*$E$7)))</f>
        <v/>
      </c>
      <c r="X99">
        <f>IF(OR($E$13&lt;&gt;"OK",M99=""),"",IF(M99&lt;=$A$19,$D$19,IF(M99&gt;=INDEX($A$19:$A$218,$E$12),INDEX($D$19:$D$218,$E$12),INDEX($D$19:$D$218,MATCH(M99,$A$19:INDEX($A$19:$A$218,$E$12),1))+(M99-INDEX($A$19:$A$218,MATCH(M99,$A$19:INDEX($A$19:$A$218,$E$12),1)))*(INDEX($D$19:$D$218,MATCH(M99,$A$19:INDEX($A$19:$A$218,$E$12),1)+1)-INDEX($D$19:$D$218,MATCH(M99,$A$19:INDEX($A$19:$A$218,$E$12),1)))/(INDEX($A$19:$A$218,MATCH(M99,$A$19:INDEX($A$19:$A$218,$E$12),1)+1)-INDEX($A$19:$A$218,MATCH(M99,$A$19:INDEX($A$19:$A$218,$E$12),1))))))</f>
        <v/>
      </c>
      <c r="Y99">
        <f>IF(X99="","",X99*1000/$B$4)</f>
        <v/>
      </c>
    </row>
    <row r="100">
      <c r="A100" s="10" t="n"/>
      <c r="B100" s="10" t="n"/>
      <c r="C100" s="11">
        <f>IF(A100="","",$B$5*TAN(RADIANS(A100)))</f>
        <v/>
      </c>
      <c r="D100" s="11">
        <f>IF(C100="","",C100*(1+B100/100))</f>
        <v/>
      </c>
      <c r="E100" s="11">
        <f>IF(A100="","",$B$6*TAN(RADIANS(A100)))</f>
        <v/>
      </c>
      <c r="G100" s="12">
        <f>IF(U100="","",T100)</f>
        <v/>
      </c>
      <c r="H100" s="12">
        <f>IF(U100="","",$E$4+V100*COS(RADIANS($E$8))-W100*SIN(RADIANS($E$8)))</f>
        <v/>
      </c>
      <c r="I100" s="12">
        <f>IF(U100="","",$E$5+V100*SIN(RADIANS($E$8))+W100*COS(RADIANS($E$8)))</f>
        <v/>
      </c>
      <c r="J100" s="12">
        <f>IF(H100="","",H100-$B$7)</f>
        <v/>
      </c>
      <c r="K100" s="12">
        <f>IF(I100="","",I100-$B$8)</f>
        <v/>
      </c>
      <c r="L100" s="12">
        <f>IFERROR(SQRT(J100^2+K100^2)*$B$4/1000,"")</f>
        <v/>
      </c>
      <c r="M100" s="12">
        <f>IF(OR($E$13&lt;&gt;"OK",L100=""),"",IF(L100&lt;=$D$19,$A$19,IF(L100&gt;=INDEX($D$19:$D$218,$E$12),INDEX($A$19:$A$218,$E$12),INDEX($A$19:$A$218,MATCH(L100,$D$19:INDEX($D$19:$D$218,$E$12),1))+(L100-INDEX($D$19:$D$218,MATCH(L100,$D$19:INDEX($D$19:$D$218,$E$12),1)))*(INDEX($A$19:$A$218,MATCH(L100,$D$19:INDEX($D$19:$D$218,$E$12),1)+1)-INDEX($A$19:$A$218,MATCH(L100,$D$19:INDEX($D$19:$D$218,$E$12),1)))/(INDEX($D$19:$D$218,MATCH(L100,$D$19:INDEX($D$19:$D$218,$E$12),1)+1)-INDEX($D$19:$D$218,MATCH(L100,$D$19:INDEX($D$19:$D$218,$E$12),1))))))</f>
        <v/>
      </c>
      <c r="N100" s="12">
        <f>IF(M100="","",$B$6*TAN(RADIANS(M100)))</f>
        <v/>
      </c>
      <c r="O100" s="12">
        <f>IF(N100="","",IF(L100=0,0,-N100*J100/SQRT(J100^2+K100^2)))</f>
        <v/>
      </c>
      <c r="P100" s="12">
        <f>IF(N100="","",IF(L100=0,0,N100*K100/SQRT(J100^2+K100^2)))</f>
        <v/>
      </c>
      <c r="Q100" s="12">
        <f>IF(N100="","",IF(N100=0,$B$7,$B$7-Y100*O100/N100))</f>
        <v/>
      </c>
      <c r="R100" s="12">
        <f>IF(N100="","",IF(N100=0,$B$8,$B$8+Y100*P100/N100))</f>
        <v/>
      </c>
      <c r="S100" s="12">
        <f>IFERROR(SQRT((Q100-H100)^2+(R100-I100)^2),"")</f>
        <v/>
      </c>
      <c r="T100">
        <f>73</f>
        <v/>
      </c>
      <c r="U100">
        <f>IF(T100&gt;4*$E$9,"",MIN(INT(T100/$E$9)+1,4))</f>
        <v/>
      </c>
      <c r="V100">
        <f>IF(T100=4*$E$9,-$E$6/2,IF(U100="","",CHOOSE(U100,-$E$6/2+MOD(T100,$E$9)/$E$9*$E$6,$E$6/2,$E$6/2-MOD(T100,$E$9)/$E$9*$E$6,-$E$6/2)))</f>
        <v/>
      </c>
      <c r="W100">
        <f>IF(T100=4*$E$9,-$E$7/2,IF(U100="","",CHOOSE(U100,-$E$7/2,-$E$7/2+MOD(T100,$E$9)/$E$9*$E$7,$E$7/2,$E$7/2-MOD(T100,$E$9)/$E$9*$E$7)))</f>
        <v/>
      </c>
      <c r="X100">
        <f>IF(OR($E$13&lt;&gt;"OK",M100=""),"",IF(M100&lt;=$A$19,$D$19,IF(M100&gt;=INDEX($A$19:$A$218,$E$12),INDEX($D$19:$D$218,$E$12),INDEX($D$19:$D$218,MATCH(M100,$A$19:INDEX($A$19:$A$218,$E$12),1))+(M100-INDEX($A$19:$A$218,MATCH(M100,$A$19:INDEX($A$19:$A$218,$E$12),1)))*(INDEX($D$19:$D$218,MATCH(M100,$A$19:INDEX($A$19:$A$218,$E$12),1)+1)-INDEX($D$19:$D$218,MATCH(M100,$A$19:INDEX($A$19:$A$218,$E$12),1)))/(INDEX($A$19:$A$218,MATCH(M100,$A$19:INDEX($A$19:$A$218,$E$12),1)+1)-INDEX($A$19:$A$218,MATCH(M100,$A$19:INDEX($A$19:$A$218,$E$12),1))))))</f>
        <v/>
      </c>
      <c r="Y100">
        <f>IF(X100="","",X100*1000/$B$4)</f>
        <v/>
      </c>
    </row>
    <row r="101">
      <c r="A101" s="10" t="n"/>
      <c r="B101" s="10" t="n"/>
      <c r="C101" s="11">
        <f>IF(A101="","",$B$5*TAN(RADIANS(A101)))</f>
        <v/>
      </c>
      <c r="D101" s="11">
        <f>IF(C101="","",C101*(1+B101/100))</f>
        <v/>
      </c>
      <c r="E101" s="11">
        <f>IF(A101="","",$B$6*TAN(RADIANS(A101)))</f>
        <v/>
      </c>
      <c r="G101" s="12">
        <f>IF(U101="","",T101)</f>
        <v/>
      </c>
      <c r="H101" s="12">
        <f>IF(U101="","",$E$4+V101*COS(RADIANS($E$8))-W101*SIN(RADIANS($E$8)))</f>
        <v/>
      </c>
      <c r="I101" s="12">
        <f>IF(U101="","",$E$5+V101*SIN(RADIANS($E$8))+W101*COS(RADIANS($E$8)))</f>
        <v/>
      </c>
      <c r="J101" s="12">
        <f>IF(H101="","",H101-$B$7)</f>
        <v/>
      </c>
      <c r="K101" s="12">
        <f>IF(I101="","",I101-$B$8)</f>
        <v/>
      </c>
      <c r="L101" s="12">
        <f>IFERROR(SQRT(J101^2+K101^2)*$B$4/1000,"")</f>
        <v/>
      </c>
      <c r="M101" s="12">
        <f>IF(OR($E$13&lt;&gt;"OK",L101=""),"",IF(L101&lt;=$D$19,$A$19,IF(L101&gt;=INDEX($D$19:$D$218,$E$12),INDEX($A$19:$A$218,$E$12),INDEX($A$19:$A$218,MATCH(L101,$D$19:INDEX($D$19:$D$218,$E$12),1))+(L101-INDEX($D$19:$D$218,MATCH(L101,$D$19:INDEX($D$19:$D$218,$E$12),1)))*(INDEX($A$19:$A$218,MATCH(L101,$D$19:INDEX($D$19:$D$218,$E$12),1)+1)-INDEX($A$19:$A$218,MATCH(L101,$D$19:INDEX($D$19:$D$218,$E$12),1)))/(INDEX($D$19:$D$218,MATCH(L101,$D$19:INDEX($D$19:$D$218,$E$12),1)+1)-INDEX($D$19:$D$218,MATCH(L101,$D$19:INDEX($D$19:$D$218,$E$12),1))))))</f>
        <v/>
      </c>
      <c r="N101" s="12">
        <f>IF(M101="","",$B$6*TAN(RADIANS(M101)))</f>
        <v/>
      </c>
      <c r="O101" s="12">
        <f>IF(N101="","",IF(L101=0,0,-N101*J101/SQRT(J101^2+K101^2)))</f>
        <v/>
      </c>
      <c r="P101" s="12">
        <f>IF(N101="","",IF(L101=0,0,N101*K101/SQRT(J101^2+K101^2)))</f>
        <v/>
      </c>
      <c r="Q101" s="12">
        <f>IF(N101="","",IF(N101=0,$B$7,$B$7-Y101*O101/N101))</f>
        <v/>
      </c>
      <c r="R101" s="12">
        <f>IF(N101="","",IF(N101=0,$B$8,$B$8+Y101*P101/N101))</f>
        <v/>
      </c>
      <c r="S101" s="12">
        <f>IFERROR(SQRT((Q101-H101)^2+(R101-I101)^2),"")</f>
        <v/>
      </c>
      <c r="T101">
        <f>74</f>
        <v/>
      </c>
      <c r="U101">
        <f>IF(T101&gt;4*$E$9,"",MIN(INT(T101/$E$9)+1,4))</f>
        <v/>
      </c>
      <c r="V101">
        <f>IF(T101=4*$E$9,-$E$6/2,IF(U101="","",CHOOSE(U101,-$E$6/2+MOD(T101,$E$9)/$E$9*$E$6,$E$6/2,$E$6/2-MOD(T101,$E$9)/$E$9*$E$6,-$E$6/2)))</f>
        <v/>
      </c>
      <c r="W101">
        <f>IF(T101=4*$E$9,-$E$7/2,IF(U101="","",CHOOSE(U101,-$E$7/2,-$E$7/2+MOD(T101,$E$9)/$E$9*$E$7,$E$7/2,$E$7/2-MOD(T101,$E$9)/$E$9*$E$7)))</f>
        <v/>
      </c>
      <c r="X101">
        <f>IF(OR($E$13&lt;&gt;"OK",M101=""),"",IF(M101&lt;=$A$19,$D$19,IF(M101&gt;=INDEX($A$19:$A$218,$E$12),INDEX($D$19:$D$218,$E$12),INDEX($D$19:$D$218,MATCH(M101,$A$19:INDEX($A$19:$A$218,$E$12),1))+(M101-INDEX($A$19:$A$218,MATCH(M101,$A$19:INDEX($A$19:$A$218,$E$12),1)))*(INDEX($D$19:$D$218,MATCH(M101,$A$19:INDEX($A$19:$A$218,$E$12),1)+1)-INDEX($D$19:$D$218,MATCH(M101,$A$19:INDEX($A$19:$A$218,$E$12),1)))/(INDEX($A$19:$A$218,MATCH(M101,$A$19:INDEX($A$19:$A$218,$E$12),1)+1)-INDEX($A$19:$A$218,MATCH(M101,$A$19:INDEX($A$19:$A$218,$E$12),1))))))</f>
        <v/>
      </c>
      <c r="Y101">
        <f>IF(X101="","",X101*1000/$B$4)</f>
        <v/>
      </c>
    </row>
    <row r="102">
      <c r="A102" s="10" t="n"/>
      <c r="B102" s="10" t="n"/>
      <c r="C102" s="11">
        <f>IF(A102="","",$B$5*TAN(RADIANS(A102)))</f>
        <v/>
      </c>
      <c r="D102" s="11">
        <f>IF(C102="","",C102*(1+B102/100))</f>
        <v/>
      </c>
      <c r="E102" s="11">
        <f>IF(A102="","",$B$6*TAN(RADIANS(A102)))</f>
        <v/>
      </c>
      <c r="G102" s="12">
        <f>IF(U102="","",T102)</f>
        <v/>
      </c>
      <c r="H102" s="12">
        <f>IF(U102="","",$E$4+V102*COS(RADIANS($E$8))-W102*SIN(RADIANS($E$8)))</f>
        <v/>
      </c>
      <c r="I102" s="12">
        <f>IF(U102="","",$E$5+V102*SIN(RADIANS($E$8))+W102*COS(RADIANS($E$8)))</f>
        <v/>
      </c>
      <c r="J102" s="12">
        <f>IF(H102="","",H102-$B$7)</f>
        <v/>
      </c>
      <c r="K102" s="12">
        <f>IF(I102="","",I102-$B$8)</f>
        <v/>
      </c>
      <c r="L102" s="12">
        <f>IFERROR(SQRT(J102^2+K102^2)*$B$4/1000,"")</f>
        <v/>
      </c>
      <c r="M102" s="12">
        <f>IF(OR($E$13&lt;&gt;"OK",L102=""),"",IF(L102&lt;=$D$19,$A$19,IF(L102&gt;=INDEX($D$19:$D$218,$E$12),INDEX($A$19:$A$218,$E$12),INDEX($A$19:$A$218,MATCH(L102,$D$19:INDEX($D$19:$D$218,$E$12),1))+(L102-INDEX($D$19:$D$218,MATCH(L102,$D$19:INDEX($D$19:$D$218,$E$12),1)))*(INDEX($A$19:$A$218,MATCH(L102,$D$19:INDEX($D$19:$D$218,$E$12),1)+1)-INDEX($A$19:$A$218,MATCH(L102,$D$19:INDEX($D$19:$D$218,$E$12),1)))/(INDEX($D$19:$D$218,MATCH(L102,$D$19:INDEX($D$19:$D$218,$E$12),1)+1)-INDEX($D$19:$D$218,MATCH(L102,$D$19:INDEX($D$19:$D$218,$E$12),1))))))</f>
        <v/>
      </c>
      <c r="N102" s="12">
        <f>IF(M102="","",$B$6*TAN(RADIANS(M102)))</f>
        <v/>
      </c>
      <c r="O102" s="12">
        <f>IF(N102="","",IF(L102=0,0,-N102*J102/SQRT(J102^2+K102^2)))</f>
        <v/>
      </c>
      <c r="P102" s="12">
        <f>IF(N102="","",IF(L102=0,0,N102*K102/SQRT(J102^2+K102^2)))</f>
        <v/>
      </c>
      <c r="Q102" s="12">
        <f>IF(N102="","",IF(N102=0,$B$7,$B$7-Y102*O102/N102))</f>
        <v/>
      </c>
      <c r="R102" s="12">
        <f>IF(N102="","",IF(N102=0,$B$8,$B$8+Y102*P102/N102))</f>
        <v/>
      </c>
      <c r="S102" s="12">
        <f>IFERROR(SQRT((Q102-H102)^2+(R102-I102)^2),"")</f>
        <v/>
      </c>
      <c r="T102">
        <f>75</f>
        <v/>
      </c>
      <c r="U102">
        <f>IF(T102&gt;4*$E$9,"",MIN(INT(T102/$E$9)+1,4))</f>
        <v/>
      </c>
      <c r="V102">
        <f>IF(T102=4*$E$9,-$E$6/2,IF(U102="","",CHOOSE(U102,-$E$6/2+MOD(T102,$E$9)/$E$9*$E$6,$E$6/2,$E$6/2-MOD(T102,$E$9)/$E$9*$E$6,-$E$6/2)))</f>
        <v/>
      </c>
      <c r="W102">
        <f>IF(T102=4*$E$9,-$E$7/2,IF(U102="","",CHOOSE(U102,-$E$7/2,-$E$7/2+MOD(T102,$E$9)/$E$9*$E$7,$E$7/2,$E$7/2-MOD(T102,$E$9)/$E$9*$E$7)))</f>
        <v/>
      </c>
      <c r="X102">
        <f>IF(OR($E$13&lt;&gt;"OK",M102=""),"",IF(M102&lt;=$A$19,$D$19,IF(M102&gt;=INDEX($A$19:$A$218,$E$12),INDEX($D$19:$D$218,$E$12),INDEX($D$19:$D$218,MATCH(M102,$A$19:INDEX($A$19:$A$218,$E$12),1))+(M102-INDEX($A$19:$A$218,MATCH(M102,$A$19:INDEX($A$19:$A$218,$E$12),1)))*(INDEX($D$19:$D$218,MATCH(M102,$A$19:INDEX($A$19:$A$218,$E$12),1)+1)-INDEX($D$19:$D$218,MATCH(M102,$A$19:INDEX($A$19:$A$218,$E$12),1)))/(INDEX($A$19:$A$218,MATCH(M102,$A$19:INDEX($A$19:$A$218,$E$12),1)+1)-INDEX($A$19:$A$218,MATCH(M102,$A$19:INDEX($A$19:$A$218,$E$12),1))))))</f>
        <v/>
      </c>
      <c r="Y102">
        <f>IF(X102="","",X102*1000/$B$4)</f>
        <v/>
      </c>
    </row>
    <row r="103">
      <c r="A103" s="10" t="n"/>
      <c r="B103" s="10" t="n"/>
      <c r="C103" s="11">
        <f>IF(A103="","",$B$5*TAN(RADIANS(A103)))</f>
        <v/>
      </c>
      <c r="D103" s="11">
        <f>IF(C103="","",C103*(1+B103/100))</f>
        <v/>
      </c>
      <c r="E103" s="11">
        <f>IF(A103="","",$B$6*TAN(RADIANS(A103)))</f>
        <v/>
      </c>
      <c r="G103" s="12">
        <f>IF(U103="","",T103)</f>
        <v/>
      </c>
      <c r="H103" s="12">
        <f>IF(U103="","",$E$4+V103*COS(RADIANS($E$8))-W103*SIN(RADIANS($E$8)))</f>
        <v/>
      </c>
      <c r="I103" s="12">
        <f>IF(U103="","",$E$5+V103*SIN(RADIANS($E$8))+W103*COS(RADIANS($E$8)))</f>
        <v/>
      </c>
      <c r="J103" s="12">
        <f>IF(H103="","",H103-$B$7)</f>
        <v/>
      </c>
      <c r="K103" s="12">
        <f>IF(I103="","",I103-$B$8)</f>
        <v/>
      </c>
      <c r="L103" s="12">
        <f>IFERROR(SQRT(J103^2+K103^2)*$B$4/1000,"")</f>
        <v/>
      </c>
      <c r="M103" s="12">
        <f>IF(OR($E$13&lt;&gt;"OK",L103=""),"",IF(L103&lt;=$D$19,$A$19,IF(L103&gt;=INDEX($D$19:$D$218,$E$12),INDEX($A$19:$A$218,$E$12),INDEX($A$19:$A$218,MATCH(L103,$D$19:INDEX($D$19:$D$218,$E$12),1))+(L103-INDEX($D$19:$D$218,MATCH(L103,$D$19:INDEX($D$19:$D$218,$E$12),1)))*(INDEX($A$19:$A$218,MATCH(L103,$D$19:INDEX($D$19:$D$218,$E$12),1)+1)-INDEX($A$19:$A$218,MATCH(L103,$D$19:INDEX($D$19:$D$218,$E$12),1)))/(INDEX($D$19:$D$218,MATCH(L103,$D$19:INDEX($D$19:$D$218,$E$12),1)+1)-INDEX($D$19:$D$218,MATCH(L103,$D$19:INDEX($D$19:$D$218,$E$12),1))))))</f>
        <v/>
      </c>
      <c r="N103" s="12">
        <f>IF(M103="","",$B$6*TAN(RADIANS(M103)))</f>
        <v/>
      </c>
      <c r="O103" s="12">
        <f>IF(N103="","",IF(L103=0,0,-N103*J103/SQRT(J103^2+K103^2)))</f>
        <v/>
      </c>
      <c r="P103" s="12">
        <f>IF(N103="","",IF(L103=0,0,N103*K103/SQRT(J103^2+K103^2)))</f>
        <v/>
      </c>
      <c r="Q103" s="12">
        <f>IF(N103="","",IF(N103=0,$B$7,$B$7-Y103*O103/N103))</f>
        <v/>
      </c>
      <c r="R103" s="12">
        <f>IF(N103="","",IF(N103=0,$B$8,$B$8+Y103*P103/N103))</f>
        <v/>
      </c>
      <c r="S103" s="12">
        <f>IFERROR(SQRT((Q103-H103)^2+(R103-I103)^2),"")</f>
        <v/>
      </c>
      <c r="T103">
        <f>76</f>
        <v/>
      </c>
      <c r="U103">
        <f>IF(T103&gt;4*$E$9,"",MIN(INT(T103/$E$9)+1,4))</f>
        <v/>
      </c>
      <c r="V103">
        <f>IF(T103=4*$E$9,-$E$6/2,IF(U103="","",CHOOSE(U103,-$E$6/2+MOD(T103,$E$9)/$E$9*$E$6,$E$6/2,$E$6/2-MOD(T103,$E$9)/$E$9*$E$6,-$E$6/2)))</f>
        <v/>
      </c>
      <c r="W103">
        <f>IF(T103=4*$E$9,-$E$7/2,IF(U103="","",CHOOSE(U103,-$E$7/2,-$E$7/2+MOD(T103,$E$9)/$E$9*$E$7,$E$7/2,$E$7/2-MOD(T103,$E$9)/$E$9*$E$7)))</f>
        <v/>
      </c>
      <c r="X103">
        <f>IF(OR($E$13&lt;&gt;"OK",M103=""),"",IF(M103&lt;=$A$19,$D$19,IF(M103&gt;=INDEX($A$19:$A$218,$E$12),INDEX($D$19:$D$218,$E$12),INDEX($D$19:$D$218,MATCH(M103,$A$19:INDEX($A$19:$A$218,$E$12),1))+(M103-INDEX($A$19:$A$218,MATCH(M103,$A$19:INDEX($A$19:$A$218,$E$12),1)))*(INDEX($D$19:$D$218,MATCH(M103,$A$19:INDEX($A$19:$A$218,$E$12),1)+1)-INDEX($D$19:$D$218,MATCH(M103,$A$19:INDEX($A$19:$A$218,$E$12),1)))/(INDEX($A$19:$A$218,MATCH(M103,$A$19:INDEX($A$19:$A$218,$E$12),1)+1)-INDEX($A$19:$A$218,MATCH(M103,$A$19:INDEX($A$19:$A$218,$E$12),1))))))</f>
        <v/>
      </c>
      <c r="Y103">
        <f>IF(X103="","",X103*1000/$B$4)</f>
        <v/>
      </c>
    </row>
    <row r="104">
      <c r="A104" s="10" t="n"/>
      <c r="B104" s="10" t="n"/>
      <c r="C104" s="11">
        <f>IF(A104="","",$B$5*TAN(RADIANS(A104)))</f>
        <v/>
      </c>
      <c r="D104" s="11">
        <f>IF(C104="","",C104*(1+B104/100))</f>
        <v/>
      </c>
      <c r="E104" s="11">
        <f>IF(A104="","",$B$6*TAN(RADIANS(A104)))</f>
        <v/>
      </c>
      <c r="G104" s="12">
        <f>IF(U104="","",T104)</f>
        <v/>
      </c>
      <c r="H104" s="12">
        <f>IF(U104="","",$E$4+V104*COS(RADIANS($E$8))-W104*SIN(RADIANS($E$8)))</f>
        <v/>
      </c>
      <c r="I104" s="12">
        <f>IF(U104="","",$E$5+V104*SIN(RADIANS($E$8))+W104*COS(RADIANS($E$8)))</f>
        <v/>
      </c>
      <c r="J104" s="12">
        <f>IF(H104="","",H104-$B$7)</f>
        <v/>
      </c>
      <c r="K104" s="12">
        <f>IF(I104="","",I104-$B$8)</f>
        <v/>
      </c>
      <c r="L104" s="12">
        <f>IFERROR(SQRT(J104^2+K104^2)*$B$4/1000,"")</f>
        <v/>
      </c>
      <c r="M104" s="12">
        <f>IF(OR($E$13&lt;&gt;"OK",L104=""),"",IF(L104&lt;=$D$19,$A$19,IF(L104&gt;=INDEX($D$19:$D$218,$E$12),INDEX($A$19:$A$218,$E$12),INDEX($A$19:$A$218,MATCH(L104,$D$19:INDEX($D$19:$D$218,$E$12),1))+(L104-INDEX($D$19:$D$218,MATCH(L104,$D$19:INDEX($D$19:$D$218,$E$12),1)))*(INDEX($A$19:$A$218,MATCH(L104,$D$19:INDEX($D$19:$D$218,$E$12),1)+1)-INDEX($A$19:$A$218,MATCH(L104,$D$19:INDEX($D$19:$D$218,$E$12),1)))/(INDEX($D$19:$D$218,MATCH(L104,$D$19:INDEX($D$19:$D$218,$E$12),1)+1)-INDEX($D$19:$D$218,MATCH(L104,$D$19:INDEX($D$19:$D$218,$E$12),1))))))</f>
        <v/>
      </c>
      <c r="N104" s="12">
        <f>IF(M104="","",$B$6*TAN(RADIANS(M104)))</f>
        <v/>
      </c>
      <c r="O104" s="12">
        <f>IF(N104="","",IF(L104=0,0,-N104*J104/SQRT(J104^2+K104^2)))</f>
        <v/>
      </c>
      <c r="P104" s="12">
        <f>IF(N104="","",IF(L104=0,0,N104*K104/SQRT(J104^2+K104^2)))</f>
        <v/>
      </c>
      <c r="Q104" s="12">
        <f>IF(N104="","",IF(N104=0,$B$7,$B$7-Y104*O104/N104))</f>
        <v/>
      </c>
      <c r="R104" s="12">
        <f>IF(N104="","",IF(N104=0,$B$8,$B$8+Y104*P104/N104))</f>
        <v/>
      </c>
      <c r="S104" s="12">
        <f>IFERROR(SQRT((Q104-H104)^2+(R104-I104)^2),"")</f>
        <v/>
      </c>
      <c r="T104">
        <f>77</f>
        <v/>
      </c>
      <c r="U104">
        <f>IF(T104&gt;4*$E$9,"",MIN(INT(T104/$E$9)+1,4))</f>
        <v/>
      </c>
      <c r="V104">
        <f>IF(T104=4*$E$9,-$E$6/2,IF(U104="","",CHOOSE(U104,-$E$6/2+MOD(T104,$E$9)/$E$9*$E$6,$E$6/2,$E$6/2-MOD(T104,$E$9)/$E$9*$E$6,-$E$6/2)))</f>
        <v/>
      </c>
      <c r="W104">
        <f>IF(T104=4*$E$9,-$E$7/2,IF(U104="","",CHOOSE(U104,-$E$7/2,-$E$7/2+MOD(T104,$E$9)/$E$9*$E$7,$E$7/2,$E$7/2-MOD(T104,$E$9)/$E$9*$E$7)))</f>
        <v/>
      </c>
      <c r="X104">
        <f>IF(OR($E$13&lt;&gt;"OK",M104=""),"",IF(M104&lt;=$A$19,$D$19,IF(M104&gt;=INDEX($A$19:$A$218,$E$12),INDEX($D$19:$D$218,$E$12),INDEX($D$19:$D$218,MATCH(M104,$A$19:INDEX($A$19:$A$218,$E$12),1))+(M104-INDEX($A$19:$A$218,MATCH(M104,$A$19:INDEX($A$19:$A$218,$E$12),1)))*(INDEX($D$19:$D$218,MATCH(M104,$A$19:INDEX($A$19:$A$218,$E$12),1)+1)-INDEX($D$19:$D$218,MATCH(M104,$A$19:INDEX($A$19:$A$218,$E$12),1)))/(INDEX($A$19:$A$218,MATCH(M104,$A$19:INDEX($A$19:$A$218,$E$12),1)+1)-INDEX($A$19:$A$218,MATCH(M104,$A$19:INDEX($A$19:$A$218,$E$12),1))))))</f>
        <v/>
      </c>
      <c r="Y104">
        <f>IF(X104="","",X104*1000/$B$4)</f>
        <v/>
      </c>
    </row>
    <row r="105">
      <c r="A105" s="10" t="n"/>
      <c r="B105" s="10" t="n"/>
      <c r="C105" s="11">
        <f>IF(A105="","",$B$5*TAN(RADIANS(A105)))</f>
        <v/>
      </c>
      <c r="D105" s="11">
        <f>IF(C105="","",C105*(1+B105/100))</f>
        <v/>
      </c>
      <c r="E105" s="11">
        <f>IF(A105="","",$B$6*TAN(RADIANS(A105)))</f>
        <v/>
      </c>
      <c r="G105" s="12">
        <f>IF(U105="","",T105)</f>
        <v/>
      </c>
      <c r="H105" s="12">
        <f>IF(U105="","",$E$4+V105*COS(RADIANS($E$8))-W105*SIN(RADIANS($E$8)))</f>
        <v/>
      </c>
      <c r="I105" s="12">
        <f>IF(U105="","",$E$5+V105*SIN(RADIANS($E$8))+W105*COS(RADIANS($E$8)))</f>
        <v/>
      </c>
      <c r="J105" s="12">
        <f>IF(H105="","",H105-$B$7)</f>
        <v/>
      </c>
      <c r="K105" s="12">
        <f>IF(I105="","",I105-$B$8)</f>
        <v/>
      </c>
      <c r="L105" s="12">
        <f>IFERROR(SQRT(J105^2+K105^2)*$B$4/1000,"")</f>
        <v/>
      </c>
      <c r="M105" s="12">
        <f>IF(OR($E$13&lt;&gt;"OK",L105=""),"",IF(L105&lt;=$D$19,$A$19,IF(L105&gt;=INDEX($D$19:$D$218,$E$12),INDEX($A$19:$A$218,$E$12),INDEX($A$19:$A$218,MATCH(L105,$D$19:INDEX($D$19:$D$218,$E$12),1))+(L105-INDEX($D$19:$D$218,MATCH(L105,$D$19:INDEX($D$19:$D$218,$E$12),1)))*(INDEX($A$19:$A$218,MATCH(L105,$D$19:INDEX($D$19:$D$218,$E$12),1)+1)-INDEX($A$19:$A$218,MATCH(L105,$D$19:INDEX($D$19:$D$218,$E$12),1)))/(INDEX($D$19:$D$218,MATCH(L105,$D$19:INDEX($D$19:$D$218,$E$12),1)+1)-INDEX($D$19:$D$218,MATCH(L105,$D$19:INDEX($D$19:$D$218,$E$12),1))))))</f>
        <v/>
      </c>
      <c r="N105" s="12">
        <f>IF(M105="","",$B$6*TAN(RADIANS(M105)))</f>
        <v/>
      </c>
      <c r="O105" s="12">
        <f>IF(N105="","",IF(L105=0,0,-N105*J105/SQRT(J105^2+K105^2)))</f>
        <v/>
      </c>
      <c r="P105" s="12">
        <f>IF(N105="","",IF(L105=0,0,N105*K105/SQRT(J105^2+K105^2)))</f>
        <v/>
      </c>
      <c r="Q105" s="12">
        <f>IF(N105="","",IF(N105=0,$B$7,$B$7-Y105*O105/N105))</f>
        <v/>
      </c>
      <c r="R105" s="12">
        <f>IF(N105="","",IF(N105=0,$B$8,$B$8+Y105*P105/N105))</f>
        <v/>
      </c>
      <c r="S105" s="12">
        <f>IFERROR(SQRT((Q105-H105)^2+(R105-I105)^2),"")</f>
        <v/>
      </c>
      <c r="T105">
        <f>78</f>
        <v/>
      </c>
      <c r="U105">
        <f>IF(T105&gt;4*$E$9,"",MIN(INT(T105/$E$9)+1,4))</f>
        <v/>
      </c>
      <c r="V105">
        <f>IF(T105=4*$E$9,-$E$6/2,IF(U105="","",CHOOSE(U105,-$E$6/2+MOD(T105,$E$9)/$E$9*$E$6,$E$6/2,$E$6/2-MOD(T105,$E$9)/$E$9*$E$6,-$E$6/2)))</f>
        <v/>
      </c>
      <c r="W105">
        <f>IF(T105=4*$E$9,-$E$7/2,IF(U105="","",CHOOSE(U105,-$E$7/2,-$E$7/2+MOD(T105,$E$9)/$E$9*$E$7,$E$7/2,$E$7/2-MOD(T105,$E$9)/$E$9*$E$7)))</f>
        <v/>
      </c>
      <c r="X105">
        <f>IF(OR($E$13&lt;&gt;"OK",M105=""),"",IF(M105&lt;=$A$19,$D$19,IF(M105&gt;=INDEX($A$19:$A$218,$E$12),INDEX($D$19:$D$218,$E$12),INDEX($D$19:$D$218,MATCH(M105,$A$19:INDEX($A$19:$A$218,$E$12),1))+(M105-INDEX($A$19:$A$218,MATCH(M105,$A$19:INDEX($A$19:$A$218,$E$12),1)))*(INDEX($D$19:$D$218,MATCH(M105,$A$19:INDEX($A$19:$A$218,$E$12),1)+1)-INDEX($D$19:$D$218,MATCH(M105,$A$19:INDEX($A$19:$A$218,$E$12),1)))/(INDEX($A$19:$A$218,MATCH(M105,$A$19:INDEX($A$19:$A$218,$E$12),1)+1)-INDEX($A$19:$A$218,MATCH(M105,$A$19:INDEX($A$19:$A$218,$E$12),1))))))</f>
        <v/>
      </c>
      <c r="Y105">
        <f>IF(X105="","",X105*1000/$B$4)</f>
        <v/>
      </c>
    </row>
    <row r="106">
      <c r="A106" s="10" t="n"/>
      <c r="B106" s="10" t="n"/>
      <c r="C106" s="11">
        <f>IF(A106="","",$B$5*TAN(RADIANS(A106)))</f>
        <v/>
      </c>
      <c r="D106" s="11">
        <f>IF(C106="","",C106*(1+B106/100))</f>
        <v/>
      </c>
      <c r="E106" s="11">
        <f>IF(A106="","",$B$6*TAN(RADIANS(A106)))</f>
        <v/>
      </c>
      <c r="G106" s="12">
        <f>IF(U106="","",T106)</f>
        <v/>
      </c>
      <c r="H106" s="12">
        <f>IF(U106="","",$E$4+V106*COS(RADIANS($E$8))-W106*SIN(RADIANS($E$8)))</f>
        <v/>
      </c>
      <c r="I106" s="12">
        <f>IF(U106="","",$E$5+V106*SIN(RADIANS($E$8))+W106*COS(RADIANS($E$8)))</f>
        <v/>
      </c>
      <c r="J106" s="12">
        <f>IF(H106="","",H106-$B$7)</f>
        <v/>
      </c>
      <c r="K106" s="12">
        <f>IF(I106="","",I106-$B$8)</f>
        <v/>
      </c>
      <c r="L106" s="12">
        <f>IFERROR(SQRT(J106^2+K106^2)*$B$4/1000,"")</f>
        <v/>
      </c>
      <c r="M106" s="12">
        <f>IF(OR($E$13&lt;&gt;"OK",L106=""),"",IF(L106&lt;=$D$19,$A$19,IF(L106&gt;=INDEX($D$19:$D$218,$E$12),INDEX($A$19:$A$218,$E$12),INDEX($A$19:$A$218,MATCH(L106,$D$19:INDEX($D$19:$D$218,$E$12),1))+(L106-INDEX($D$19:$D$218,MATCH(L106,$D$19:INDEX($D$19:$D$218,$E$12),1)))*(INDEX($A$19:$A$218,MATCH(L106,$D$19:INDEX($D$19:$D$218,$E$12),1)+1)-INDEX($A$19:$A$218,MATCH(L106,$D$19:INDEX($D$19:$D$218,$E$12),1)))/(INDEX($D$19:$D$218,MATCH(L106,$D$19:INDEX($D$19:$D$218,$E$12),1)+1)-INDEX($D$19:$D$218,MATCH(L106,$D$19:INDEX($D$19:$D$218,$E$12),1))))))</f>
        <v/>
      </c>
      <c r="N106" s="12">
        <f>IF(M106="","",$B$6*TAN(RADIANS(M106)))</f>
        <v/>
      </c>
      <c r="O106" s="12">
        <f>IF(N106="","",IF(L106=0,0,-N106*J106/SQRT(J106^2+K106^2)))</f>
        <v/>
      </c>
      <c r="P106" s="12">
        <f>IF(N106="","",IF(L106=0,0,N106*K106/SQRT(J106^2+K106^2)))</f>
        <v/>
      </c>
      <c r="Q106" s="12">
        <f>IF(N106="","",IF(N106=0,$B$7,$B$7-Y106*O106/N106))</f>
        <v/>
      </c>
      <c r="R106" s="12">
        <f>IF(N106="","",IF(N106=0,$B$8,$B$8+Y106*P106/N106))</f>
        <v/>
      </c>
      <c r="S106" s="12">
        <f>IFERROR(SQRT((Q106-H106)^2+(R106-I106)^2),"")</f>
        <v/>
      </c>
      <c r="T106">
        <f>79</f>
        <v/>
      </c>
      <c r="U106">
        <f>IF(T106&gt;4*$E$9,"",MIN(INT(T106/$E$9)+1,4))</f>
        <v/>
      </c>
      <c r="V106">
        <f>IF(T106=4*$E$9,-$E$6/2,IF(U106="","",CHOOSE(U106,-$E$6/2+MOD(T106,$E$9)/$E$9*$E$6,$E$6/2,$E$6/2-MOD(T106,$E$9)/$E$9*$E$6,-$E$6/2)))</f>
        <v/>
      </c>
      <c r="W106">
        <f>IF(T106=4*$E$9,-$E$7/2,IF(U106="","",CHOOSE(U106,-$E$7/2,-$E$7/2+MOD(T106,$E$9)/$E$9*$E$7,$E$7/2,$E$7/2-MOD(T106,$E$9)/$E$9*$E$7)))</f>
        <v/>
      </c>
      <c r="X106">
        <f>IF(OR($E$13&lt;&gt;"OK",M106=""),"",IF(M106&lt;=$A$19,$D$19,IF(M106&gt;=INDEX($A$19:$A$218,$E$12),INDEX($D$19:$D$218,$E$12),INDEX($D$19:$D$218,MATCH(M106,$A$19:INDEX($A$19:$A$218,$E$12),1))+(M106-INDEX($A$19:$A$218,MATCH(M106,$A$19:INDEX($A$19:$A$218,$E$12),1)))*(INDEX($D$19:$D$218,MATCH(M106,$A$19:INDEX($A$19:$A$218,$E$12),1)+1)-INDEX($D$19:$D$218,MATCH(M106,$A$19:INDEX($A$19:$A$218,$E$12),1)))/(INDEX($A$19:$A$218,MATCH(M106,$A$19:INDEX($A$19:$A$218,$E$12),1)+1)-INDEX($A$19:$A$218,MATCH(M106,$A$19:INDEX($A$19:$A$218,$E$12),1))))))</f>
        <v/>
      </c>
      <c r="Y106">
        <f>IF(X106="","",X106*1000/$B$4)</f>
        <v/>
      </c>
    </row>
    <row r="107">
      <c r="A107" s="10" t="n"/>
      <c r="B107" s="10" t="n"/>
      <c r="C107" s="11">
        <f>IF(A107="","",$B$5*TAN(RADIANS(A107)))</f>
        <v/>
      </c>
      <c r="D107" s="11">
        <f>IF(C107="","",C107*(1+B107/100))</f>
        <v/>
      </c>
      <c r="E107" s="11">
        <f>IF(A107="","",$B$6*TAN(RADIANS(A107)))</f>
        <v/>
      </c>
      <c r="G107" s="12">
        <f>IF(U107="","",T107)</f>
        <v/>
      </c>
      <c r="H107" s="12">
        <f>IF(U107="","",$E$4+V107*COS(RADIANS($E$8))-W107*SIN(RADIANS($E$8)))</f>
        <v/>
      </c>
      <c r="I107" s="12">
        <f>IF(U107="","",$E$5+V107*SIN(RADIANS($E$8))+W107*COS(RADIANS($E$8)))</f>
        <v/>
      </c>
      <c r="J107" s="12">
        <f>IF(H107="","",H107-$B$7)</f>
        <v/>
      </c>
      <c r="K107" s="12">
        <f>IF(I107="","",I107-$B$8)</f>
        <v/>
      </c>
      <c r="L107" s="12">
        <f>IFERROR(SQRT(J107^2+K107^2)*$B$4/1000,"")</f>
        <v/>
      </c>
      <c r="M107" s="12">
        <f>IF(OR($E$13&lt;&gt;"OK",L107=""),"",IF(L107&lt;=$D$19,$A$19,IF(L107&gt;=INDEX($D$19:$D$218,$E$12),INDEX($A$19:$A$218,$E$12),INDEX($A$19:$A$218,MATCH(L107,$D$19:INDEX($D$19:$D$218,$E$12),1))+(L107-INDEX($D$19:$D$218,MATCH(L107,$D$19:INDEX($D$19:$D$218,$E$12),1)))*(INDEX($A$19:$A$218,MATCH(L107,$D$19:INDEX($D$19:$D$218,$E$12),1)+1)-INDEX($A$19:$A$218,MATCH(L107,$D$19:INDEX($D$19:$D$218,$E$12),1)))/(INDEX($D$19:$D$218,MATCH(L107,$D$19:INDEX($D$19:$D$218,$E$12),1)+1)-INDEX($D$19:$D$218,MATCH(L107,$D$19:INDEX($D$19:$D$218,$E$12),1))))))</f>
        <v/>
      </c>
      <c r="N107" s="12">
        <f>IF(M107="","",$B$6*TAN(RADIANS(M107)))</f>
        <v/>
      </c>
      <c r="O107" s="12">
        <f>IF(N107="","",IF(L107=0,0,-N107*J107/SQRT(J107^2+K107^2)))</f>
        <v/>
      </c>
      <c r="P107" s="12">
        <f>IF(N107="","",IF(L107=0,0,N107*K107/SQRT(J107^2+K107^2)))</f>
        <v/>
      </c>
      <c r="Q107" s="12">
        <f>IF(N107="","",IF(N107=0,$B$7,$B$7-Y107*O107/N107))</f>
        <v/>
      </c>
      <c r="R107" s="12">
        <f>IF(N107="","",IF(N107=0,$B$8,$B$8+Y107*P107/N107))</f>
        <v/>
      </c>
      <c r="S107" s="12">
        <f>IFERROR(SQRT((Q107-H107)^2+(R107-I107)^2),"")</f>
        <v/>
      </c>
      <c r="T107">
        <f>80</f>
        <v/>
      </c>
      <c r="U107">
        <f>IF(T107&gt;4*$E$9,"",MIN(INT(T107/$E$9)+1,4))</f>
        <v/>
      </c>
      <c r="V107">
        <f>IF(T107=4*$E$9,-$E$6/2,IF(U107="","",CHOOSE(U107,-$E$6/2+MOD(T107,$E$9)/$E$9*$E$6,$E$6/2,$E$6/2-MOD(T107,$E$9)/$E$9*$E$6,-$E$6/2)))</f>
        <v/>
      </c>
      <c r="W107">
        <f>IF(T107=4*$E$9,-$E$7/2,IF(U107="","",CHOOSE(U107,-$E$7/2,-$E$7/2+MOD(T107,$E$9)/$E$9*$E$7,$E$7/2,$E$7/2-MOD(T107,$E$9)/$E$9*$E$7)))</f>
        <v/>
      </c>
      <c r="X107">
        <f>IF(OR($E$13&lt;&gt;"OK",M107=""),"",IF(M107&lt;=$A$19,$D$19,IF(M107&gt;=INDEX($A$19:$A$218,$E$12),INDEX($D$19:$D$218,$E$12),INDEX($D$19:$D$218,MATCH(M107,$A$19:INDEX($A$19:$A$218,$E$12),1))+(M107-INDEX($A$19:$A$218,MATCH(M107,$A$19:INDEX($A$19:$A$218,$E$12),1)))*(INDEX($D$19:$D$218,MATCH(M107,$A$19:INDEX($A$19:$A$218,$E$12),1)+1)-INDEX($D$19:$D$218,MATCH(M107,$A$19:INDEX($A$19:$A$218,$E$12),1)))/(INDEX($A$19:$A$218,MATCH(M107,$A$19:INDEX($A$19:$A$218,$E$12),1)+1)-INDEX($A$19:$A$218,MATCH(M107,$A$19:INDEX($A$19:$A$218,$E$12),1))))))</f>
        <v/>
      </c>
      <c r="Y107">
        <f>IF(X107="","",X107*1000/$B$4)</f>
        <v/>
      </c>
    </row>
    <row r="108">
      <c r="A108" s="10" t="n"/>
      <c r="B108" s="10" t="n"/>
      <c r="C108" s="11">
        <f>IF(A108="","",$B$5*TAN(RADIANS(A108)))</f>
        <v/>
      </c>
      <c r="D108" s="11">
        <f>IF(C108="","",C108*(1+B108/100))</f>
        <v/>
      </c>
      <c r="E108" s="11">
        <f>IF(A108="","",$B$6*TAN(RADIANS(A108)))</f>
        <v/>
      </c>
      <c r="G108" s="12">
        <f>IF(U108="","",T108)</f>
        <v/>
      </c>
      <c r="H108" s="12">
        <f>IF(U108="","",$E$4+V108*COS(RADIANS($E$8))-W108*SIN(RADIANS($E$8)))</f>
        <v/>
      </c>
      <c r="I108" s="12">
        <f>IF(U108="","",$E$5+V108*SIN(RADIANS($E$8))+W108*COS(RADIANS($E$8)))</f>
        <v/>
      </c>
      <c r="J108" s="12">
        <f>IF(H108="","",H108-$B$7)</f>
        <v/>
      </c>
      <c r="K108" s="12">
        <f>IF(I108="","",I108-$B$8)</f>
        <v/>
      </c>
      <c r="L108" s="12">
        <f>IFERROR(SQRT(J108^2+K108^2)*$B$4/1000,"")</f>
        <v/>
      </c>
      <c r="M108" s="12">
        <f>IF(OR($E$13&lt;&gt;"OK",L108=""),"",IF(L108&lt;=$D$19,$A$19,IF(L108&gt;=INDEX($D$19:$D$218,$E$12),INDEX($A$19:$A$218,$E$12),INDEX($A$19:$A$218,MATCH(L108,$D$19:INDEX($D$19:$D$218,$E$12),1))+(L108-INDEX($D$19:$D$218,MATCH(L108,$D$19:INDEX($D$19:$D$218,$E$12),1)))*(INDEX($A$19:$A$218,MATCH(L108,$D$19:INDEX($D$19:$D$218,$E$12),1)+1)-INDEX($A$19:$A$218,MATCH(L108,$D$19:INDEX($D$19:$D$218,$E$12),1)))/(INDEX($D$19:$D$218,MATCH(L108,$D$19:INDEX($D$19:$D$218,$E$12),1)+1)-INDEX($D$19:$D$218,MATCH(L108,$D$19:INDEX($D$19:$D$218,$E$12),1))))))</f>
        <v/>
      </c>
      <c r="N108" s="12">
        <f>IF(M108="","",$B$6*TAN(RADIANS(M108)))</f>
        <v/>
      </c>
      <c r="O108" s="12">
        <f>IF(N108="","",IF(L108=0,0,-N108*J108/SQRT(J108^2+K108^2)))</f>
        <v/>
      </c>
      <c r="P108" s="12">
        <f>IF(N108="","",IF(L108=0,0,N108*K108/SQRT(J108^2+K108^2)))</f>
        <v/>
      </c>
      <c r="Q108" s="12">
        <f>IF(N108="","",IF(N108=0,$B$7,$B$7-Y108*O108/N108))</f>
        <v/>
      </c>
      <c r="R108" s="12">
        <f>IF(N108="","",IF(N108=0,$B$8,$B$8+Y108*P108/N108))</f>
        <v/>
      </c>
      <c r="S108" s="12">
        <f>IFERROR(SQRT((Q108-H108)^2+(R108-I108)^2),"")</f>
        <v/>
      </c>
      <c r="T108">
        <f>81</f>
        <v/>
      </c>
      <c r="U108">
        <f>IF(T108&gt;4*$E$9,"",MIN(INT(T108/$E$9)+1,4))</f>
        <v/>
      </c>
      <c r="V108">
        <f>IF(T108=4*$E$9,-$E$6/2,IF(U108="","",CHOOSE(U108,-$E$6/2+MOD(T108,$E$9)/$E$9*$E$6,$E$6/2,$E$6/2-MOD(T108,$E$9)/$E$9*$E$6,-$E$6/2)))</f>
        <v/>
      </c>
      <c r="W108">
        <f>IF(T108=4*$E$9,-$E$7/2,IF(U108="","",CHOOSE(U108,-$E$7/2,-$E$7/2+MOD(T108,$E$9)/$E$9*$E$7,$E$7/2,$E$7/2-MOD(T108,$E$9)/$E$9*$E$7)))</f>
        <v/>
      </c>
      <c r="X108">
        <f>IF(OR($E$13&lt;&gt;"OK",M108=""),"",IF(M108&lt;=$A$19,$D$19,IF(M108&gt;=INDEX($A$19:$A$218,$E$12),INDEX($D$19:$D$218,$E$12),INDEX($D$19:$D$218,MATCH(M108,$A$19:INDEX($A$19:$A$218,$E$12),1))+(M108-INDEX($A$19:$A$218,MATCH(M108,$A$19:INDEX($A$19:$A$218,$E$12),1)))*(INDEX($D$19:$D$218,MATCH(M108,$A$19:INDEX($A$19:$A$218,$E$12),1)+1)-INDEX($D$19:$D$218,MATCH(M108,$A$19:INDEX($A$19:$A$218,$E$12),1)))/(INDEX($A$19:$A$218,MATCH(M108,$A$19:INDEX($A$19:$A$218,$E$12),1)+1)-INDEX($A$19:$A$218,MATCH(M108,$A$19:INDEX($A$19:$A$218,$E$12),1))))))</f>
        <v/>
      </c>
      <c r="Y108">
        <f>IF(X108="","",X108*1000/$B$4)</f>
        <v/>
      </c>
    </row>
    <row r="109">
      <c r="A109" s="10" t="n"/>
      <c r="B109" s="10" t="n"/>
      <c r="C109" s="11">
        <f>IF(A109="","",$B$5*TAN(RADIANS(A109)))</f>
        <v/>
      </c>
      <c r="D109" s="11">
        <f>IF(C109="","",C109*(1+B109/100))</f>
        <v/>
      </c>
      <c r="E109" s="11">
        <f>IF(A109="","",$B$6*TAN(RADIANS(A109)))</f>
        <v/>
      </c>
      <c r="G109" s="12">
        <f>IF(U109="","",T109)</f>
        <v/>
      </c>
      <c r="H109" s="12">
        <f>IF(U109="","",$E$4+V109*COS(RADIANS($E$8))-W109*SIN(RADIANS($E$8)))</f>
        <v/>
      </c>
      <c r="I109" s="12">
        <f>IF(U109="","",$E$5+V109*SIN(RADIANS($E$8))+W109*COS(RADIANS($E$8)))</f>
        <v/>
      </c>
      <c r="J109" s="12">
        <f>IF(H109="","",H109-$B$7)</f>
        <v/>
      </c>
      <c r="K109" s="12">
        <f>IF(I109="","",I109-$B$8)</f>
        <v/>
      </c>
      <c r="L109" s="12">
        <f>IFERROR(SQRT(J109^2+K109^2)*$B$4/1000,"")</f>
        <v/>
      </c>
      <c r="M109" s="12">
        <f>IF(OR($E$13&lt;&gt;"OK",L109=""),"",IF(L109&lt;=$D$19,$A$19,IF(L109&gt;=INDEX($D$19:$D$218,$E$12),INDEX($A$19:$A$218,$E$12),INDEX($A$19:$A$218,MATCH(L109,$D$19:INDEX($D$19:$D$218,$E$12),1))+(L109-INDEX($D$19:$D$218,MATCH(L109,$D$19:INDEX($D$19:$D$218,$E$12),1)))*(INDEX($A$19:$A$218,MATCH(L109,$D$19:INDEX($D$19:$D$218,$E$12),1)+1)-INDEX($A$19:$A$218,MATCH(L109,$D$19:INDEX($D$19:$D$218,$E$12),1)))/(INDEX($D$19:$D$218,MATCH(L109,$D$19:INDEX($D$19:$D$218,$E$12),1)+1)-INDEX($D$19:$D$218,MATCH(L109,$D$19:INDEX($D$19:$D$218,$E$12),1))))))</f>
        <v/>
      </c>
      <c r="N109" s="12">
        <f>IF(M109="","",$B$6*TAN(RADIANS(M109)))</f>
        <v/>
      </c>
      <c r="O109" s="12">
        <f>IF(N109="","",IF(L109=0,0,-N109*J109/SQRT(J109^2+K109^2)))</f>
        <v/>
      </c>
      <c r="P109" s="12">
        <f>IF(N109="","",IF(L109=0,0,N109*K109/SQRT(J109^2+K109^2)))</f>
        <v/>
      </c>
      <c r="Q109" s="12">
        <f>IF(N109="","",IF(N109=0,$B$7,$B$7-Y109*O109/N109))</f>
        <v/>
      </c>
      <c r="R109" s="12">
        <f>IF(N109="","",IF(N109=0,$B$8,$B$8+Y109*P109/N109))</f>
        <v/>
      </c>
      <c r="S109" s="12">
        <f>IFERROR(SQRT((Q109-H109)^2+(R109-I109)^2),"")</f>
        <v/>
      </c>
      <c r="T109">
        <f>82</f>
        <v/>
      </c>
      <c r="U109">
        <f>IF(T109&gt;4*$E$9,"",MIN(INT(T109/$E$9)+1,4))</f>
        <v/>
      </c>
      <c r="V109">
        <f>IF(T109=4*$E$9,-$E$6/2,IF(U109="","",CHOOSE(U109,-$E$6/2+MOD(T109,$E$9)/$E$9*$E$6,$E$6/2,$E$6/2-MOD(T109,$E$9)/$E$9*$E$6,-$E$6/2)))</f>
        <v/>
      </c>
      <c r="W109">
        <f>IF(T109=4*$E$9,-$E$7/2,IF(U109="","",CHOOSE(U109,-$E$7/2,-$E$7/2+MOD(T109,$E$9)/$E$9*$E$7,$E$7/2,$E$7/2-MOD(T109,$E$9)/$E$9*$E$7)))</f>
        <v/>
      </c>
      <c r="X109">
        <f>IF(OR($E$13&lt;&gt;"OK",M109=""),"",IF(M109&lt;=$A$19,$D$19,IF(M109&gt;=INDEX($A$19:$A$218,$E$12),INDEX($D$19:$D$218,$E$12),INDEX($D$19:$D$218,MATCH(M109,$A$19:INDEX($A$19:$A$218,$E$12),1))+(M109-INDEX($A$19:$A$218,MATCH(M109,$A$19:INDEX($A$19:$A$218,$E$12),1)))*(INDEX($D$19:$D$218,MATCH(M109,$A$19:INDEX($A$19:$A$218,$E$12),1)+1)-INDEX($D$19:$D$218,MATCH(M109,$A$19:INDEX($A$19:$A$218,$E$12),1)))/(INDEX($A$19:$A$218,MATCH(M109,$A$19:INDEX($A$19:$A$218,$E$12),1)+1)-INDEX($A$19:$A$218,MATCH(M109,$A$19:INDEX($A$19:$A$218,$E$12),1))))))</f>
        <v/>
      </c>
      <c r="Y109">
        <f>IF(X109="","",X109*1000/$B$4)</f>
        <v/>
      </c>
    </row>
    <row r="110">
      <c r="A110" s="10" t="n"/>
      <c r="B110" s="10" t="n"/>
      <c r="C110" s="11">
        <f>IF(A110="","",$B$5*TAN(RADIANS(A110)))</f>
        <v/>
      </c>
      <c r="D110" s="11">
        <f>IF(C110="","",C110*(1+B110/100))</f>
        <v/>
      </c>
      <c r="E110" s="11">
        <f>IF(A110="","",$B$6*TAN(RADIANS(A110)))</f>
        <v/>
      </c>
      <c r="G110" s="12">
        <f>IF(U110="","",T110)</f>
        <v/>
      </c>
      <c r="H110" s="12">
        <f>IF(U110="","",$E$4+V110*COS(RADIANS($E$8))-W110*SIN(RADIANS($E$8)))</f>
        <v/>
      </c>
      <c r="I110" s="12">
        <f>IF(U110="","",$E$5+V110*SIN(RADIANS($E$8))+W110*COS(RADIANS($E$8)))</f>
        <v/>
      </c>
      <c r="J110" s="12">
        <f>IF(H110="","",H110-$B$7)</f>
        <v/>
      </c>
      <c r="K110" s="12">
        <f>IF(I110="","",I110-$B$8)</f>
        <v/>
      </c>
      <c r="L110" s="12">
        <f>IFERROR(SQRT(J110^2+K110^2)*$B$4/1000,"")</f>
        <v/>
      </c>
      <c r="M110" s="12">
        <f>IF(OR($E$13&lt;&gt;"OK",L110=""),"",IF(L110&lt;=$D$19,$A$19,IF(L110&gt;=INDEX($D$19:$D$218,$E$12),INDEX($A$19:$A$218,$E$12),INDEX($A$19:$A$218,MATCH(L110,$D$19:INDEX($D$19:$D$218,$E$12),1))+(L110-INDEX($D$19:$D$218,MATCH(L110,$D$19:INDEX($D$19:$D$218,$E$12),1)))*(INDEX($A$19:$A$218,MATCH(L110,$D$19:INDEX($D$19:$D$218,$E$12),1)+1)-INDEX($A$19:$A$218,MATCH(L110,$D$19:INDEX($D$19:$D$218,$E$12),1)))/(INDEX($D$19:$D$218,MATCH(L110,$D$19:INDEX($D$19:$D$218,$E$12),1)+1)-INDEX($D$19:$D$218,MATCH(L110,$D$19:INDEX($D$19:$D$218,$E$12),1))))))</f>
        <v/>
      </c>
      <c r="N110" s="12">
        <f>IF(M110="","",$B$6*TAN(RADIANS(M110)))</f>
        <v/>
      </c>
      <c r="O110" s="12">
        <f>IF(N110="","",IF(L110=0,0,-N110*J110/SQRT(J110^2+K110^2)))</f>
        <v/>
      </c>
      <c r="P110" s="12">
        <f>IF(N110="","",IF(L110=0,0,N110*K110/SQRT(J110^2+K110^2)))</f>
        <v/>
      </c>
      <c r="Q110" s="12">
        <f>IF(N110="","",IF(N110=0,$B$7,$B$7-Y110*O110/N110))</f>
        <v/>
      </c>
      <c r="R110" s="12">
        <f>IF(N110="","",IF(N110=0,$B$8,$B$8+Y110*P110/N110))</f>
        <v/>
      </c>
      <c r="S110" s="12">
        <f>IFERROR(SQRT((Q110-H110)^2+(R110-I110)^2),"")</f>
        <v/>
      </c>
      <c r="T110">
        <f>83</f>
        <v/>
      </c>
      <c r="U110">
        <f>IF(T110&gt;4*$E$9,"",MIN(INT(T110/$E$9)+1,4))</f>
        <v/>
      </c>
      <c r="V110">
        <f>IF(T110=4*$E$9,-$E$6/2,IF(U110="","",CHOOSE(U110,-$E$6/2+MOD(T110,$E$9)/$E$9*$E$6,$E$6/2,$E$6/2-MOD(T110,$E$9)/$E$9*$E$6,-$E$6/2)))</f>
        <v/>
      </c>
      <c r="W110">
        <f>IF(T110=4*$E$9,-$E$7/2,IF(U110="","",CHOOSE(U110,-$E$7/2,-$E$7/2+MOD(T110,$E$9)/$E$9*$E$7,$E$7/2,$E$7/2-MOD(T110,$E$9)/$E$9*$E$7)))</f>
        <v/>
      </c>
      <c r="X110">
        <f>IF(OR($E$13&lt;&gt;"OK",M110=""),"",IF(M110&lt;=$A$19,$D$19,IF(M110&gt;=INDEX($A$19:$A$218,$E$12),INDEX($D$19:$D$218,$E$12),INDEX($D$19:$D$218,MATCH(M110,$A$19:INDEX($A$19:$A$218,$E$12),1))+(M110-INDEX($A$19:$A$218,MATCH(M110,$A$19:INDEX($A$19:$A$218,$E$12),1)))*(INDEX($D$19:$D$218,MATCH(M110,$A$19:INDEX($A$19:$A$218,$E$12),1)+1)-INDEX($D$19:$D$218,MATCH(M110,$A$19:INDEX($A$19:$A$218,$E$12),1)))/(INDEX($A$19:$A$218,MATCH(M110,$A$19:INDEX($A$19:$A$218,$E$12),1)+1)-INDEX($A$19:$A$218,MATCH(M110,$A$19:INDEX($A$19:$A$218,$E$12),1))))))</f>
        <v/>
      </c>
      <c r="Y110">
        <f>IF(X110="","",X110*1000/$B$4)</f>
        <v/>
      </c>
    </row>
    <row r="111">
      <c r="A111" s="10" t="n"/>
      <c r="B111" s="10" t="n"/>
      <c r="C111" s="11">
        <f>IF(A111="","",$B$5*TAN(RADIANS(A111)))</f>
        <v/>
      </c>
      <c r="D111" s="11">
        <f>IF(C111="","",C111*(1+B111/100))</f>
        <v/>
      </c>
      <c r="E111" s="11">
        <f>IF(A111="","",$B$6*TAN(RADIANS(A111)))</f>
        <v/>
      </c>
      <c r="G111" s="12">
        <f>IF(U111="","",T111)</f>
        <v/>
      </c>
      <c r="H111" s="12">
        <f>IF(U111="","",$E$4+V111*COS(RADIANS($E$8))-W111*SIN(RADIANS($E$8)))</f>
        <v/>
      </c>
      <c r="I111" s="12">
        <f>IF(U111="","",$E$5+V111*SIN(RADIANS($E$8))+W111*COS(RADIANS($E$8)))</f>
        <v/>
      </c>
      <c r="J111" s="12">
        <f>IF(H111="","",H111-$B$7)</f>
        <v/>
      </c>
      <c r="K111" s="12">
        <f>IF(I111="","",I111-$B$8)</f>
        <v/>
      </c>
      <c r="L111" s="12">
        <f>IFERROR(SQRT(J111^2+K111^2)*$B$4/1000,"")</f>
        <v/>
      </c>
      <c r="M111" s="12">
        <f>IF(OR($E$13&lt;&gt;"OK",L111=""),"",IF(L111&lt;=$D$19,$A$19,IF(L111&gt;=INDEX($D$19:$D$218,$E$12),INDEX($A$19:$A$218,$E$12),INDEX($A$19:$A$218,MATCH(L111,$D$19:INDEX($D$19:$D$218,$E$12),1))+(L111-INDEX($D$19:$D$218,MATCH(L111,$D$19:INDEX($D$19:$D$218,$E$12),1)))*(INDEX($A$19:$A$218,MATCH(L111,$D$19:INDEX($D$19:$D$218,$E$12),1)+1)-INDEX($A$19:$A$218,MATCH(L111,$D$19:INDEX($D$19:$D$218,$E$12),1)))/(INDEX($D$19:$D$218,MATCH(L111,$D$19:INDEX($D$19:$D$218,$E$12),1)+1)-INDEX($D$19:$D$218,MATCH(L111,$D$19:INDEX($D$19:$D$218,$E$12),1))))))</f>
        <v/>
      </c>
      <c r="N111" s="12">
        <f>IF(M111="","",$B$6*TAN(RADIANS(M111)))</f>
        <v/>
      </c>
      <c r="O111" s="12">
        <f>IF(N111="","",IF(L111=0,0,-N111*J111/SQRT(J111^2+K111^2)))</f>
        <v/>
      </c>
      <c r="P111" s="12">
        <f>IF(N111="","",IF(L111=0,0,N111*K111/SQRT(J111^2+K111^2)))</f>
        <v/>
      </c>
      <c r="Q111" s="12">
        <f>IF(N111="","",IF(N111=0,$B$7,$B$7-Y111*O111/N111))</f>
        <v/>
      </c>
      <c r="R111" s="12">
        <f>IF(N111="","",IF(N111=0,$B$8,$B$8+Y111*P111/N111))</f>
        <v/>
      </c>
      <c r="S111" s="12">
        <f>IFERROR(SQRT((Q111-H111)^2+(R111-I111)^2),"")</f>
        <v/>
      </c>
      <c r="T111">
        <f>84</f>
        <v/>
      </c>
      <c r="U111">
        <f>IF(T111&gt;4*$E$9,"",MIN(INT(T111/$E$9)+1,4))</f>
        <v/>
      </c>
      <c r="V111">
        <f>IF(T111=4*$E$9,-$E$6/2,IF(U111="","",CHOOSE(U111,-$E$6/2+MOD(T111,$E$9)/$E$9*$E$6,$E$6/2,$E$6/2-MOD(T111,$E$9)/$E$9*$E$6,-$E$6/2)))</f>
        <v/>
      </c>
      <c r="W111">
        <f>IF(T111=4*$E$9,-$E$7/2,IF(U111="","",CHOOSE(U111,-$E$7/2,-$E$7/2+MOD(T111,$E$9)/$E$9*$E$7,$E$7/2,$E$7/2-MOD(T111,$E$9)/$E$9*$E$7)))</f>
        <v/>
      </c>
      <c r="X111">
        <f>IF(OR($E$13&lt;&gt;"OK",M111=""),"",IF(M111&lt;=$A$19,$D$19,IF(M111&gt;=INDEX($A$19:$A$218,$E$12),INDEX($D$19:$D$218,$E$12),INDEX($D$19:$D$218,MATCH(M111,$A$19:INDEX($A$19:$A$218,$E$12),1))+(M111-INDEX($A$19:$A$218,MATCH(M111,$A$19:INDEX($A$19:$A$218,$E$12),1)))*(INDEX($D$19:$D$218,MATCH(M111,$A$19:INDEX($A$19:$A$218,$E$12),1)+1)-INDEX($D$19:$D$218,MATCH(M111,$A$19:INDEX($A$19:$A$218,$E$12),1)))/(INDEX($A$19:$A$218,MATCH(M111,$A$19:INDEX($A$19:$A$218,$E$12),1)+1)-INDEX($A$19:$A$218,MATCH(M111,$A$19:INDEX($A$19:$A$218,$E$12),1))))))</f>
        <v/>
      </c>
      <c r="Y111">
        <f>IF(X111="","",X111*1000/$B$4)</f>
        <v/>
      </c>
    </row>
    <row r="112">
      <c r="A112" s="10" t="n"/>
      <c r="B112" s="10" t="n"/>
      <c r="C112" s="11">
        <f>IF(A112="","",$B$5*TAN(RADIANS(A112)))</f>
        <v/>
      </c>
      <c r="D112" s="11">
        <f>IF(C112="","",C112*(1+B112/100))</f>
        <v/>
      </c>
      <c r="E112" s="11">
        <f>IF(A112="","",$B$6*TAN(RADIANS(A112)))</f>
        <v/>
      </c>
      <c r="G112" s="12">
        <f>IF(U112="","",T112)</f>
        <v/>
      </c>
      <c r="H112" s="12">
        <f>IF(U112="","",$E$4+V112*COS(RADIANS($E$8))-W112*SIN(RADIANS($E$8)))</f>
        <v/>
      </c>
      <c r="I112" s="12">
        <f>IF(U112="","",$E$5+V112*SIN(RADIANS($E$8))+W112*COS(RADIANS($E$8)))</f>
        <v/>
      </c>
      <c r="J112" s="12">
        <f>IF(H112="","",H112-$B$7)</f>
        <v/>
      </c>
      <c r="K112" s="12">
        <f>IF(I112="","",I112-$B$8)</f>
        <v/>
      </c>
      <c r="L112" s="12">
        <f>IFERROR(SQRT(J112^2+K112^2)*$B$4/1000,"")</f>
        <v/>
      </c>
      <c r="M112" s="12">
        <f>IF(OR($E$13&lt;&gt;"OK",L112=""),"",IF(L112&lt;=$D$19,$A$19,IF(L112&gt;=INDEX($D$19:$D$218,$E$12),INDEX($A$19:$A$218,$E$12),INDEX($A$19:$A$218,MATCH(L112,$D$19:INDEX($D$19:$D$218,$E$12),1))+(L112-INDEX($D$19:$D$218,MATCH(L112,$D$19:INDEX($D$19:$D$218,$E$12),1)))*(INDEX($A$19:$A$218,MATCH(L112,$D$19:INDEX($D$19:$D$218,$E$12),1)+1)-INDEX($A$19:$A$218,MATCH(L112,$D$19:INDEX($D$19:$D$218,$E$12),1)))/(INDEX($D$19:$D$218,MATCH(L112,$D$19:INDEX($D$19:$D$218,$E$12),1)+1)-INDEX($D$19:$D$218,MATCH(L112,$D$19:INDEX($D$19:$D$218,$E$12),1))))))</f>
        <v/>
      </c>
      <c r="N112" s="12">
        <f>IF(M112="","",$B$6*TAN(RADIANS(M112)))</f>
        <v/>
      </c>
      <c r="O112" s="12">
        <f>IF(N112="","",IF(L112=0,0,-N112*J112/SQRT(J112^2+K112^2)))</f>
        <v/>
      </c>
      <c r="P112" s="12">
        <f>IF(N112="","",IF(L112=0,0,N112*K112/SQRT(J112^2+K112^2)))</f>
        <v/>
      </c>
      <c r="Q112" s="12">
        <f>IF(N112="","",IF(N112=0,$B$7,$B$7-Y112*O112/N112))</f>
        <v/>
      </c>
      <c r="R112" s="12">
        <f>IF(N112="","",IF(N112=0,$B$8,$B$8+Y112*P112/N112))</f>
        <v/>
      </c>
      <c r="S112" s="12">
        <f>IFERROR(SQRT((Q112-H112)^2+(R112-I112)^2),"")</f>
        <v/>
      </c>
      <c r="T112">
        <f>85</f>
        <v/>
      </c>
      <c r="U112">
        <f>IF(T112&gt;4*$E$9,"",MIN(INT(T112/$E$9)+1,4))</f>
        <v/>
      </c>
      <c r="V112">
        <f>IF(T112=4*$E$9,-$E$6/2,IF(U112="","",CHOOSE(U112,-$E$6/2+MOD(T112,$E$9)/$E$9*$E$6,$E$6/2,$E$6/2-MOD(T112,$E$9)/$E$9*$E$6,-$E$6/2)))</f>
        <v/>
      </c>
      <c r="W112">
        <f>IF(T112=4*$E$9,-$E$7/2,IF(U112="","",CHOOSE(U112,-$E$7/2,-$E$7/2+MOD(T112,$E$9)/$E$9*$E$7,$E$7/2,$E$7/2-MOD(T112,$E$9)/$E$9*$E$7)))</f>
        <v/>
      </c>
      <c r="X112">
        <f>IF(OR($E$13&lt;&gt;"OK",M112=""),"",IF(M112&lt;=$A$19,$D$19,IF(M112&gt;=INDEX($A$19:$A$218,$E$12),INDEX($D$19:$D$218,$E$12),INDEX($D$19:$D$218,MATCH(M112,$A$19:INDEX($A$19:$A$218,$E$12),1))+(M112-INDEX($A$19:$A$218,MATCH(M112,$A$19:INDEX($A$19:$A$218,$E$12),1)))*(INDEX($D$19:$D$218,MATCH(M112,$A$19:INDEX($A$19:$A$218,$E$12),1)+1)-INDEX($D$19:$D$218,MATCH(M112,$A$19:INDEX($A$19:$A$218,$E$12),1)))/(INDEX($A$19:$A$218,MATCH(M112,$A$19:INDEX($A$19:$A$218,$E$12),1)+1)-INDEX($A$19:$A$218,MATCH(M112,$A$19:INDEX($A$19:$A$218,$E$12),1))))))</f>
        <v/>
      </c>
      <c r="Y112">
        <f>IF(X112="","",X112*1000/$B$4)</f>
        <v/>
      </c>
    </row>
    <row r="113">
      <c r="A113" s="10" t="n"/>
      <c r="B113" s="10" t="n"/>
      <c r="C113" s="11">
        <f>IF(A113="","",$B$5*TAN(RADIANS(A113)))</f>
        <v/>
      </c>
      <c r="D113" s="11">
        <f>IF(C113="","",C113*(1+B113/100))</f>
        <v/>
      </c>
      <c r="E113" s="11">
        <f>IF(A113="","",$B$6*TAN(RADIANS(A113)))</f>
        <v/>
      </c>
      <c r="G113" s="12">
        <f>IF(U113="","",T113)</f>
        <v/>
      </c>
      <c r="H113" s="12">
        <f>IF(U113="","",$E$4+V113*COS(RADIANS($E$8))-W113*SIN(RADIANS($E$8)))</f>
        <v/>
      </c>
      <c r="I113" s="12">
        <f>IF(U113="","",$E$5+V113*SIN(RADIANS($E$8))+W113*COS(RADIANS($E$8)))</f>
        <v/>
      </c>
      <c r="J113" s="12">
        <f>IF(H113="","",H113-$B$7)</f>
        <v/>
      </c>
      <c r="K113" s="12">
        <f>IF(I113="","",I113-$B$8)</f>
        <v/>
      </c>
      <c r="L113" s="12">
        <f>IFERROR(SQRT(J113^2+K113^2)*$B$4/1000,"")</f>
        <v/>
      </c>
      <c r="M113" s="12">
        <f>IF(OR($E$13&lt;&gt;"OK",L113=""),"",IF(L113&lt;=$D$19,$A$19,IF(L113&gt;=INDEX($D$19:$D$218,$E$12),INDEX($A$19:$A$218,$E$12),INDEX($A$19:$A$218,MATCH(L113,$D$19:INDEX($D$19:$D$218,$E$12),1))+(L113-INDEX($D$19:$D$218,MATCH(L113,$D$19:INDEX($D$19:$D$218,$E$12),1)))*(INDEX($A$19:$A$218,MATCH(L113,$D$19:INDEX($D$19:$D$218,$E$12),1)+1)-INDEX($A$19:$A$218,MATCH(L113,$D$19:INDEX($D$19:$D$218,$E$12),1)))/(INDEX($D$19:$D$218,MATCH(L113,$D$19:INDEX($D$19:$D$218,$E$12),1)+1)-INDEX($D$19:$D$218,MATCH(L113,$D$19:INDEX($D$19:$D$218,$E$12),1))))))</f>
        <v/>
      </c>
      <c r="N113" s="12">
        <f>IF(M113="","",$B$6*TAN(RADIANS(M113)))</f>
        <v/>
      </c>
      <c r="O113" s="12">
        <f>IF(N113="","",IF(L113=0,0,-N113*J113/SQRT(J113^2+K113^2)))</f>
        <v/>
      </c>
      <c r="P113" s="12">
        <f>IF(N113="","",IF(L113=0,0,N113*K113/SQRT(J113^2+K113^2)))</f>
        <v/>
      </c>
      <c r="Q113" s="12">
        <f>IF(N113="","",IF(N113=0,$B$7,$B$7-Y113*O113/N113))</f>
        <v/>
      </c>
      <c r="R113" s="12">
        <f>IF(N113="","",IF(N113=0,$B$8,$B$8+Y113*P113/N113))</f>
        <v/>
      </c>
      <c r="S113" s="12">
        <f>IFERROR(SQRT((Q113-H113)^2+(R113-I113)^2),"")</f>
        <v/>
      </c>
      <c r="T113">
        <f>86</f>
        <v/>
      </c>
      <c r="U113">
        <f>IF(T113&gt;4*$E$9,"",MIN(INT(T113/$E$9)+1,4))</f>
        <v/>
      </c>
      <c r="V113">
        <f>IF(T113=4*$E$9,-$E$6/2,IF(U113="","",CHOOSE(U113,-$E$6/2+MOD(T113,$E$9)/$E$9*$E$6,$E$6/2,$E$6/2-MOD(T113,$E$9)/$E$9*$E$6,-$E$6/2)))</f>
        <v/>
      </c>
      <c r="W113">
        <f>IF(T113=4*$E$9,-$E$7/2,IF(U113="","",CHOOSE(U113,-$E$7/2,-$E$7/2+MOD(T113,$E$9)/$E$9*$E$7,$E$7/2,$E$7/2-MOD(T113,$E$9)/$E$9*$E$7)))</f>
        <v/>
      </c>
      <c r="X113">
        <f>IF(OR($E$13&lt;&gt;"OK",M113=""),"",IF(M113&lt;=$A$19,$D$19,IF(M113&gt;=INDEX($A$19:$A$218,$E$12),INDEX($D$19:$D$218,$E$12),INDEX($D$19:$D$218,MATCH(M113,$A$19:INDEX($A$19:$A$218,$E$12),1))+(M113-INDEX($A$19:$A$218,MATCH(M113,$A$19:INDEX($A$19:$A$218,$E$12),1)))*(INDEX($D$19:$D$218,MATCH(M113,$A$19:INDEX($A$19:$A$218,$E$12),1)+1)-INDEX($D$19:$D$218,MATCH(M113,$A$19:INDEX($A$19:$A$218,$E$12),1)))/(INDEX($A$19:$A$218,MATCH(M113,$A$19:INDEX($A$19:$A$218,$E$12),1)+1)-INDEX($A$19:$A$218,MATCH(M113,$A$19:INDEX($A$19:$A$218,$E$12),1))))))</f>
        <v/>
      </c>
      <c r="Y113">
        <f>IF(X113="","",X113*1000/$B$4)</f>
        <v/>
      </c>
    </row>
    <row r="114">
      <c r="A114" s="10" t="n"/>
      <c r="B114" s="10" t="n"/>
      <c r="C114" s="11">
        <f>IF(A114="","",$B$5*TAN(RADIANS(A114)))</f>
        <v/>
      </c>
      <c r="D114" s="11">
        <f>IF(C114="","",C114*(1+B114/100))</f>
        <v/>
      </c>
      <c r="E114" s="11">
        <f>IF(A114="","",$B$6*TAN(RADIANS(A114)))</f>
        <v/>
      </c>
      <c r="G114" s="12">
        <f>IF(U114="","",T114)</f>
        <v/>
      </c>
      <c r="H114" s="12">
        <f>IF(U114="","",$E$4+V114*COS(RADIANS($E$8))-W114*SIN(RADIANS($E$8)))</f>
        <v/>
      </c>
      <c r="I114" s="12">
        <f>IF(U114="","",$E$5+V114*SIN(RADIANS($E$8))+W114*COS(RADIANS($E$8)))</f>
        <v/>
      </c>
      <c r="J114" s="12">
        <f>IF(H114="","",H114-$B$7)</f>
        <v/>
      </c>
      <c r="K114" s="12">
        <f>IF(I114="","",I114-$B$8)</f>
        <v/>
      </c>
      <c r="L114" s="12">
        <f>IFERROR(SQRT(J114^2+K114^2)*$B$4/1000,"")</f>
        <v/>
      </c>
      <c r="M114" s="12">
        <f>IF(OR($E$13&lt;&gt;"OK",L114=""),"",IF(L114&lt;=$D$19,$A$19,IF(L114&gt;=INDEX($D$19:$D$218,$E$12),INDEX($A$19:$A$218,$E$12),INDEX($A$19:$A$218,MATCH(L114,$D$19:INDEX($D$19:$D$218,$E$12),1))+(L114-INDEX($D$19:$D$218,MATCH(L114,$D$19:INDEX($D$19:$D$218,$E$12),1)))*(INDEX($A$19:$A$218,MATCH(L114,$D$19:INDEX($D$19:$D$218,$E$12),1)+1)-INDEX($A$19:$A$218,MATCH(L114,$D$19:INDEX($D$19:$D$218,$E$12),1)))/(INDEX($D$19:$D$218,MATCH(L114,$D$19:INDEX($D$19:$D$218,$E$12),1)+1)-INDEX($D$19:$D$218,MATCH(L114,$D$19:INDEX($D$19:$D$218,$E$12),1))))))</f>
        <v/>
      </c>
      <c r="N114" s="12">
        <f>IF(M114="","",$B$6*TAN(RADIANS(M114)))</f>
        <v/>
      </c>
      <c r="O114" s="12">
        <f>IF(N114="","",IF(L114=0,0,-N114*J114/SQRT(J114^2+K114^2)))</f>
        <v/>
      </c>
      <c r="P114" s="12">
        <f>IF(N114="","",IF(L114=0,0,N114*K114/SQRT(J114^2+K114^2)))</f>
        <v/>
      </c>
      <c r="Q114" s="12">
        <f>IF(N114="","",IF(N114=0,$B$7,$B$7-Y114*O114/N114))</f>
        <v/>
      </c>
      <c r="R114" s="12">
        <f>IF(N114="","",IF(N114=0,$B$8,$B$8+Y114*P114/N114))</f>
        <v/>
      </c>
      <c r="S114" s="12">
        <f>IFERROR(SQRT((Q114-H114)^2+(R114-I114)^2),"")</f>
        <v/>
      </c>
      <c r="T114">
        <f>87</f>
        <v/>
      </c>
      <c r="U114">
        <f>IF(T114&gt;4*$E$9,"",MIN(INT(T114/$E$9)+1,4))</f>
        <v/>
      </c>
      <c r="V114">
        <f>IF(T114=4*$E$9,-$E$6/2,IF(U114="","",CHOOSE(U114,-$E$6/2+MOD(T114,$E$9)/$E$9*$E$6,$E$6/2,$E$6/2-MOD(T114,$E$9)/$E$9*$E$6,-$E$6/2)))</f>
        <v/>
      </c>
      <c r="W114">
        <f>IF(T114=4*$E$9,-$E$7/2,IF(U114="","",CHOOSE(U114,-$E$7/2,-$E$7/2+MOD(T114,$E$9)/$E$9*$E$7,$E$7/2,$E$7/2-MOD(T114,$E$9)/$E$9*$E$7)))</f>
        <v/>
      </c>
      <c r="X114">
        <f>IF(OR($E$13&lt;&gt;"OK",M114=""),"",IF(M114&lt;=$A$19,$D$19,IF(M114&gt;=INDEX($A$19:$A$218,$E$12),INDEX($D$19:$D$218,$E$12),INDEX($D$19:$D$218,MATCH(M114,$A$19:INDEX($A$19:$A$218,$E$12),1))+(M114-INDEX($A$19:$A$218,MATCH(M114,$A$19:INDEX($A$19:$A$218,$E$12),1)))*(INDEX($D$19:$D$218,MATCH(M114,$A$19:INDEX($A$19:$A$218,$E$12),1)+1)-INDEX($D$19:$D$218,MATCH(M114,$A$19:INDEX($A$19:$A$218,$E$12),1)))/(INDEX($A$19:$A$218,MATCH(M114,$A$19:INDEX($A$19:$A$218,$E$12),1)+1)-INDEX($A$19:$A$218,MATCH(M114,$A$19:INDEX($A$19:$A$218,$E$12),1))))))</f>
        <v/>
      </c>
      <c r="Y114">
        <f>IF(X114="","",X114*1000/$B$4)</f>
        <v/>
      </c>
    </row>
    <row r="115">
      <c r="A115" s="10" t="n"/>
      <c r="B115" s="10" t="n"/>
      <c r="C115" s="11">
        <f>IF(A115="","",$B$5*TAN(RADIANS(A115)))</f>
        <v/>
      </c>
      <c r="D115" s="11">
        <f>IF(C115="","",C115*(1+B115/100))</f>
        <v/>
      </c>
      <c r="E115" s="11">
        <f>IF(A115="","",$B$6*TAN(RADIANS(A115)))</f>
        <v/>
      </c>
      <c r="G115" s="12">
        <f>IF(U115="","",T115)</f>
        <v/>
      </c>
      <c r="H115" s="12">
        <f>IF(U115="","",$E$4+V115*COS(RADIANS($E$8))-W115*SIN(RADIANS($E$8)))</f>
        <v/>
      </c>
      <c r="I115" s="12">
        <f>IF(U115="","",$E$5+V115*SIN(RADIANS($E$8))+W115*COS(RADIANS($E$8)))</f>
        <v/>
      </c>
      <c r="J115" s="12">
        <f>IF(H115="","",H115-$B$7)</f>
        <v/>
      </c>
      <c r="K115" s="12">
        <f>IF(I115="","",I115-$B$8)</f>
        <v/>
      </c>
      <c r="L115" s="12">
        <f>IFERROR(SQRT(J115^2+K115^2)*$B$4/1000,"")</f>
        <v/>
      </c>
      <c r="M115" s="12">
        <f>IF(OR($E$13&lt;&gt;"OK",L115=""),"",IF(L115&lt;=$D$19,$A$19,IF(L115&gt;=INDEX($D$19:$D$218,$E$12),INDEX($A$19:$A$218,$E$12),INDEX($A$19:$A$218,MATCH(L115,$D$19:INDEX($D$19:$D$218,$E$12),1))+(L115-INDEX($D$19:$D$218,MATCH(L115,$D$19:INDEX($D$19:$D$218,$E$12),1)))*(INDEX($A$19:$A$218,MATCH(L115,$D$19:INDEX($D$19:$D$218,$E$12),1)+1)-INDEX($A$19:$A$218,MATCH(L115,$D$19:INDEX($D$19:$D$218,$E$12),1)))/(INDEX($D$19:$D$218,MATCH(L115,$D$19:INDEX($D$19:$D$218,$E$12),1)+1)-INDEX($D$19:$D$218,MATCH(L115,$D$19:INDEX($D$19:$D$218,$E$12),1))))))</f>
        <v/>
      </c>
      <c r="N115" s="12">
        <f>IF(M115="","",$B$6*TAN(RADIANS(M115)))</f>
        <v/>
      </c>
      <c r="O115" s="12">
        <f>IF(N115="","",IF(L115=0,0,-N115*J115/SQRT(J115^2+K115^2)))</f>
        <v/>
      </c>
      <c r="P115" s="12">
        <f>IF(N115="","",IF(L115=0,0,N115*K115/SQRT(J115^2+K115^2)))</f>
        <v/>
      </c>
      <c r="Q115" s="12">
        <f>IF(N115="","",IF(N115=0,$B$7,$B$7-Y115*O115/N115))</f>
        <v/>
      </c>
      <c r="R115" s="12">
        <f>IF(N115="","",IF(N115=0,$B$8,$B$8+Y115*P115/N115))</f>
        <v/>
      </c>
      <c r="S115" s="12">
        <f>IFERROR(SQRT((Q115-H115)^2+(R115-I115)^2),"")</f>
        <v/>
      </c>
      <c r="T115">
        <f>88</f>
        <v/>
      </c>
      <c r="U115">
        <f>IF(T115&gt;4*$E$9,"",MIN(INT(T115/$E$9)+1,4))</f>
        <v/>
      </c>
      <c r="V115">
        <f>IF(T115=4*$E$9,-$E$6/2,IF(U115="","",CHOOSE(U115,-$E$6/2+MOD(T115,$E$9)/$E$9*$E$6,$E$6/2,$E$6/2-MOD(T115,$E$9)/$E$9*$E$6,-$E$6/2)))</f>
        <v/>
      </c>
      <c r="W115">
        <f>IF(T115=4*$E$9,-$E$7/2,IF(U115="","",CHOOSE(U115,-$E$7/2,-$E$7/2+MOD(T115,$E$9)/$E$9*$E$7,$E$7/2,$E$7/2-MOD(T115,$E$9)/$E$9*$E$7)))</f>
        <v/>
      </c>
      <c r="X115">
        <f>IF(OR($E$13&lt;&gt;"OK",M115=""),"",IF(M115&lt;=$A$19,$D$19,IF(M115&gt;=INDEX($A$19:$A$218,$E$12),INDEX($D$19:$D$218,$E$12),INDEX($D$19:$D$218,MATCH(M115,$A$19:INDEX($A$19:$A$218,$E$12),1))+(M115-INDEX($A$19:$A$218,MATCH(M115,$A$19:INDEX($A$19:$A$218,$E$12),1)))*(INDEX($D$19:$D$218,MATCH(M115,$A$19:INDEX($A$19:$A$218,$E$12),1)+1)-INDEX($D$19:$D$218,MATCH(M115,$A$19:INDEX($A$19:$A$218,$E$12),1)))/(INDEX($A$19:$A$218,MATCH(M115,$A$19:INDEX($A$19:$A$218,$E$12),1)+1)-INDEX($A$19:$A$218,MATCH(M115,$A$19:INDEX($A$19:$A$218,$E$12),1))))))</f>
        <v/>
      </c>
      <c r="Y115">
        <f>IF(X115="","",X115*1000/$B$4)</f>
        <v/>
      </c>
    </row>
    <row r="116">
      <c r="A116" s="10" t="n"/>
      <c r="B116" s="10" t="n"/>
      <c r="C116" s="11">
        <f>IF(A116="","",$B$5*TAN(RADIANS(A116)))</f>
        <v/>
      </c>
      <c r="D116" s="11">
        <f>IF(C116="","",C116*(1+B116/100))</f>
        <v/>
      </c>
      <c r="E116" s="11">
        <f>IF(A116="","",$B$6*TAN(RADIANS(A116)))</f>
        <v/>
      </c>
      <c r="G116" s="12">
        <f>IF(U116="","",T116)</f>
        <v/>
      </c>
      <c r="H116" s="12">
        <f>IF(U116="","",$E$4+V116*COS(RADIANS($E$8))-W116*SIN(RADIANS($E$8)))</f>
        <v/>
      </c>
      <c r="I116" s="12">
        <f>IF(U116="","",$E$5+V116*SIN(RADIANS($E$8))+W116*COS(RADIANS($E$8)))</f>
        <v/>
      </c>
      <c r="J116" s="12">
        <f>IF(H116="","",H116-$B$7)</f>
        <v/>
      </c>
      <c r="K116" s="12">
        <f>IF(I116="","",I116-$B$8)</f>
        <v/>
      </c>
      <c r="L116" s="12">
        <f>IFERROR(SQRT(J116^2+K116^2)*$B$4/1000,"")</f>
        <v/>
      </c>
      <c r="M116" s="12">
        <f>IF(OR($E$13&lt;&gt;"OK",L116=""),"",IF(L116&lt;=$D$19,$A$19,IF(L116&gt;=INDEX($D$19:$D$218,$E$12),INDEX($A$19:$A$218,$E$12),INDEX($A$19:$A$218,MATCH(L116,$D$19:INDEX($D$19:$D$218,$E$12),1))+(L116-INDEX($D$19:$D$218,MATCH(L116,$D$19:INDEX($D$19:$D$218,$E$12),1)))*(INDEX($A$19:$A$218,MATCH(L116,$D$19:INDEX($D$19:$D$218,$E$12),1)+1)-INDEX($A$19:$A$218,MATCH(L116,$D$19:INDEX($D$19:$D$218,$E$12),1)))/(INDEX($D$19:$D$218,MATCH(L116,$D$19:INDEX($D$19:$D$218,$E$12),1)+1)-INDEX($D$19:$D$218,MATCH(L116,$D$19:INDEX($D$19:$D$218,$E$12),1))))))</f>
        <v/>
      </c>
      <c r="N116" s="12">
        <f>IF(M116="","",$B$6*TAN(RADIANS(M116)))</f>
        <v/>
      </c>
      <c r="O116" s="12">
        <f>IF(N116="","",IF(L116=0,0,-N116*J116/SQRT(J116^2+K116^2)))</f>
        <v/>
      </c>
      <c r="P116" s="12">
        <f>IF(N116="","",IF(L116=0,0,N116*K116/SQRT(J116^2+K116^2)))</f>
        <v/>
      </c>
      <c r="Q116" s="12">
        <f>IF(N116="","",IF(N116=0,$B$7,$B$7-Y116*O116/N116))</f>
        <v/>
      </c>
      <c r="R116" s="12">
        <f>IF(N116="","",IF(N116=0,$B$8,$B$8+Y116*P116/N116))</f>
        <v/>
      </c>
      <c r="S116" s="12">
        <f>IFERROR(SQRT((Q116-H116)^2+(R116-I116)^2),"")</f>
        <v/>
      </c>
      <c r="T116">
        <f>89</f>
        <v/>
      </c>
      <c r="U116">
        <f>IF(T116&gt;4*$E$9,"",MIN(INT(T116/$E$9)+1,4))</f>
        <v/>
      </c>
      <c r="V116">
        <f>IF(T116=4*$E$9,-$E$6/2,IF(U116="","",CHOOSE(U116,-$E$6/2+MOD(T116,$E$9)/$E$9*$E$6,$E$6/2,$E$6/2-MOD(T116,$E$9)/$E$9*$E$6,-$E$6/2)))</f>
        <v/>
      </c>
      <c r="W116">
        <f>IF(T116=4*$E$9,-$E$7/2,IF(U116="","",CHOOSE(U116,-$E$7/2,-$E$7/2+MOD(T116,$E$9)/$E$9*$E$7,$E$7/2,$E$7/2-MOD(T116,$E$9)/$E$9*$E$7)))</f>
        <v/>
      </c>
      <c r="X116">
        <f>IF(OR($E$13&lt;&gt;"OK",M116=""),"",IF(M116&lt;=$A$19,$D$19,IF(M116&gt;=INDEX($A$19:$A$218,$E$12),INDEX($D$19:$D$218,$E$12),INDEX($D$19:$D$218,MATCH(M116,$A$19:INDEX($A$19:$A$218,$E$12),1))+(M116-INDEX($A$19:$A$218,MATCH(M116,$A$19:INDEX($A$19:$A$218,$E$12),1)))*(INDEX($D$19:$D$218,MATCH(M116,$A$19:INDEX($A$19:$A$218,$E$12),1)+1)-INDEX($D$19:$D$218,MATCH(M116,$A$19:INDEX($A$19:$A$218,$E$12),1)))/(INDEX($A$19:$A$218,MATCH(M116,$A$19:INDEX($A$19:$A$218,$E$12),1)+1)-INDEX($A$19:$A$218,MATCH(M116,$A$19:INDEX($A$19:$A$218,$E$12),1))))))</f>
        <v/>
      </c>
      <c r="Y116">
        <f>IF(X116="","",X116*1000/$B$4)</f>
        <v/>
      </c>
    </row>
    <row r="117">
      <c r="A117" s="10" t="n"/>
      <c r="B117" s="10" t="n"/>
      <c r="C117" s="11">
        <f>IF(A117="","",$B$5*TAN(RADIANS(A117)))</f>
        <v/>
      </c>
      <c r="D117" s="11">
        <f>IF(C117="","",C117*(1+B117/100))</f>
        <v/>
      </c>
      <c r="E117" s="11">
        <f>IF(A117="","",$B$6*TAN(RADIANS(A117)))</f>
        <v/>
      </c>
      <c r="G117" s="12">
        <f>IF(U117="","",T117)</f>
        <v/>
      </c>
      <c r="H117" s="12">
        <f>IF(U117="","",$E$4+V117*COS(RADIANS($E$8))-W117*SIN(RADIANS($E$8)))</f>
        <v/>
      </c>
      <c r="I117" s="12">
        <f>IF(U117="","",$E$5+V117*SIN(RADIANS($E$8))+W117*COS(RADIANS($E$8)))</f>
        <v/>
      </c>
      <c r="J117" s="12">
        <f>IF(H117="","",H117-$B$7)</f>
        <v/>
      </c>
      <c r="K117" s="12">
        <f>IF(I117="","",I117-$B$8)</f>
        <v/>
      </c>
      <c r="L117" s="12">
        <f>IFERROR(SQRT(J117^2+K117^2)*$B$4/1000,"")</f>
        <v/>
      </c>
      <c r="M117" s="12">
        <f>IF(OR($E$13&lt;&gt;"OK",L117=""),"",IF(L117&lt;=$D$19,$A$19,IF(L117&gt;=INDEX($D$19:$D$218,$E$12),INDEX($A$19:$A$218,$E$12),INDEX($A$19:$A$218,MATCH(L117,$D$19:INDEX($D$19:$D$218,$E$12),1))+(L117-INDEX($D$19:$D$218,MATCH(L117,$D$19:INDEX($D$19:$D$218,$E$12),1)))*(INDEX($A$19:$A$218,MATCH(L117,$D$19:INDEX($D$19:$D$218,$E$12),1)+1)-INDEX($A$19:$A$218,MATCH(L117,$D$19:INDEX($D$19:$D$218,$E$12),1)))/(INDEX($D$19:$D$218,MATCH(L117,$D$19:INDEX($D$19:$D$218,$E$12),1)+1)-INDEX($D$19:$D$218,MATCH(L117,$D$19:INDEX($D$19:$D$218,$E$12),1))))))</f>
        <v/>
      </c>
      <c r="N117" s="12">
        <f>IF(M117="","",$B$6*TAN(RADIANS(M117)))</f>
        <v/>
      </c>
      <c r="O117" s="12">
        <f>IF(N117="","",IF(L117=0,0,-N117*J117/SQRT(J117^2+K117^2)))</f>
        <v/>
      </c>
      <c r="P117" s="12">
        <f>IF(N117="","",IF(L117=0,0,N117*K117/SQRT(J117^2+K117^2)))</f>
        <v/>
      </c>
      <c r="Q117" s="12">
        <f>IF(N117="","",IF(N117=0,$B$7,$B$7-Y117*O117/N117))</f>
        <v/>
      </c>
      <c r="R117" s="12">
        <f>IF(N117="","",IF(N117=0,$B$8,$B$8+Y117*P117/N117))</f>
        <v/>
      </c>
      <c r="S117" s="12">
        <f>IFERROR(SQRT((Q117-H117)^2+(R117-I117)^2),"")</f>
        <v/>
      </c>
      <c r="T117">
        <f>90</f>
        <v/>
      </c>
      <c r="U117">
        <f>IF(T117&gt;4*$E$9,"",MIN(INT(T117/$E$9)+1,4))</f>
        <v/>
      </c>
      <c r="V117">
        <f>IF(T117=4*$E$9,-$E$6/2,IF(U117="","",CHOOSE(U117,-$E$6/2+MOD(T117,$E$9)/$E$9*$E$6,$E$6/2,$E$6/2-MOD(T117,$E$9)/$E$9*$E$6,-$E$6/2)))</f>
        <v/>
      </c>
      <c r="W117">
        <f>IF(T117=4*$E$9,-$E$7/2,IF(U117="","",CHOOSE(U117,-$E$7/2,-$E$7/2+MOD(T117,$E$9)/$E$9*$E$7,$E$7/2,$E$7/2-MOD(T117,$E$9)/$E$9*$E$7)))</f>
        <v/>
      </c>
      <c r="X117">
        <f>IF(OR($E$13&lt;&gt;"OK",M117=""),"",IF(M117&lt;=$A$19,$D$19,IF(M117&gt;=INDEX($A$19:$A$218,$E$12),INDEX($D$19:$D$218,$E$12),INDEX($D$19:$D$218,MATCH(M117,$A$19:INDEX($A$19:$A$218,$E$12),1))+(M117-INDEX($A$19:$A$218,MATCH(M117,$A$19:INDEX($A$19:$A$218,$E$12),1)))*(INDEX($D$19:$D$218,MATCH(M117,$A$19:INDEX($A$19:$A$218,$E$12),1)+1)-INDEX($D$19:$D$218,MATCH(M117,$A$19:INDEX($A$19:$A$218,$E$12),1)))/(INDEX($A$19:$A$218,MATCH(M117,$A$19:INDEX($A$19:$A$218,$E$12),1)+1)-INDEX($A$19:$A$218,MATCH(M117,$A$19:INDEX($A$19:$A$218,$E$12),1))))))</f>
        <v/>
      </c>
      <c r="Y117">
        <f>IF(X117="","",X117*1000/$B$4)</f>
        <v/>
      </c>
    </row>
    <row r="118">
      <c r="A118" s="10" t="n"/>
      <c r="B118" s="10" t="n"/>
      <c r="C118" s="11">
        <f>IF(A118="","",$B$5*TAN(RADIANS(A118)))</f>
        <v/>
      </c>
      <c r="D118" s="11">
        <f>IF(C118="","",C118*(1+B118/100))</f>
        <v/>
      </c>
      <c r="E118" s="11">
        <f>IF(A118="","",$B$6*TAN(RADIANS(A118)))</f>
        <v/>
      </c>
      <c r="G118" s="12">
        <f>IF(U118="","",T118)</f>
        <v/>
      </c>
      <c r="H118" s="12">
        <f>IF(U118="","",$E$4+V118*COS(RADIANS($E$8))-W118*SIN(RADIANS($E$8)))</f>
        <v/>
      </c>
      <c r="I118" s="12">
        <f>IF(U118="","",$E$5+V118*SIN(RADIANS($E$8))+W118*COS(RADIANS($E$8)))</f>
        <v/>
      </c>
      <c r="J118" s="12">
        <f>IF(H118="","",H118-$B$7)</f>
        <v/>
      </c>
      <c r="K118" s="12">
        <f>IF(I118="","",I118-$B$8)</f>
        <v/>
      </c>
      <c r="L118" s="12">
        <f>IFERROR(SQRT(J118^2+K118^2)*$B$4/1000,"")</f>
        <v/>
      </c>
      <c r="M118" s="12">
        <f>IF(OR($E$13&lt;&gt;"OK",L118=""),"",IF(L118&lt;=$D$19,$A$19,IF(L118&gt;=INDEX($D$19:$D$218,$E$12),INDEX($A$19:$A$218,$E$12),INDEX($A$19:$A$218,MATCH(L118,$D$19:INDEX($D$19:$D$218,$E$12),1))+(L118-INDEX($D$19:$D$218,MATCH(L118,$D$19:INDEX($D$19:$D$218,$E$12),1)))*(INDEX($A$19:$A$218,MATCH(L118,$D$19:INDEX($D$19:$D$218,$E$12),1)+1)-INDEX($A$19:$A$218,MATCH(L118,$D$19:INDEX($D$19:$D$218,$E$12),1)))/(INDEX($D$19:$D$218,MATCH(L118,$D$19:INDEX($D$19:$D$218,$E$12),1)+1)-INDEX($D$19:$D$218,MATCH(L118,$D$19:INDEX($D$19:$D$218,$E$12),1))))))</f>
        <v/>
      </c>
      <c r="N118" s="12">
        <f>IF(M118="","",$B$6*TAN(RADIANS(M118)))</f>
        <v/>
      </c>
      <c r="O118" s="12">
        <f>IF(N118="","",IF(L118=0,0,-N118*J118/SQRT(J118^2+K118^2)))</f>
        <v/>
      </c>
      <c r="P118" s="12">
        <f>IF(N118="","",IF(L118=0,0,N118*K118/SQRT(J118^2+K118^2)))</f>
        <v/>
      </c>
      <c r="Q118" s="12">
        <f>IF(N118="","",IF(N118=0,$B$7,$B$7-Y118*O118/N118))</f>
        <v/>
      </c>
      <c r="R118" s="12">
        <f>IF(N118="","",IF(N118=0,$B$8,$B$8+Y118*P118/N118))</f>
        <v/>
      </c>
      <c r="S118" s="12">
        <f>IFERROR(SQRT((Q118-H118)^2+(R118-I118)^2),"")</f>
        <v/>
      </c>
      <c r="T118">
        <f>91</f>
        <v/>
      </c>
      <c r="U118">
        <f>IF(T118&gt;4*$E$9,"",MIN(INT(T118/$E$9)+1,4))</f>
        <v/>
      </c>
      <c r="V118">
        <f>IF(T118=4*$E$9,-$E$6/2,IF(U118="","",CHOOSE(U118,-$E$6/2+MOD(T118,$E$9)/$E$9*$E$6,$E$6/2,$E$6/2-MOD(T118,$E$9)/$E$9*$E$6,-$E$6/2)))</f>
        <v/>
      </c>
      <c r="W118">
        <f>IF(T118=4*$E$9,-$E$7/2,IF(U118="","",CHOOSE(U118,-$E$7/2,-$E$7/2+MOD(T118,$E$9)/$E$9*$E$7,$E$7/2,$E$7/2-MOD(T118,$E$9)/$E$9*$E$7)))</f>
        <v/>
      </c>
      <c r="X118">
        <f>IF(OR($E$13&lt;&gt;"OK",M118=""),"",IF(M118&lt;=$A$19,$D$19,IF(M118&gt;=INDEX($A$19:$A$218,$E$12),INDEX($D$19:$D$218,$E$12),INDEX($D$19:$D$218,MATCH(M118,$A$19:INDEX($A$19:$A$218,$E$12),1))+(M118-INDEX($A$19:$A$218,MATCH(M118,$A$19:INDEX($A$19:$A$218,$E$12),1)))*(INDEX($D$19:$D$218,MATCH(M118,$A$19:INDEX($A$19:$A$218,$E$12),1)+1)-INDEX($D$19:$D$218,MATCH(M118,$A$19:INDEX($A$19:$A$218,$E$12),1)))/(INDEX($A$19:$A$218,MATCH(M118,$A$19:INDEX($A$19:$A$218,$E$12),1)+1)-INDEX($A$19:$A$218,MATCH(M118,$A$19:INDEX($A$19:$A$218,$E$12),1))))))</f>
        <v/>
      </c>
      <c r="Y118">
        <f>IF(X118="","",X118*1000/$B$4)</f>
        <v/>
      </c>
    </row>
    <row r="119">
      <c r="A119" s="10" t="n"/>
      <c r="B119" s="10" t="n"/>
      <c r="C119" s="11">
        <f>IF(A119="","",$B$5*TAN(RADIANS(A119)))</f>
        <v/>
      </c>
      <c r="D119" s="11">
        <f>IF(C119="","",C119*(1+B119/100))</f>
        <v/>
      </c>
      <c r="E119" s="11">
        <f>IF(A119="","",$B$6*TAN(RADIANS(A119)))</f>
        <v/>
      </c>
      <c r="G119" s="12">
        <f>IF(U119="","",T119)</f>
        <v/>
      </c>
      <c r="H119" s="12">
        <f>IF(U119="","",$E$4+V119*COS(RADIANS($E$8))-W119*SIN(RADIANS($E$8)))</f>
        <v/>
      </c>
      <c r="I119" s="12">
        <f>IF(U119="","",$E$5+V119*SIN(RADIANS($E$8))+W119*COS(RADIANS($E$8)))</f>
        <v/>
      </c>
      <c r="J119" s="12">
        <f>IF(H119="","",H119-$B$7)</f>
        <v/>
      </c>
      <c r="K119" s="12">
        <f>IF(I119="","",I119-$B$8)</f>
        <v/>
      </c>
      <c r="L119" s="12">
        <f>IFERROR(SQRT(J119^2+K119^2)*$B$4/1000,"")</f>
        <v/>
      </c>
      <c r="M119" s="12">
        <f>IF(OR($E$13&lt;&gt;"OK",L119=""),"",IF(L119&lt;=$D$19,$A$19,IF(L119&gt;=INDEX($D$19:$D$218,$E$12),INDEX($A$19:$A$218,$E$12),INDEX($A$19:$A$218,MATCH(L119,$D$19:INDEX($D$19:$D$218,$E$12),1))+(L119-INDEX($D$19:$D$218,MATCH(L119,$D$19:INDEX($D$19:$D$218,$E$12),1)))*(INDEX($A$19:$A$218,MATCH(L119,$D$19:INDEX($D$19:$D$218,$E$12),1)+1)-INDEX($A$19:$A$218,MATCH(L119,$D$19:INDEX($D$19:$D$218,$E$12),1)))/(INDEX($D$19:$D$218,MATCH(L119,$D$19:INDEX($D$19:$D$218,$E$12),1)+1)-INDEX($D$19:$D$218,MATCH(L119,$D$19:INDEX($D$19:$D$218,$E$12),1))))))</f>
        <v/>
      </c>
      <c r="N119" s="12">
        <f>IF(M119="","",$B$6*TAN(RADIANS(M119)))</f>
        <v/>
      </c>
      <c r="O119" s="12">
        <f>IF(N119="","",IF(L119=0,0,-N119*J119/SQRT(J119^2+K119^2)))</f>
        <v/>
      </c>
      <c r="P119" s="12">
        <f>IF(N119="","",IF(L119=0,0,N119*K119/SQRT(J119^2+K119^2)))</f>
        <v/>
      </c>
      <c r="Q119" s="12">
        <f>IF(N119="","",IF(N119=0,$B$7,$B$7-Y119*O119/N119))</f>
        <v/>
      </c>
      <c r="R119" s="12">
        <f>IF(N119="","",IF(N119=0,$B$8,$B$8+Y119*P119/N119))</f>
        <v/>
      </c>
      <c r="S119" s="12">
        <f>IFERROR(SQRT((Q119-H119)^2+(R119-I119)^2),"")</f>
        <v/>
      </c>
      <c r="T119">
        <f>92</f>
        <v/>
      </c>
      <c r="U119">
        <f>IF(T119&gt;4*$E$9,"",MIN(INT(T119/$E$9)+1,4))</f>
        <v/>
      </c>
      <c r="V119">
        <f>IF(T119=4*$E$9,-$E$6/2,IF(U119="","",CHOOSE(U119,-$E$6/2+MOD(T119,$E$9)/$E$9*$E$6,$E$6/2,$E$6/2-MOD(T119,$E$9)/$E$9*$E$6,-$E$6/2)))</f>
        <v/>
      </c>
      <c r="W119">
        <f>IF(T119=4*$E$9,-$E$7/2,IF(U119="","",CHOOSE(U119,-$E$7/2,-$E$7/2+MOD(T119,$E$9)/$E$9*$E$7,$E$7/2,$E$7/2-MOD(T119,$E$9)/$E$9*$E$7)))</f>
        <v/>
      </c>
      <c r="X119">
        <f>IF(OR($E$13&lt;&gt;"OK",M119=""),"",IF(M119&lt;=$A$19,$D$19,IF(M119&gt;=INDEX($A$19:$A$218,$E$12),INDEX($D$19:$D$218,$E$12),INDEX($D$19:$D$218,MATCH(M119,$A$19:INDEX($A$19:$A$218,$E$12),1))+(M119-INDEX($A$19:$A$218,MATCH(M119,$A$19:INDEX($A$19:$A$218,$E$12),1)))*(INDEX($D$19:$D$218,MATCH(M119,$A$19:INDEX($A$19:$A$218,$E$12),1)+1)-INDEX($D$19:$D$218,MATCH(M119,$A$19:INDEX($A$19:$A$218,$E$12),1)))/(INDEX($A$19:$A$218,MATCH(M119,$A$19:INDEX($A$19:$A$218,$E$12),1)+1)-INDEX($A$19:$A$218,MATCH(M119,$A$19:INDEX($A$19:$A$218,$E$12),1))))))</f>
        <v/>
      </c>
      <c r="Y119">
        <f>IF(X119="","",X119*1000/$B$4)</f>
        <v/>
      </c>
    </row>
    <row r="120">
      <c r="A120" s="10" t="n"/>
      <c r="B120" s="10" t="n"/>
      <c r="C120" s="11">
        <f>IF(A120="","",$B$5*TAN(RADIANS(A120)))</f>
        <v/>
      </c>
      <c r="D120" s="11">
        <f>IF(C120="","",C120*(1+B120/100))</f>
        <v/>
      </c>
      <c r="E120" s="11">
        <f>IF(A120="","",$B$6*TAN(RADIANS(A120)))</f>
        <v/>
      </c>
      <c r="G120" s="12">
        <f>IF(U120="","",T120)</f>
        <v/>
      </c>
      <c r="H120" s="12">
        <f>IF(U120="","",$E$4+V120*COS(RADIANS($E$8))-W120*SIN(RADIANS($E$8)))</f>
        <v/>
      </c>
      <c r="I120" s="12">
        <f>IF(U120="","",$E$5+V120*SIN(RADIANS($E$8))+W120*COS(RADIANS($E$8)))</f>
        <v/>
      </c>
      <c r="J120" s="12">
        <f>IF(H120="","",H120-$B$7)</f>
        <v/>
      </c>
      <c r="K120" s="12">
        <f>IF(I120="","",I120-$B$8)</f>
        <v/>
      </c>
      <c r="L120" s="12">
        <f>IFERROR(SQRT(J120^2+K120^2)*$B$4/1000,"")</f>
        <v/>
      </c>
      <c r="M120" s="12">
        <f>IF(OR($E$13&lt;&gt;"OK",L120=""),"",IF(L120&lt;=$D$19,$A$19,IF(L120&gt;=INDEX($D$19:$D$218,$E$12),INDEX($A$19:$A$218,$E$12),INDEX($A$19:$A$218,MATCH(L120,$D$19:INDEX($D$19:$D$218,$E$12),1))+(L120-INDEX($D$19:$D$218,MATCH(L120,$D$19:INDEX($D$19:$D$218,$E$12),1)))*(INDEX($A$19:$A$218,MATCH(L120,$D$19:INDEX($D$19:$D$218,$E$12),1)+1)-INDEX($A$19:$A$218,MATCH(L120,$D$19:INDEX($D$19:$D$218,$E$12),1)))/(INDEX($D$19:$D$218,MATCH(L120,$D$19:INDEX($D$19:$D$218,$E$12),1)+1)-INDEX($D$19:$D$218,MATCH(L120,$D$19:INDEX($D$19:$D$218,$E$12),1))))))</f>
        <v/>
      </c>
      <c r="N120" s="12">
        <f>IF(M120="","",$B$6*TAN(RADIANS(M120)))</f>
        <v/>
      </c>
      <c r="O120" s="12">
        <f>IF(N120="","",IF(L120=0,0,-N120*J120/SQRT(J120^2+K120^2)))</f>
        <v/>
      </c>
      <c r="P120" s="12">
        <f>IF(N120="","",IF(L120=0,0,N120*K120/SQRT(J120^2+K120^2)))</f>
        <v/>
      </c>
      <c r="Q120" s="12">
        <f>IF(N120="","",IF(N120=0,$B$7,$B$7-Y120*O120/N120))</f>
        <v/>
      </c>
      <c r="R120" s="12">
        <f>IF(N120="","",IF(N120=0,$B$8,$B$8+Y120*P120/N120))</f>
        <v/>
      </c>
      <c r="S120" s="12">
        <f>IFERROR(SQRT((Q120-H120)^2+(R120-I120)^2),"")</f>
        <v/>
      </c>
      <c r="T120">
        <f>93</f>
        <v/>
      </c>
      <c r="U120">
        <f>IF(T120&gt;4*$E$9,"",MIN(INT(T120/$E$9)+1,4))</f>
        <v/>
      </c>
      <c r="V120">
        <f>IF(T120=4*$E$9,-$E$6/2,IF(U120="","",CHOOSE(U120,-$E$6/2+MOD(T120,$E$9)/$E$9*$E$6,$E$6/2,$E$6/2-MOD(T120,$E$9)/$E$9*$E$6,-$E$6/2)))</f>
        <v/>
      </c>
      <c r="W120">
        <f>IF(T120=4*$E$9,-$E$7/2,IF(U120="","",CHOOSE(U120,-$E$7/2,-$E$7/2+MOD(T120,$E$9)/$E$9*$E$7,$E$7/2,$E$7/2-MOD(T120,$E$9)/$E$9*$E$7)))</f>
        <v/>
      </c>
      <c r="X120">
        <f>IF(OR($E$13&lt;&gt;"OK",M120=""),"",IF(M120&lt;=$A$19,$D$19,IF(M120&gt;=INDEX($A$19:$A$218,$E$12),INDEX($D$19:$D$218,$E$12),INDEX($D$19:$D$218,MATCH(M120,$A$19:INDEX($A$19:$A$218,$E$12),1))+(M120-INDEX($A$19:$A$218,MATCH(M120,$A$19:INDEX($A$19:$A$218,$E$12),1)))*(INDEX($D$19:$D$218,MATCH(M120,$A$19:INDEX($A$19:$A$218,$E$12),1)+1)-INDEX($D$19:$D$218,MATCH(M120,$A$19:INDEX($A$19:$A$218,$E$12),1)))/(INDEX($A$19:$A$218,MATCH(M120,$A$19:INDEX($A$19:$A$218,$E$12),1)+1)-INDEX($A$19:$A$218,MATCH(M120,$A$19:INDEX($A$19:$A$218,$E$12),1))))))</f>
        <v/>
      </c>
      <c r="Y120">
        <f>IF(X120="","",X120*1000/$B$4)</f>
        <v/>
      </c>
    </row>
    <row r="121">
      <c r="A121" s="10" t="n"/>
      <c r="B121" s="10" t="n"/>
      <c r="C121" s="11">
        <f>IF(A121="","",$B$5*TAN(RADIANS(A121)))</f>
        <v/>
      </c>
      <c r="D121" s="11">
        <f>IF(C121="","",C121*(1+B121/100))</f>
        <v/>
      </c>
      <c r="E121" s="11">
        <f>IF(A121="","",$B$6*TAN(RADIANS(A121)))</f>
        <v/>
      </c>
      <c r="G121" s="12">
        <f>IF(U121="","",T121)</f>
        <v/>
      </c>
      <c r="H121" s="12">
        <f>IF(U121="","",$E$4+V121*COS(RADIANS($E$8))-W121*SIN(RADIANS($E$8)))</f>
        <v/>
      </c>
      <c r="I121" s="12">
        <f>IF(U121="","",$E$5+V121*SIN(RADIANS($E$8))+W121*COS(RADIANS($E$8)))</f>
        <v/>
      </c>
      <c r="J121" s="12">
        <f>IF(H121="","",H121-$B$7)</f>
        <v/>
      </c>
      <c r="K121" s="12">
        <f>IF(I121="","",I121-$B$8)</f>
        <v/>
      </c>
      <c r="L121" s="12">
        <f>IFERROR(SQRT(J121^2+K121^2)*$B$4/1000,"")</f>
        <v/>
      </c>
      <c r="M121" s="12">
        <f>IF(OR($E$13&lt;&gt;"OK",L121=""),"",IF(L121&lt;=$D$19,$A$19,IF(L121&gt;=INDEX($D$19:$D$218,$E$12),INDEX($A$19:$A$218,$E$12),INDEX($A$19:$A$218,MATCH(L121,$D$19:INDEX($D$19:$D$218,$E$12),1))+(L121-INDEX($D$19:$D$218,MATCH(L121,$D$19:INDEX($D$19:$D$218,$E$12),1)))*(INDEX($A$19:$A$218,MATCH(L121,$D$19:INDEX($D$19:$D$218,$E$12),1)+1)-INDEX($A$19:$A$218,MATCH(L121,$D$19:INDEX($D$19:$D$218,$E$12),1)))/(INDEX($D$19:$D$218,MATCH(L121,$D$19:INDEX($D$19:$D$218,$E$12),1)+1)-INDEX($D$19:$D$218,MATCH(L121,$D$19:INDEX($D$19:$D$218,$E$12),1))))))</f>
        <v/>
      </c>
      <c r="N121" s="12">
        <f>IF(M121="","",$B$6*TAN(RADIANS(M121)))</f>
        <v/>
      </c>
      <c r="O121" s="12">
        <f>IF(N121="","",IF(L121=0,0,-N121*J121/SQRT(J121^2+K121^2)))</f>
        <v/>
      </c>
      <c r="P121" s="12">
        <f>IF(N121="","",IF(L121=0,0,N121*K121/SQRT(J121^2+K121^2)))</f>
        <v/>
      </c>
      <c r="Q121" s="12">
        <f>IF(N121="","",IF(N121=0,$B$7,$B$7-Y121*O121/N121))</f>
        <v/>
      </c>
      <c r="R121" s="12">
        <f>IF(N121="","",IF(N121=0,$B$8,$B$8+Y121*P121/N121))</f>
        <v/>
      </c>
      <c r="S121" s="12">
        <f>IFERROR(SQRT((Q121-H121)^2+(R121-I121)^2),"")</f>
        <v/>
      </c>
      <c r="T121">
        <f>94</f>
        <v/>
      </c>
      <c r="U121">
        <f>IF(T121&gt;4*$E$9,"",MIN(INT(T121/$E$9)+1,4))</f>
        <v/>
      </c>
      <c r="V121">
        <f>IF(T121=4*$E$9,-$E$6/2,IF(U121="","",CHOOSE(U121,-$E$6/2+MOD(T121,$E$9)/$E$9*$E$6,$E$6/2,$E$6/2-MOD(T121,$E$9)/$E$9*$E$6,-$E$6/2)))</f>
        <v/>
      </c>
      <c r="W121">
        <f>IF(T121=4*$E$9,-$E$7/2,IF(U121="","",CHOOSE(U121,-$E$7/2,-$E$7/2+MOD(T121,$E$9)/$E$9*$E$7,$E$7/2,$E$7/2-MOD(T121,$E$9)/$E$9*$E$7)))</f>
        <v/>
      </c>
      <c r="X121">
        <f>IF(OR($E$13&lt;&gt;"OK",M121=""),"",IF(M121&lt;=$A$19,$D$19,IF(M121&gt;=INDEX($A$19:$A$218,$E$12),INDEX($D$19:$D$218,$E$12),INDEX($D$19:$D$218,MATCH(M121,$A$19:INDEX($A$19:$A$218,$E$12),1))+(M121-INDEX($A$19:$A$218,MATCH(M121,$A$19:INDEX($A$19:$A$218,$E$12),1)))*(INDEX($D$19:$D$218,MATCH(M121,$A$19:INDEX($A$19:$A$218,$E$12),1)+1)-INDEX($D$19:$D$218,MATCH(M121,$A$19:INDEX($A$19:$A$218,$E$12),1)))/(INDEX($A$19:$A$218,MATCH(M121,$A$19:INDEX($A$19:$A$218,$E$12),1)+1)-INDEX($A$19:$A$218,MATCH(M121,$A$19:INDEX($A$19:$A$218,$E$12),1))))))</f>
        <v/>
      </c>
      <c r="Y121">
        <f>IF(X121="","",X121*1000/$B$4)</f>
        <v/>
      </c>
    </row>
    <row r="122">
      <c r="A122" s="10" t="n"/>
      <c r="B122" s="10" t="n"/>
      <c r="C122" s="11">
        <f>IF(A122="","",$B$5*TAN(RADIANS(A122)))</f>
        <v/>
      </c>
      <c r="D122" s="11">
        <f>IF(C122="","",C122*(1+B122/100))</f>
        <v/>
      </c>
      <c r="E122" s="11">
        <f>IF(A122="","",$B$6*TAN(RADIANS(A122)))</f>
        <v/>
      </c>
      <c r="G122" s="12">
        <f>IF(U122="","",T122)</f>
        <v/>
      </c>
      <c r="H122" s="12">
        <f>IF(U122="","",$E$4+V122*COS(RADIANS($E$8))-W122*SIN(RADIANS($E$8)))</f>
        <v/>
      </c>
      <c r="I122" s="12">
        <f>IF(U122="","",$E$5+V122*SIN(RADIANS($E$8))+W122*COS(RADIANS($E$8)))</f>
        <v/>
      </c>
      <c r="J122" s="12">
        <f>IF(H122="","",H122-$B$7)</f>
        <v/>
      </c>
      <c r="K122" s="12">
        <f>IF(I122="","",I122-$B$8)</f>
        <v/>
      </c>
      <c r="L122" s="12">
        <f>IFERROR(SQRT(J122^2+K122^2)*$B$4/1000,"")</f>
        <v/>
      </c>
      <c r="M122" s="12">
        <f>IF(OR($E$13&lt;&gt;"OK",L122=""),"",IF(L122&lt;=$D$19,$A$19,IF(L122&gt;=INDEX($D$19:$D$218,$E$12),INDEX($A$19:$A$218,$E$12),INDEX($A$19:$A$218,MATCH(L122,$D$19:INDEX($D$19:$D$218,$E$12),1))+(L122-INDEX($D$19:$D$218,MATCH(L122,$D$19:INDEX($D$19:$D$218,$E$12),1)))*(INDEX($A$19:$A$218,MATCH(L122,$D$19:INDEX($D$19:$D$218,$E$12),1)+1)-INDEX($A$19:$A$218,MATCH(L122,$D$19:INDEX($D$19:$D$218,$E$12),1)))/(INDEX($D$19:$D$218,MATCH(L122,$D$19:INDEX($D$19:$D$218,$E$12),1)+1)-INDEX($D$19:$D$218,MATCH(L122,$D$19:INDEX($D$19:$D$218,$E$12),1))))))</f>
        <v/>
      </c>
      <c r="N122" s="12">
        <f>IF(M122="","",$B$6*TAN(RADIANS(M122)))</f>
        <v/>
      </c>
      <c r="O122" s="12">
        <f>IF(N122="","",IF(L122=0,0,-N122*J122/SQRT(J122^2+K122^2)))</f>
        <v/>
      </c>
      <c r="P122" s="12">
        <f>IF(N122="","",IF(L122=0,0,N122*K122/SQRT(J122^2+K122^2)))</f>
        <v/>
      </c>
      <c r="Q122" s="12">
        <f>IF(N122="","",IF(N122=0,$B$7,$B$7-Y122*O122/N122))</f>
        <v/>
      </c>
      <c r="R122" s="12">
        <f>IF(N122="","",IF(N122=0,$B$8,$B$8+Y122*P122/N122))</f>
        <v/>
      </c>
      <c r="S122" s="12">
        <f>IFERROR(SQRT((Q122-H122)^2+(R122-I122)^2),"")</f>
        <v/>
      </c>
      <c r="T122">
        <f>95</f>
        <v/>
      </c>
      <c r="U122">
        <f>IF(T122&gt;4*$E$9,"",MIN(INT(T122/$E$9)+1,4))</f>
        <v/>
      </c>
      <c r="V122">
        <f>IF(T122=4*$E$9,-$E$6/2,IF(U122="","",CHOOSE(U122,-$E$6/2+MOD(T122,$E$9)/$E$9*$E$6,$E$6/2,$E$6/2-MOD(T122,$E$9)/$E$9*$E$6,-$E$6/2)))</f>
        <v/>
      </c>
      <c r="W122">
        <f>IF(T122=4*$E$9,-$E$7/2,IF(U122="","",CHOOSE(U122,-$E$7/2,-$E$7/2+MOD(T122,$E$9)/$E$9*$E$7,$E$7/2,$E$7/2-MOD(T122,$E$9)/$E$9*$E$7)))</f>
        <v/>
      </c>
      <c r="X122">
        <f>IF(OR($E$13&lt;&gt;"OK",M122=""),"",IF(M122&lt;=$A$19,$D$19,IF(M122&gt;=INDEX($A$19:$A$218,$E$12),INDEX($D$19:$D$218,$E$12),INDEX($D$19:$D$218,MATCH(M122,$A$19:INDEX($A$19:$A$218,$E$12),1))+(M122-INDEX($A$19:$A$218,MATCH(M122,$A$19:INDEX($A$19:$A$218,$E$12),1)))*(INDEX($D$19:$D$218,MATCH(M122,$A$19:INDEX($A$19:$A$218,$E$12),1)+1)-INDEX($D$19:$D$218,MATCH(M122,$A$19:INDEX($A$19:$A$218,$E$12),1)))/(INDEX($A$19:$A$218,MATCH(M122,$A$19:INDEX($A$19:$A$218,$E$12),1)+1)-INDEX($A$19:$A$218,MATCH(M122,$A$19:INDEX($A$19:$A$218,$E$12),1))))))</f>
        <v/>
      </c>
      <c r="Y122">
        <f>IF(X122="","",X122*1000/$B$4)</f>
        <v/>
      </c>
    </row>
    <row r="123">
      <c r="A123" s="10" t="n"/>
      <c r="B123" s="10" t="n"/>
      <c r="C123" s="11">
        <f>IF(A123="","",$B$5*TAN(RADIANS(A123)))</f>
        <v/>
      </c>
      <c r="D123" s="11">
        <f>IF(C123="","",C123*(1+B123/100))</f>
        <v/>
      </c>
      <c r="E123" s="11">
        <f>IF(A123="","",$B$6*TAN(RADIANS(A123)))</f>
        <v/>
      </c>
      <c r="G123" s="12">
        <f>IF(U123="","",T123)</f>
        <v/>
      </c>
      <c r="H123" s="12">
        <f>IF(U123="","",$E$4+V123*COS(RADIANS($E$8))-W123*SIN(RADIANS($E$8)))</f>
        <v/>
      </c>
      <c r="I123" s="12">
        <f>IF(U123="","",$E$5+V123*SIN(RADIANS($E$8))+W123*COS(RADIANS($E$8)))</f>
        <v/>
      </c>
      <c r="J123" s="12">
        <f>IF(H123="","",H123-$B$7)</f>
        <v/>
      </c>
      <c r="K123" s="12">
        <f>IF(I123="","",I123-$B$8)</f>
        <v/>
      </c>
      <c r="L123" s="12">
        <f>IFERROR(SQRT(J123^2+K123^2)*$B$4/1000,"")</f>
        <v/>
      </c>
      <c r="M123" s="12">
        <f>IF(OR($E$13&lt;&gt;"OK",L123=""),"",IF(L123&lt;=$D$19,$A$19,IF(L123&gt;=INDEX($D$19:$D$218,$E$12),INDEX($A$19:$A$218,$E$12),INDEX($A$19:$A$218,MATCH(L123,$D$19:INDEX($D$19:$D$218,$E$12),1))+(L123-INDEX($D$19:$D$218,MATCH(L123,$D$19:INDEX($D$19:$D$218,$E$12),1)))*(INDEX($A$19:$A$218,MATCH(L123,$D$19:INDEX($D$19:$D$218,$E$12),1)+1)-INDEX($A$19:$A$218,MATCH(L123,$D$19:INDEX($D$19:$D$218,$E$12),1)))/(INDEX($D$19:$D$218,MATCH(L123,$D$19:INDEX($D$19:$D$218,$E$12),1)+1)-INDEX($D$19:$D$218,MATCH(L123,$D$19:INDEX($D$19:$D$218,$E$12),1))))))</f>
        <v/>
      </c>
      <c r="N123" s="12">
        <f>IF(M123="","",$B$6*TAN(RADIANS(M123)))</f>
        <v/>
      </c>
      <c r="O123" s="12">
        <f>IF(N123="","",IF(L123=0,0,-N123*J123/SQRT(J123^2+K123^2)))</f>
        <v/>
      </c>
      <c r="P123" s="12">
        <f>IF(N123="","",IF(L123=0,0,N123*K123/SQRT(J123^2+K123^2)))</f>
        <v/>
      </c>
      <c r="Q123" s="12">
        <f>IF(N123="","",IF(N123=0,$B$7,$B$7-Y123*O123/N123))</f>
        <v/>
      </c>
      <c r="R123" s="12">
        <f>IF(N123="","",IF(N123=0,$B$8,$B$8+Y123*P123/N123))</f>
        <v/>
      </c>
      <c r="S123" s="12">
        <f>IFERROR(SQRT((Q123-H123)^2+(R123-I123)^2),"")</f>
        <v/>
      </c>
      <c r="T123">
        <f>96</f>
        <v/>
      </c>
      <c r="U123">
        <f>IF(T123&gt;4*$E$9,"",MIN(INT(T123/$E$9)+1,4))</f>
        <v/>
      </c>
      <c r="V123">
        <f>IF(T123=4*$E$9,-$E$6/2,IF(U123="","",CHOOSE(U123,-$E$6/2+MOD(T123,$E$9)/$E$9*$E$6,$E$6/2,$E$6/2-MOD(T123,$E$9)/$E$9*$E$6,-$E$6/2)))</f>
        <v/>
      </c>
      <c r="W123">
        <f>IF(T123=4*$E$9,-$E$7/2,IF(U123="","",CHOOSE(U123,-$E$7/2,-$E$7/2+MOD(T123,$E$9)/$E$9*$E$7,$E$7/2,$E$7/2-MOD(T123,$E$9)/$E$9*$E$7)))</f>
        <v/>
      </c>
      <c r="X123">
        <f>IF(OR($E$13&lt;&gt;"OK",M123=""),"",IF(M123&lt;=$A$19,$D$19,IF(M123&gt;=INDEX($A$19:$A$218,$E$12),INDEX($D$19:$D$218,$E$12),INDEX($D$19:$D$218,MATCH(M123,$A$19:INDEX($A$19:$A$218,$E$12),1))+(M123-INDEX($A$19:$A$218,MATCH(M123,$A$19:INDEX($A$19:$A$218,$E$12),1)))*(INDEX($D$19:$D$218,MATCH(M123,$A$19:INDEX($A$19:$A$218,$E$12),1)+1)-INDEX($D$19:$D$218,MATCH(M123,$A$19:INDEX($A$19:$A$218,$E$12),1)))/(INDEX($A$19:$A$218,MATCH(M123,$A$19:INDEX($A$19:$A$218,$E$12),1)+1)-INDEX($A$19:$A$218,MATCH(M123,$A$19:INDEX($A$19:$A$218,$E$12),1))))))</f>
        <v/>
      </c>
      <c r="Y123">
        <f>IF(X123="","",X123*1000/$B$4)</f>
        <v/>
      </c>
    </row>
    <row r="124">
      <c r="A124" s="10" t="n"/>
      <c r="B124" s="10" t="n"/>
      <c r="C124" s="11">
        <f>IF(A124="","",$B$5*TAN(RADIANS(A124)))</f>
        <v/>
      </c>
      <c r="D124" s="11">
        <f>IF(C124="","",C124*(1+B124/100))</f>
        <v/>
      </c>
      <c r="E124" s="11">
        <f>IF(A124="","",$B$6*TAN(RADIANS(A124)))</f>
        <v/>
      </c>
      <c r="G124" s="12">
        <f>IF(U124="","",T124)</f>
        <v/>
      </c>
      <c r="H124" s="12">
        <f>IF(U124="","",$E$4+V124*COS(RADIANS($E$8))-W124*SIN(RADIANS($E$8)))</f>
        <v/>
      </c>
      <c r="I124" s="12">
        <f>IF(U124="","",$E$5+V124*SIN(RADIANS($E$8))+W124*COS(RADIANS($E$8)))</f>
        <v/>
      </c>
      <c r="J124" s="12">
        <f>IF(H124="","",H124-$B$7)</f>
        <v/>
      </c>
      <c r="K124" s="12">
        <f>IF(I124="","",I124-$B$8)</f>
        <v/>
      </c>
      <c r="L124" s="12">
        <f>IFERROR(SQRT(J124^2+K124^2)*$B$4/1000,"")</f>
        <v/>
      </c>
      <c r="M124" s="12">
        <f>IF(OR($E$13&lt;&gt;"OK",L124=""),"",IF(L124&lt;=$D$19,$A$19,IF(L124&gt;=INDEX($D$19:$D$218,$E$12),INDEX($A$19:$A$218,$E$12),INDEX($A$19:$A$218,MATCH(L124,$D$19:INDEX($D$19:$D$218,$E$12),1))+(L124-INDEX($D$19:$D$218,MATCH(L124,$D$19:INDEX($D$19:$D$218,$E$12),1)))*(INDEX($A$19:$A$218,MATCH(L124,$D$19:INDEX($D$19:$D$218,$E$12),1)+1)-INDEX($A$19:$A$218,MATCH(L124,$D$19:INDEX($D$19:$D$218,$E$12),1)))/(INDEX($D$19:$D$218,MATCH(L124,$D$19:INDEX($D$19:$D$218,$E$12),1)+1)-INDEX($D$19:$D$218,MATCH(L124,$D$19:INDEX($D$19:$D$218,$E$12),1))))))</f>
        <v/>
      </c>
      <c r="N124" s="12">
        <f>IF(M124="","",$B$6*TAN(RADIANS(M124)))</f>
        <v/>
      </c>
      <c r="O124" s="12">
        <f>IF(N124="","",IF(L124=0,0,-N124*J124/SQRT(J124^2+K124^2)))</f>
        <v/>
      </c>
      <c r="P124" s="12">
        <f>IF(N124="","",IF(L124=0,0,N124*K124/SQRT(J124^2+K124^2)))</f>
        <v/>
      </c>
      <c r="Q124" s="12">
        <f>IF(N124="","",IF(N124=0,$B$7,$B$7-Y124*O124/N124))</f>
        <v/>
      </c>
      <c r="R124" s="12">
        <f>IF(N124="","",IF(N124=0,$B$8,$B$8+Y124*P124/N124))</f>
        <v/>
      </c>
      <c r="S124" s="12">
        <f>IFERROR(SQRT((Q124-H124)^2+(R124-I124)^2),"")</f>
        <v/>
      </c>
      <c r="T124">
        <f>97</f>
        <v/>
      </c>
      <c r="U124">
        <f>IF(T124&gt;4*$E$9,"",MIN(INT(T124/$E$9)+1,4))</f>
        <v/>
      </c>
      <c r="V124">
        <f>IF(T124=4*$E$9,-$E$6/2,IF(U124="","",CHOOSE(U124,-$E$6/2+MOD(T124,$E$9)/$E$9*$E$6,$E$6/2,$E$6/2-MOD(T124,$E$9)/$E$9*$E$6,-$E$6/2)))</f>
        <v/>
      </c>
      <c r="W124">
        <f>IF(T124=4*$E$9,-$E$7/2,IF(U124="","",CHOOSE(U124,-$E$7/2,-$E$7/2+MOD(T124,$E$9)/$E$9*$E$7,$E$7/2,$E$7/2-MOD(T124,$E$9)/$E$9*$E$7)))</f>
        <v/>
      </c>
      <c r="X124">
        <f>IF(OR($E$13&lt;&gt;"OK",M124=""),"",IF(M124&lt;=$A$19,$D$19,IF(M124&gt;=INDEX($A$19:$A$218,$E$12),INDEX($D$19:$D$218,$E$12),INDEX($D$19:$D$218,MATCH(M124,$A$19:INDEX($A$19:$A$218,$E$12),1))+(M124-INDEX($A$19:$A$218,MATCH(M124,$A$19:INDEX($A$19:$A$218,$E$12),1)))*(INDEX($D$19:$D$218,MATCH(M124,$A$19:INDEX($A$19:$A$218,$E$12),1)+1)-INDEX($D$19:$D$218,MATCH(M124,$A$19:INDEX($A$19:$A$218,$E$12),1)))/(INDEX($A$19:$A$218,MATCH(M124,$A$19:INDEX($A$19:$A$218,$E$12),1)+1)-INDEX($A$19:$A$218,MATCH(M124,$A$19:INDEX($A$19:$A$218,$E$12),1))))))</f>
        <v/>
      </c>
      <c r="Y124">
        <f>IF(X124="","",X124*1000/$B$4)</f>
        <v/>
      </c>
    </row>
    <row r="125">
      <c r="A125" s="10" t="n"/>
      <c r="B125" s="10" t="n"/>
      <c r="C125" s="11">
        <f>IF(A125="","",$B$5*TAN(RADIANS(A125)))</f>
        <v/>
      </c>
      <c r="D125" s="11">
        <f>IF(C125="","",C125*(1+B125/100))</f>
        <v/>
      </c>
      <c r="E125" s="11">
        <f>IF(A125="","",$B$6*TAN(RADIANS(A125)))</f>
        <v/>
      </c>
      <c r="G125" s="12">
        <f>IF(U125="","",T125)</f>
        <v/>
      </c>
      <c r="H125" s="12">
        <f>IF(U125="","",$E$4+V125*COS(RADIANS($E$8))-W125*SIN(RADIANS($E$8)))</f>
        <v/>
      </c>
      <c r="I125" s="12">
        <f>IF(U125="","",$E$5+V125*SIN(RADIANS($E$8))+W125*COS(RADIANS($E$8)))</f>
        <v/>
      </c>
      <c r="J125" s="12">
        <f>IF(H125="","",H125-$B$7)</f>
        <v/>
      </c>
      <c r="K125" s="12">
        <f>IF(I125="","",I125-$B$8)</f>
        <v/>
      </c>
      <c r="L125" s="12">
        <f>IFERROR(SQRT(J125^2+K125^2)*$B$4/1000,"")</f>
        <v/>
      </c>
      <c r="M125" s="12">
        <f>IF(OR($E$13&lt;&gt;"OK",L125=""),"",IF(L125&lt;=$D$19,$A$19,IF(L125&gt;=INDEX($D$19:$D$218,$E$12),INDEX($A$19:$A$218,$E$12),INDEX($A$19:$A$218,MATCH(L125,$D$19:INDEX($D$19:$D$218,$E$12),1))+(L125-INDEX($D$19:$D$218,MATCH(L125,$D$19:INDEX($D$19:$D$218,$E$12),1)))*(INDEX($A$19:$A$218,MATCH(L125,$D$19:INDEX($D$19:$D$218,$E$12),1)+1)-INDEX($A$19:$A$218,MATCH(L125,$D$19:INDEX($D$19:$D$218,$E$12),1)))/(INDEX($D$19:$D$218,MATCH(L125,$D$19:INDEX($D$19:$D$218,$E$12),1)+1)-INDEX($D$19:$D$218,MATCH(L125,$D$19:INDEX($D$19:$D$218,$E$12),1))))))</f>
        <v/>
      </c>
      <c r="N125" s="12">
        <f>IF(M125="","",$B$6*TAN(RADIANS(M125)))</f>
        <v/>
      </c>
      <c r="O125" s="12">
        <f>IF(N125="","",IF(L125=0,0,-N125*J125/SQRT(J125^2+K125^2)))</f>
        <v/>
      </c>
      <c r="P125" s="12">
        <f>IF(N125="","",IF(L125=0,0,N125*K125/SQRT(J125^2+K125^2)))</f>
        <v/>
      </c>
      <c r="Q125" s="12">
        <f>IF(N125="","",IF(N125=0,$B$7,$B$7-Y125*O125/N125))</f>
        <v/>
      </c>
      <c r="R125" s="12">
        <f>IF(N125="","",IF(N125=0,$B$8,$B$8+Y125*P125/N125))</f>
        <v/>
      </c>
      <c r="S125" s="12">
        <f>IFERROR(SQRT((Q125-H125)^2+(R125-I125)^2),"")</f>
        <v/>
      </c>
      <c r="T125">
        <f>98</f>
        <v/>
      </c>
      <c r="U125">
        <f>IF(T125&gt;4*$E$9,"",MIN(INT(T125/$E$9)+1,4))</f>
        <v/>
      </c>
      <c r="V125">
        <f>IF(T125=4*$E$9,-$E$6/2,IF(U125="","",CHOOSE(U125,-$E$6/2+MOD(T125,$E$9)/$E$9*$E$6,$E$6/2,$E$6/2-MOD(T125,$E$9)/$E$9*$E$6,-$E$6/2)))</f>
        <v/>
      </c>
      <c r="W125">
        <f>IF(T125=4*$E$9,-$E$7/2,IF(U125="","",CHOOSE(U125,-$E$7/2,-$E$7/2+MOD(T125,$E$9)/$E$9*$E$7,$E$7/2,$E$7/2-MOD(T125,$E$9)/$E$9*$E$7)))</f>
        <v/>
      </c>
      <c r="X125">
        <f>IF(OR($E$13&lt;&gt;"OK",M125=""),"",IF(M125&lt;=$A$19,$D$19,IF(M125&gt;=INDEX($A$19:$A$218,$E$12),INDEX($D$19:$D$218,$E$12),INDEX($D$19:$D$218,MATCH(M125,$A$19:INDEX($A$19:$A$218,$E$12),1))+(M125-INDEX($A$19:$A$218,MATCH(M125,$A$19:INDEX($A$19:$A$218,$E$12),1)))*(INDEX($D$19:$D$218,MATCH(M125,$A$19:INDEX($A$19:$A$218,$E$12),1)+1)-INDEX($D$19:$D$218,MATCH(M125,$A$19:INDEX($A$19:$A$218,$E$12),1)))/(INDEX($A$19:$A$218,MATCH(M125,$A$19:INDEX($A$19:$A$218,$E$12),1)+1)-INDEX($A$19:$A$218,MATCH(M125,$A$19:INDEX($A$19:$A$218,$E$12),1))))))</f>
        <v/>
      </c>
      <c r="Y125">
        <f>IF(X125="","",X125*1000/$B$4)</f>
        <v/>
      </c>
    </row>
    <row r="126">
      <c r="A126" s="10" t="n"/>
      <c r="B126" s="10" t="n"/>
      <c r="C126" s="11">
        <f>IF(A126="","",$B$5*TAN(RADIANS(A126)))</f>
        <v/>
      </c>
      <c r="D126" s="11">
        <f>IF(C126="","",C126*(1+B126/100))</f>
        <v/>
      </c>
      <c r="E126" s="11">
        <f>IF(A126="","",$B$6*TAN(RADIANS(A126)))</f>
        <v/>
      </c>
      <c r="G126" s="12">
        <f>IF(U126="","",T126)</f>
        <v/>
      </c>
      <c r="H126" s="12">
        <f>IF(U126="","",$E$4+V126*COS(RADIANS($E$8))-W126*SIN(RADIANS($E$8)))</f>
        <v/>
      </c>
      <c r="I126" s="12">
        <f>IF(U126="","",$E$5+V126*SIN(RADIANS($E$8))+W126*COS(RADIANS($E$8)))</f>
        <v/>
      </c>
      <c r="J126" s="12">
        <f>IF(H126="","",H126-$B$7)</f>
        <v/>
      </c>
      <c r="K126" s="12">
        <f>IF(I126="","",I126-$B$8)</f>
        <v/>
      </c>
      <c r="L126" s="12">
        <f>IFERROR(SQRT(J126^2+K126^2)*$B$4/1000,"")</f>
        <v/>
      </c>
      <c r="M126" s="12">
        <f>IF(OR($E$13&lt;&gt;"OK",L126=""),"",IF(L126&lt;=$D$19,$A$19,IF(L126&gt;=INDEX($D$19:$D$218,$E$12),INDEX($A$19:$A$218,$E$12),INDEX($A$19:$A$218,MATCH(L126,$D$19:INDEX($D$19:$D$218,$E$12),1))+(L126-INDEX($D$19:$D$218,MATCH(L126,$D$19:INDEX($D$19:$D$218,$E$12),1)))*(INDEX($A$19:$A$218,MATCH(L126,$D$19:INDEX($D$19:$D$218,$E$12),1)+1)-INDEX($A$19:$A$218,MATCH(L126,$D$19:INDEX($D$19:$D$218,$E$12),1)))/(INDEX($D$19:$D$218,MATCH(L126,$D$19:INDEX($D$19:$D$218,$E$12),1)+1)-INDEX($D$19:$D$218,MATCH(L126,$D$19:INDEX($D$19:$D$218,$E$12),1))))))</f>
        <v/>
      </c>
      <c r="N126" s="12">
        <f>IF(M126="","",$B$6*TAN(RADIANS(M126)))</f>
        <v/>
      </c>
      <c r="O126" s="12">
        <f>IF(N126="","",IF(L126=0,0,-N126*J126/SQRT(J126^2+K126^2)))</f>
        <v/>
      </c>
      <c r="P126" s="12">
        <f>IF(N126="","",IF(L126=0,0,N126*K126/SQRT(J126^2+K126^2)))</f>
        <v/>
      </c>
      <c r="Q126" s="12">
        <f>IF(N126="","",IF(N126=0,$B$7,$B$7-Y126*O126/N126))</f>
        <v/>
      </c>
      <c r="R126" s="12">
        <f>IF(N126="","",IF(N126=0,$B$8,$B$8+Y126*P126/N126))</f>
        <v/>
      </c>
      <c r="S126" s="12">
        <f>IFERROR(SQRT((Q126-H126)^2+(R126-I126)^2),"")</f>
        <v/>
      </c>
      <c r="T126">
        <f>99</f>
        <v/>
      </c>
      <c r="U126">
        <f>IF(T126&gt;4*$E$9,"",MIN(INT(T126/$E$9)+1,4))</f>
        <v/>
      </c>
      <c r="V126">
        <f>IF(T126=4*$E$9,-$E$6/2,IF(U126="","",CHOOSE(U126,-$E$6/2+MOD(T126,$E$9)/$E$9*$E$6,$E$6/2,$E$6/2-MOD(T126,$E$9)/$E$9*$E$6,-$E$6/2)))</f>
        <v/>
      </c>
      <c r="W126">
        <f>IF(T126=4*$E$9,-$E$7/2,IF(U126="","",CHOOSE(U126,-$E$7/2,-$E$7/2+MOD(T126,$E$9)/$E$9*$E$7,$E$7/2,$E$7/2-MOD(T126,$E$9)/$E$9*$E$7)))</f>
        <v/>
      </c>
      <c r="X126">
        <f>IF(OR($E$13&lt;&gt;"OK",M126=""),"",IF(M126&lt;=$A$19,$D$19,IF(M126&gt;=INDEX($A$19:$A$218,$E$12),INDEX($D$19:$D$218,$E$12),INDEX($D$19:$D$218,MATCH(M126,$A$19:INDEX($A$19:$A$218,$E$12),1))+(M126-INDEX($A$19:$A$218,MATCH(M126,$A$19:INDEX($A$19:$A$218,$E$12),1)))*(INDEX($D$19:$D$218,MATCH(M126,$A$19:INDEX($A$19:$A$218,$E$12),1)+1)-INDEX($D$19:$D$218,MATCH(M126,$A$19:INDEX($A$19:$A$218,$E$12),1)))/(INDEX($A$19:$A$218,MATCH(M126,$A$19:INDEX($A$19:$A$218,$E$12),1)+1)-INDEX($A$19:$A$218,MATCH(M126,$A$19:INDEX($A$19:$A$218,$E$12),1))))))</f>
        <v/>
      </c>
      <c r="Y126">
        <f>IF(X126="","",X126*1000/$B$4)</f>
        <v/>
      </c>
    </row>
    <row r="127">
      <c r="A127" s="10" t="n"/>
      <c r="B127" s="10" t="n"/>
      <c r="C127" s="11">
        <f>IF(A127="","",$B$5*TAN(RADIANS(A127)))</f>
        <v/>
      </c>
      <c r="D127" s="11">
        <f>IF(C127="","",C127*(1+B127/100))</f>
        <v/>
      </c>
      <c r="E127" s="11">
        <f>IF(A127="","",$B$6*TAN(RADIANS(A127)))</f>
        <v/>
      </c>
      <c r="G127" s="12">
        <f>IF(U127="","",T127)</f>
        <v/>
      </c>
      <c r="H127" s="12">
        <f>IF(U127="","",$E$4+V127*COS(RADIANS($E$8))-W127*SIN(RADIANS($E$8)))</f>
        <v/>
      </c>
      <c r="I127" s="12">
        <f>IF(U127="","",$E$5+V127*SIN(RADIANS($E$8))+W127*COS(RADIANS($E$8)))</f>
        <v/>
      </c>
      <c r="J127" s="12">
        <f>IF(H127="","",H127-$B$7)</f>
        <v/>
      </c>
      <c r="K127" s="12">
        <f>IF(I127="","",I127-$B$8)</f>
        <v/>
      </c>
      <c r="L127" s="12">
        <f>IFERROR(SQRT(J127^2+K127^2)*$B$4/1000,"")</f>
        <v/>
      </c>
      <c r="M127" s="12">
        <f>IF(OR($E$13&lt;&gt;"OK",L127=""),"",IF(L127&lt;=$D$19,$A$19,IF(L127&gt;=INDEX($D$19:$D$218,$E$12),INDEX($A$19:$A$218,$E$12),INDEX($A$19:$A$218,MATCH(L127,$D$19:INDEX($D$19:$D$218,$E$12),1))+(L127-INDEX($D$19:$D$218,MATCH(L127,$D$19:INDEX($D$19:$D$218,$E$12),1)))*(INDEX($A$19:$A$218,MATCH(L127,$D$19:INDEX($D$19:$D$218,$E$12),1)+1)-INDEX($A$19:$A$218,MATCH(L127,$D$19:INDEX($D$19:$D$218,$E$12),1)))/(INDEX($D$19:$D$218,MATCH(L127,$D$19:INDEX($D$19:$D$218,$E$12),1)+1)-INDEX($D$19:$D$218,MATCH(L127,$D$19:INDEX($D$19:$D$218,$E$12),1))))))</f>
        <v/>
      </c>
      <c r="N127" s="12">
        <f>IF(M127="","",$B$6*TAN(RADIANS(M127)))</f>
        <v/>
      </c>
      <c r="O127" s="12">
        <f>IF(N127="","",IF(L127=0,0,-N127*J127/SQRT(J127^2+K127^2)))</f>
        <v/>
      </c>
      <c r="P127" s="12">
        <f>IF(N127="","",IF(L127=0,0,N127*K127/SQRT(J127^2+K127^2)))</f>
        <v/>
      </c>
      <c r="Q127" s="12">
        <f>IF(N127="","",IF(N127=0,$B$7,$B$7-Y127*O127/N127))</f>
        <v/>
      </c>
      <c r="R127" s="12">
        <f>IF(N127="","",IF(N127=0,$B$8,$B$8+Y127*P127/N127))</f>
        <v/>
      </c>
      <c r="S127" s="12">
        <f>IFERROR(SQRT((Q127-H127)^2+(R127-I127)^2),"")</f>
        <v/>
      </c>
      <c r="T127">
        <f>100</f>
        <v/>
      </c>
      <c r="U127">
        <f>IF(T127&gt;4*$E$9,"",MIN(INT(T127/$E$9)+1,4))</f>
        <v/>
      </c>
      <c r="V127">
        <f>IF(T127=4*$E$9,-$E$6/2,IF(U127="","",CHOOSE(U127,-$E$6/2+MOD(T127,$E$9)/$E$9*$E$6,$E$6/2,$E$6/2-MOD(T127,$E$9)/$E$9*$E$6,-$E$6/2)))</f>
        <v/>
      </c>
      <c r="W127">
        <f>IF(T127=4*$E$9,-$E$7/2,IF(U127="","",CHOOSE(U127,-$E$7/2,-$E$7/2+MOD(T127,$E$9)/$E$9*$E$7,$E$7/2,$E$7/2-MOD(T127,$E$9)/$E$9*$E$7)))</f>
        <v/>
      </c>
      <c r="X127">
        <f>IF(OR($E$13&lt;&gt;"OK",M127=""),"",IF(M127&lt;=$A$19,$D$19,IF(M127&gt;=INDEX($A$19:$A$218,$E$12),INDEX($D$19:$D$218,$E$12),INDEX($D$19:$D$218,MATCH(M127,$A$19:INDEX($A$19:$A$218,$E$12),1))+(M127-INDEX($A$19:$A$218,MATCH(M127,$A$19:INDEX($A$19:$A$218,$E$12),1)))*(INDEX($D$19:$D$218,MATCH(M127,$A$19:INDEX($A$19:$A$218,$E$12),1)+1)-INDEX($D$19:$D$218,MATCH(M127,$A$19:INDEX($A$19:$A$218,$E$12),1)))/(INDEX($A$19:$A$218,MATCH(M127,$A$19:INDEX($A$19:$A$218,$E$12),1)+1)-INDEX($A$19:$A$218,MATCH(M127,$A$19:INDEX($A$19:$A$218,$E$12),1))))))</f>
        <v/>
      </c>
      <c r="Y127">
        <f>IF(X127="","",X127*1000/$B$4)</f>
        <v/>
      </c>
    </row>
    <row r="128">
      <c r="A128" s="10" t="n"/>
      <c r="B128" s="10" t="n"/>
      <c r="C128" s="11">
        <f>IF(A128="","",$B$5*TAN(RADIANS(A128)))</f>
        <v/>
      </c>
      <c r="D128" s="11">
        <f>IF(C128="","",C128*(1+B128/100))</f>
        <v/>
      </c>
      <c r="E128" s="11">
        <f>IF(A128="","",$B$6*TAN(RADIANS(A128)))</f>
        <v/>
      </c>
      <c r="G128" s="12">
        <f>IF(U128="","",T128)</f>
        <v/>
      </c>
      <c r="H128" s="12">
        <f>IF(U128="","",$E$4+V128*COS(RADIANS($E$8))-W128*SIN(RADIANS($E$8)))</f>
        <v/>
      </c>
      <c r="I128" s="12">
        <f>IF(U128="","",$E$5+V128*SIN(RADIANS($E$8))+W128*COS(RADIANS($E$8)))</f>
        <v/>
      </c>
      <c r="J128" s="12">
        <f>IF(H128="","",H128-$B$7)</f>
        <v/>
      </c>
      <c r="K128" s="12">
        <f>IF(I128="","",I128-$B$8)</f>
        <v/>
      </c>
      <c r="L128" s="12">
        <f>IFERROR(SQRT(J128^2+K128^2)*$B$4/1000,"")</f>
        <v/>
      </c>
      <c r="M128" s="12">
        <f>IF(OR($E$13&lt;&gt;"OK",L128=""),"",IF(L128&lt;=$D$19,$A$19,IF(L128&gt;=INDEX($D$19:$D$218,$E$12),INDEX($A$19:$A$218,$E$12),INDEX($A$19:$A$218,MATCH(L128,$D$19:INDEX($D$19:$D$218,$E$12),1))+(L128-INDEX($D$19:$D$218,MATCH(L128,$D$19:INDEX($D$19:$D$218,$E$12),1)))*(INDEX($A$19:$A$218,MATCH(L128,$D$19:INDEX($D$19:$D$218,$E$12),1)+1)-INDEX($A$19:$A$218,MATCH(L128,$D$19:INDEX($D$19:$D$218,$E$12),1)))/(INDEX($D$19:$D$218,MATCH(L128,$D$19:INDEX($D$19:$D$218,$E$12),1)+1)-INDEX($D$19:$D$218,MATCH(L128,$D$19:INDEX($D$19:$D$218,$E$12),1))))))</f>
        <v/>
      </c>
      <c r="N128" s="12">
        <f>IF(M128="","",$B$6*TAN(RADIANS(M128)))</f>
        <v/>
      </c>
      <c r="O128" s="12">
        <f>IF(N128="","",IF(L128=0,0,-N128*J128/SQRT(J128^2+K128^2)))</f>
        <v/>
      </c>
      <c r="P128" s="12">
        <f>IF(N128="","",IF(L128=0,0,N128*K128/SQRT(J128^2+K128^2)))</f>
        <v/>
      </c>
      <c r="Q128" s="12">
        <f>IF(N128="","",IF(N128=0,$B$7,$B$7-Y128*O128/N128))</f>
        <v/>
      </c>
      <c r="R128" s="12">
        <f>IF(N128="","",IF(N128=0,$B$8,$B$8+Y128*P128/N128))</f>
        <v/>
      </c>
      <c r="S128" s="12">
        <f>IFERROR(SQRT((Q128-H128)^2+(R128-I128)^2),"")</f>
        <v/>
      </c>
      <c r="T128">
        <f>101</f>
        <v/>
      </c>
      <c r="U128">
        <f>IF(T128&gt;4*$E$9,"",MIN(INT(T128/$E$9)+1,4))</f>
        <v/>
      </c>
      <c r="V128">
        <f>IF(T128=4*$E$9,-$E$6/2,IF(U128="","",CHOOSE(U128,-$E$6/2+MOD(T128,$E$9)/$E$9*$E$6,$E$6/2,$E$6/2-MOD(T128,$E$9)/$E$9*$E$6,-$E$6/2)))</f>
        <v/>
      </c>
      <c r="W128">
        <f>IF(T128=4*$E$9,-$E$7/2,IF(U128="","",CHOOSE(U128,-$E$7/2,-$E$7/2+MOD(T128,$E$9)/$E$9*$E$7,$E$7/2,$E$7/2-MOD(T128,$E$9)/$E$9*$E$7)))</f>
        <v/>
      </c>
      <c r="X128">
        <f>IF(OR($E$13&lt;&gt;"OK",M128=""),"",IF(M128&lt;=$A$19,$D$19,IF(M128&gt;=INDEX($A$19:$A$218,$E$12),INDEX($D$19:$D$218,$E$12),INDEX($D$19:$D$218,MATCH(M128,$A$19:INDEX($A$19:$A$218,$E$12),1))+(M128-INDEX($A$19:$A$218,MATCH(M128,$A$19:INDEX($A$19:$A$218,$E$12),1)))*(INDEX($D$19:$D$218,MATCH(M128,$A$19:INDEX($A$19:$A$218,$E$12),1)+1)-INDEX($D$19:$D$218,MATCH(M128,$A$19:INDEX($A$19:$A$218,$E$12),1)))/(INDEX($A$19:$A$218,MATCH(M128,$A$19:INDEX($A$19:$A$218,$E$12),1)+1)-INDEX($A$19:$A$218,MATCH(M128,$A$19:INDEX($A$19:$A$218,$E$12),1))))))</f>
        <v/>
      </c>
      <c r="Y128">
        <f>IF(X128="","",X128*1000/$B$4)</f>
        <v/>
      </c>
    </row>
    <row r="129">
      <c r="A129" s="10" t="n"/>
      <c r="B129" s="10" t="n"/>
      <c r="C129" s="11">
        <f>IF(A129="","",$B$5*TAN(RADIANS(A129)))</f>
        <v/>
      </c>
      <c r="D129" s="11">
        <f>IF(C129="","",C129*(1+B129/100))</f>
        <v/>
      </c>
      <c r="E129" s="11">
        <f>IF(A129="","",$B$6*TAN(RADIANS(A129)))</f>
        <v/>
      </c>
      <c r="G129" s="12">
        <f>IF(U129="","",T129)</f>
        <v/>
      </c>
      <c r="H129" s="12">
        <f>IF(U129="","",$E$4+V129*COS(RADIANS($E$8))-W129*SIN(RADIANS($E$8)))</f>
        <v/>
      </c>
      <c r="I129" s="12">
        <f>IF(U129="","",$E$5+V129*SIN(RADIANS($E$8))+W129*COS(RADIANS($E$8)))</f>
        <v/>
      </c>
      <c r="J129" s="12">
        <f>IF(H129="","",H129-$B$7)</f>
        <v/>
      </c>
      <c r="K129" s="12">
        <f>IF(I129="","",I129-$B$8)</f>
        <v/>
      </c>
      <c r="L129" s="12">
        <f>IFERROR(SQRT(J129^2+K129^2)*$B$4/1000,"")</f>
        <v/>
      </c>
      <c r="M129" s="12">
        <f>IF(OR($E$13&lt;&gt;"OK",L129=""),"",IF(L129&lt;=$D$19,$A$19,IF(L129&gt;=INDEX($D$19:$D$218,$E$12),INDEX($A$19:$A$218,$E$12),INDEX($A$19:$A$218,MATCH(L129,$D$19:INDEX($D$19:$D$218,$E$12),1))+(L129-INDEX($D$19:$D$218,MATCH(L129,$D$19:INDEX($D$19:$D$218,$E$12),1)))*(INDEX($A$19:$A$218,MATCH(L129,$D$19:INDEX($D$19:$D$218,$E$12),1)+1)-INDEX($A$19:$A$218,MATCH(L129,$D$19:INDEX($D$19:$D$218,$E$12),1)))/(INDEX($D$19:$D$218,MATCH(L129,$D$19:INDEX($D$19:$D$218,$E$12),1)+1)-INDEX($D$19:$D$218,MATCH(L129,$D$19:INDEX($D$19:$D$218,$E$12),1))))))</f>
        <v/>
      </c>
      <c r="N129" s="12">
        <f>IF(M129="","",$B$6*TAN(RADIANS(M129)))</f>
        <v/>
      </c>
      <c r="O129" s="12">
        <f>IF(N129="","",IF(L129=0,0,-N129*J129/SQRT(J129^2+K129^2)))</f>
        <v/>
      </c>
      <c r="P129" s="12">
        <f>IF(N129="","",IF(L129=0,0,N129*K129/SQRT(J129^2+K129^2)))</f>
        <v/>
      </c>
      <c r="Q129" s="12">
        <f>IF(N129="","",IF(N129=0,$B$7,$B$7-Y129*O129/N129))</f>
        <v/>
      </c>
      <c r="R129" s="12">
        <f>IF(N129="","",IF(N129=0,$B$8,$B$8+Y129*P129/N129))</f>
        <v/>
      </c>
      <c r="S129" s="12">
        <f>IFERROR(SQRT((Q129-H129)^2+(R129-I129)^2),"")</f>
        <v/>
      </c>
      <c r="T129">
        <f>102</f>
        <v/>
      </c>
      <c r="U129">
        <f>IF(T129&gt;4*$E$9,"",MIN(INT(T129/$E$9)+1,4))</f>
        <v/>
      </c>
      <c r="V129">
        <f>IF(T129=4*$E$9,-$E$6/2,IF(U129="","",CHOOSE(U129,-$E$6/2+MOD(T129,$E$9)/$E$9*$E$6,$E$6/2,$E$6/2-MOD(T129,$E$9)/$E$9*$E$6,-$E$6/2)))</f>
        <v/>
      </c>
      <c r="W129">
        <f>IF(T129=4*$E$9,-$E$7/2,IF(U129="","",CHOOSE(U129,-$E$7/2,-$E$7/2+MOD(T129,$E$9)/$E$9*$E$7,$E$7/2,$E$7/2-MOD(T129,$E$9)/$E$9*$E$7)))</f>
        <v/>
      </c>
      <c r="X129">
        <f>IF(OR($E$13&lt;&gt;"OK",M129=""),"",IF(M129&lt;=$A$19,$D$19,IF(M129&gt;=INDEX($A$19:$A$218,$E$12),INDEX($D$19:$D$218,$E$12),INDEX($D$19:$D$218,MATCH(M129,$A$19:INDEX($A$19:$A$218,$E$12),1))+(M129-INDEX($A$19:$A$218,MATCH(M129,$A$19:INDEX($A$19:$A$218,$E$12),1)))*(INDEX($D$19:$D$218,MATCH(M129,$A$19:INDEX($A$19:$A$218,$E$12),1)+1)-INDEX($D$19:$D$218,MATCH(M129,$A$19:INDEX($A$19:$A$218,$E$12),1)))/(INDEX($A$19:$A$218,MATCH(M129,$A$19:INDEX($A$19:$A$218,$E$12),1)+1)-INDEX($A$19:$A$218,MATCH(M129,$A$19:INDEX($A$19:$A$218,$E$12),1))))))</f>
        <v/>
      </c>
      <c r="Y129">
        <f>IF(X129="","",X129*1000/$B$4)</f>
        <v/>
      </c>
    </row>
    <row r="130">
      <c r="A130" s="10" t="n"/>
      <c r="B130" s="10" t="n"/>
      <c r="C130" s="11">
        <f>IF(A130="","",$B$5*TAN(RADIANS(A130)))</f>
        <v/>
      </c>
      <c r="D130" s="11">
        <f>IF(C130="","",C130*(1+B130/100))</f>
        <v/>
      </c>
      <c r="E130" s="11">
        <f>IF(A130="","",$B$6*TAN(RADIANS(A130)))</f>
        <v/>
      </c>
      <c r="G130" s="12">
        <f>IF(U130="","",T130)</f>
        <v/>
      </c>
      <c r="H130" s="12">
        <f>IF(U130="","",$E$4+V130*COS(RADIANS($E$8))-W130*SIN(RADIANS($E$8)))</f>
        <v/>
      </c>
      <c r="I130" s="12">
        <f>IF(U130="","",$E$5+V130*SIN(RADIANS($E$8))+W130*COS(RADIANS($E$8)))</f>
        <v/>
      </c>
      <c r="J130" s="12">
        <f>IF(H130="","",H130-$B$7)</f>
        <v/>
      </c>
      <c r="K130" s="12">
        <f>IF(I130="","",I130-$B$8)</f>
        <v/>
      </c>
      <c r="L130" s="12">
        <f>IFERROR(SQRT(J130^2+K130^2)*$B$4/1000,"")</f>
        <v/>
      </c>
      <c r="M130" s="12">
        <f>IF(OR($E$13&lt;&gt;"OK",L130=""),"",IF(L130&lt;=$D$19,$A$19,IF(L130&gt;=INDEX($D$19:$D$218,$E$12),INDEX($A$19:$A$218,$E$12),INDEX($A$19:$A$218,MATCH(L130,$D$19:INDEX($D$19:$D$218,$E$12),1))+(L130-INDEX($D$19:$D$218,MATCH(L130,$D$19:INDEX($D$19:$D$218,$E$12),1)))*(INDEX($A$19:$A$218,MATCH(L130,$D$19:INDEX($D$19:$D$218,$E$12),1)+1)-INDEX($A$19:$A$218,MATCH(L130,$D$19:INDEX($D$19:$D$218,$E$12),1)))/(INDEX($D$19:$D$218,MATCH(L130,$D$19:INDEX($D$19:$D$218,$E$12),1)+1)-INDEX($D$19:$D$218,MATCH(L130,$D$19:INDEX($D$19:$D$218,$E$12),1))))))</f>
        <v/>
      </c>
      <c r="N130" s="12">
        <f>IF(M130="","",$B$6*TAN(RADIANS(M130)))</f>
        <v/>
      </c>
      <c r="O130" s="12">
        <f>IF(N130="","",IF(L130=0,0,-N130*J130/SQRT(J130^2+K130^2)))</f>
        <v/>
      </c>
      <c r="P130" s="12">
        <f>IF(N130="","",IF(L130=0,0,N130*K130/SQRT(J130^2+K130^2)))</f>
        <v/>
      </c>
      <c r="Q130" s="12">
        <f>IF(N130="","",IF(N130=0,$B$7,$B$7-Y130*O130/N130))</f>
        <v/>
      </c>
      <c r="R130" s="12">
        <f>IF(N130="","",IF(N130=0,$B$8,$B$8+Y130*P130/N130))</f>
        <v/>
      </c>
      <c r="S130" s="12">
        <f>IFERROR(SQRT((Q130-H130)^2+(R130-I130)^2),"")</f>
        <v/>
      </c>
      <c r="T130">
        <f>103</f>
        <v/>
      </c>
      <c r="U130">
        <f>IF(T130&gt;4*$E$9,"",MIN(INT(T130/$E$9)+1,4))</f>
        <v/>
      </c>
      <c r="V130">
        <f>IF(T130=4*$E$9,-$E$6/2,IF(U130="","",CHOOSE(U130,-$E$6/2+MOD(T130,$E$9)/$E$9*$E$6,$E$6/2,$E$6/2-MOD(T130,$E$9)/$E$9*$E$6,-$E$6/2)))</f>
        <v/>
      </c>
      <c r="W130">
        <f>IF(T130=4*$E$9,-$E$7/2,IF(U130="","",CHOOSE(U130,-$E$7/2,-$E$7/2+MOD(T130,$E$9)/$E$9*$E$7,$E$7/2,$E$7/2-MOD(T130,$E$9)/$E$9*$E$7)))</f>
        <v/>
      </c>
      <c r="X130">
        <f>IF(OR($E$13&lt;&gt;"OK",M130=""),"",IF(M130&lt;=$A$19,$D$19,IF(M130&gt;=INDEX($A$19:$A$218,$E$12),INDEX($D$19:$D$218,$E$12),INDEX($D$19:$D$218,MATCH(M130,$A$19:INDEX($A$19:$A$218,$E$12),1))+(M130-INDEX($A$19:$A$218,MATCH(M130,$A$19:INDEX($A$19:$A$218,$E$12),1)))*(INDEX($D$19:$D$218,MATCH(M130,$A$19:INDEX($A$19:$A$218,$E$12),1)+1)-INDEX($D$19:$D$218,MATCH(M130,$A$19:INDEX($A$19:$A$218,$E$12),1)))/(INDEX($A$19:$A$218,MATCH(M130,$A$19:INDEX($A$19:$A$218,$E$12),1)+1)-INDEX($A$19:$A$218,MATCH(M130,$A$19:INDEX($A$19:$A$218,$E$12),1))))))</f>
        <v/>
      </c>
      <c r="Y130">
        <f>IF(X130="","",X130*1000/$B$4)</f>
        <v/>
      </c>
    </row>
    <row r="131">
      <c r="A131" s="10" t="n"/>
      <c r="B131" s="10" t="n"/>
      <c r="C131" s="11">
        <f>IF(A131="","",$B$5*TAN(RADIANS(A131)))</f>
        <v/>
      </c>
      <c r="D131" s="11">
        <f>IF(C131="","",C131*(1+B131/100))</f>
        <v/>
      </c>
      <c r="E131" s="11">
        <f>IF(A131="","",$B$6*TAN(RADIANS(A131)))</f>
        <v/>
      </c>
      <c r="G131" s="12">
        <f>IF(U131="","",T131)</f>
        <v/>
      </c>
      <c r="H131" s="12">
        <f>IF(U131="","",$E$4+V131*COS(RADIANS($E$8))-W131*SIN(RADIANS($E$8)))</f>
        <v/>
      </c>
      <c r="I131" s="12">
        <f>IF(U131="","",$E$5+V131*SIN(RADIANS($E$8))+W131*COS(RADIANS($E$8)))</f>
        <v/>
      </c>
      <c r="J131" s="12">
        <f>IF(H131="","",H131-$B$7)</f>
        <v/>
      </c>
      <c r="K131" s="12">
        <f>IF(I131="","",I131-$B$8)</f>
        <v/>
      </c>
      <c r="L131" s="12">
        <f>IFERROR(SQRT(J131^2+K131^2)*$B$4/1000,"")</f>
        <v/>
      </c>
      <c r="M131" s="12">
        <f>IF(OR($E$13&lt;&gt;"OK",L131=""),"",IF(L131&lt;=$D$19,$A$19,IF(L131&gt;=INDEX($D$19:$D$218,$E$12),INDEX($A$19:$A$218,$E$12),INDEX($A$19:$A$218,MATCH(L131,$D$19:INDEX($D$19:$D$218,$E$12),1))+(L131-INDEX($D$19:$D$218,MATCH(L131,$D$19:INDEX($D$19:$D$218,$E$12),1)))*(INDEX($A$19:$A$218,MATCH(L131,$D$19:INDEX($D$19:$D$218,$E$12),1)+1)-INDEX($A$19:$A$218,MATCH(L131,$D$19:INDEX($D$19:$D$218,$E$12),1)))/(INDEX($D$19:$D$218,MATCH(L131,$D$19:INDEX($D$19:$D$218,$E$12),1)+1)-INDEX($D$19:$D$218,MATCH(L131,$D$19:INDEX($D$19:$D$218,$E$12),1))))))</f>
        <v/>
      </c>
      <c r="N131" s="12">
        <f>IF(M131="","",$B$6*TAN(RADIANS(M131)))</f>
        <v/>
      </c>
      <c r="O131" s="12">
        <f>IF(N131="","",IF(L131=0,0,-N131*J131/SQRT(J131^2+K131^2)))</f>
        <v/>
      </c>
      <c r="P131" s="12">
        <f>IF(N131="","",IF(L131=0,0,N131*K131/SQRT(J131^2+K131^2)))</f>
        <v/>
      </c>
      <c r="Q131" s="12">
        <f>IF(N131="","",IF(N131=0,$B$7,$B$7-Y131*O131/N131))</f>
        <v/>
      </c>
      <c r="R131" s="12">
        <f>IF(N131="","",IF(N131=0,$B$8,$B$8+Y131*P131/N131))</f>
        <v/>
      </c>
      <c r="S131" s="12">
        <f>IFERROR(SQRT((Q131-H131)^2+(R131-I131)^2),"")</f>
        <v/>
      </c>
      <c r="T131">
        <f>104</f>
        <v/>
      </c>
      <c r="U131">
        <f>IF(T131&gt;4*$E$9,"",MIN(INT(T131/$E$9)+1,4))</f>
        <v/>
      </c>
      <c r="V131">
        <f>IF(T131=4*$E$9,-$E$6/2,IF(U131="","",CHOOSE(U131,-$E$6/2+MOD(T131,$E$9)/$E$9*$E$6,$E$6/2,$E$6/2-MOD(T131,$E$9)/$E$9*$E$6,-$E$6/2)))</f>
        <v/>
      </c>
      <c r="W131">
        <f>IF(T131=4*$E$9,-$E$7/2,IF(U131="","",CHOOSE(U131,-$E$7/2,-$E$7/2+MOD(T131,$E$9)/$E$9*$E$7,$E$7/2,$E$7/2-MOD(T131,$E$9)/$E$9*$E$7)))</f>
        <v/>
      </c>
      <c r="X131">
        <f>IF(OR($E$13&lt;&gt;"OK",M131=""),"",IF(M131&lt;=$A$19,$D$19,IF(M131&gt;=INDEX($A$19:$A$218,$E$12),INDEX($D$19:$D$218,$E$12),INDEX($D$19:$D$218,MATCH(M131,$A$19:INDEX($A$19:$A$218,$E$12),1))+(M131-INDEX($A$19:$A$218,MATCH(M131,$A$19:INDEX($A$19:$A$218,$E$12),1)))*(INDEX($D$19:$D$218,MATCH(M131,$A$19:INDEX($A$19:$A$218,$E$12),1)+1)-INDEX($D$19:$D$218,MATCH(M131,$A$19:INDEX($A$19:$A$218,$E$12),1)))/(INDEX($A$19:$A$218,MATCH(M131,$A$19:INDEX($A$19:$A$218,$E$12),1)+1)-INDEX($A$19:$A$218,MATCH(M131,$A$19:INDEX($A$19:$A$218,$E$12),1))))))</f>
        <v/>
      </c>
      <c r="Y131">
        <f>IF(X131="","",X131*1000/$B$4)</f>
        <v/>
      </c>
    </row>
    <row r="132">
      <c r="A132" s="10" t="n"/>
      <c r="B132" s="10" t="n"/>
      <c r="C132" s="11">
        <f>IF(A132="","",$B$5*TAN(RADIANS(A132)))</f>
        <v/>
      </c>
      <c r="D132" s="11">
        <f>IF(C132="","",C132*(1+B132/100))</f>
        <v/>
      </c>
      <c r="E132" s="11">
        <f>IF(A132="","",$B$6*TAN(RADIANS(A132)))</f>
        <v/>
      </c>
      <c r="G132" s="12">
        <f>IF(U132="","",T132)</f>
        <v/>
      </c>
      <c r="H132" s="12">
        <f>IF(U132="","",$E$4+V132*COS(RADIANS($E$8))-W132*SIN(RADIANS($E$8)))</f>
        <v/>
      </c>
      <c r="I132" s="12">
        <f>IF(U132="","",$E$5+V132*SIN(RADIANS($E$8))+W132*COS(RADIANS($E$8)))</f>
        <v/>
      </c>
      <c r="J132" s="12">
        <f>IF(H132="","",H132-$B$7)</f>
        <v/>
      </c>
      <c r="K132" s="12">
        <f>IF(I132="","",I132-$B$8)</f>
        <v/>
      </c>
      <c r="L132" s="12">
        <f>IFERROR(SQRT(J132^2+K132^2)*$B$4/1000,"")</f>
        <v/>
      </c>
      <c r="M132" s="12">
        <f>IF(OR($E$13&lt;&gt;"OK",L132=""),"",IF(L132&lt;=$D$19,$A$19,IF(L132&gt;=INDEX($D$19:$D$218,$E$12),INDEX($A$19:$A$218,$E$12),INDEX($A$19:$A$218,MATCH(L132,$D$19:INDEX($D$19:$D$218,$E$12),1))+(L132-INDEX($D$19:$D$218,MATCH(L132,$D$19:INDEX($D$19:$D$218,$E$12),1)))*(INDEX($A$19:$A$218,MATCH(L132,$D$19:INDEX($D$19:$D$218,$E$12),1)+1)-INDEX($A$19:$A$218,MATCH(L132,$D$19:INDEX($D$19:$D$218,$E$12),1)))/(INDEX($D$19:$D$218,MATCH(L132,$D$19:INDEX($D$19:$D$218,$E$12),1)+1)-INDEX($D$19:$D$218,MATCH(L132,$D$19:INDEX($D$19:$D$218,$E$12),1))))))</f>
        <v/>
      </c>
      <c r="N132" s="12">
        <f>IF(M132="","",$B$6*TAN(RADIANS(M132)))</f>
        <v/>
      </c>
      <c r="O132" s="12">
        <f>IF(N132="","",IF(L132=0,0,-N132*J132/SQRT(J132^2+K132^2)))</f>
        <v/>
      </c>
      <c r="P132" s="12">
        <f>IF(N132="","",IF(L132=0,0,N132*K132/SQRT(J132^2+K132^2)))</f>
        <v/>
      </c>
      <c r="Q132" s="12">
        <f>IF(N132="","",IF(N132=0,$B$7,$B$7-Y132*O132/N132))</f>
        <v/>
      </c>
      <c r="R132" s="12">
        <f>IF(N132="","",IF(N132=0,$B$8,$B$8+Y132*P132/N132))</f>
        <v/>
      </c>
      <c r="S132" s="12">
        <f>IFERROR(SQRT((Q132-H132)^2+(R132-I132)^2),"")</f>
        <v/>
      </c>
      <c r="T132">
        <f>105</f>
        <v/>
      </c>
      <c r="U132">
        <f>IF(T132&gt;4*$E$9,"",MIN(INT(T132/$E$9)+1,4))</f>
        <v/>
      </c>
      <c r="V132">
        <f>IF(T132=4*$E$9,-$E$6/2,IF(U132="","",CHOOSE(U132,-$E$6/2+MOD(T132,$E$9)/$E$9*$E$6,$E$6/2,$E$6/2-MOD(T132,$E$9)/$E$9*$E$6,-$E$6/2)))</f>
        <v/>
      </c>
      <c r="W132">
        <f>IF(T132=4*$E$9,-$E$7/2,IF(U132="","",CHOOSE(U132,-$E$7/2,-$E$7/2+MOD(T132,$E$9)/$E$9*$E$7,$E$7/2,$E$7/2-MOD(T132,$E$9)/$E$9*$E$7)))</f>
        <v/>
      </c>
      <c r="X132">
        <f>IF(OR($E$13&lt;&gt;"OK",M132=""),"",IF(M132&lt;=$A$19,$D$19,IF(M132&gt;=INDEX($A$19:$A$218,$E$12),INDEX($D$19:$D$218,$E$12),INDEX($D$19:$D$218,MATCH(M132,$A$19:INDEX($A$19:$A$218,$E$12),1))+(M132-INDEX($A$19:$A$218,MATCH(M132,$A$19:INDEX($A$19:$A$218,$E$12),1)))*(INDEX($D$19:$D$218,MATCH(M132,$A$19:INDEX($A$19:$A$218,$E$12),1)+1)-INDEX($D$19:$D$218,MATCH(M132,$A$19:INDEX($A$19:$A$218,$E$12),1)))/(INDEX($A$19:$A$218,MATCH(M132,$A$19:INDEX($A$19:$A$218,$E$12),1)+1)-INDEX($A$19:$A$218,MATCH(M132,$A$19:INDEX($A$19:$A$218,$E$12),1))))))</f>
        <v/>
      </c>
      <c r="Y132">
        <f>IF(X132="","",X132*1000/$B$4)</f>
        <v/>
      </c>
    </row>
    <row r="133">
      <c r="A133" s="10" t="n"/>
      <c r="B133" s="10" t="n"/>
      <c r="C133" s="11">
        <f>IF(A133="","",$B$5*TAN(RADIANS(A133)))</f>
        <v/>
      </c>
      <c r="D133" s="11">
        <f>IF(C133="","",C133*(1+B133/100))</f>
        <v/>
      </c>
      <c r="E133" s="11">
        <f>IF(A133="","",$B$6*TAN(RADIANS(A133)))</f>
        <v/>
      </c>
      <c r="G133" s="12">
        <f>IF(U133="","",T133)</f>
        <v/>
      </c>
      <c r="H133" s="12">
        <f>IF(U133="","",$E$4+V133*COS(RADIANS($E$8))-W133*SIN(RADIANS($E$8)))</f>
        <v/>
      </c>
      <c r="I133" s="12">
        <f>IF(U133="","",$E$5+V133*SIN(RADIANS($E$8))+W133*COS(RADIANS($E$8)))</f>
        <v/>
      </c>
      <c r="J133" s="12">
        <f>IF(H133="","",H133-$B$7)</f>
        <v/>
      </c>
      <c r="K133" s="12">
        <f>IF(I133="","",I133-$B$8)</f>
        <v/>
      </c>
      <c r="L133" s="12">
        <f>IFERROR(SQRT(J133^2+K133^2)*$B$4/1000,"")</f>
        <v/>
      </c>
      <c r="M133" s="12">
        <f>IF(OR($E$13&lt;&gt;"OK",L133=""),"",IF(L133&lt;=$D$19,$A$19,IF(L133&gt;=INDEX($D$19:$D$218,$E$12),INDEX($A$19:$A$218,$E$12),INDEX($A$19:$A$218,MATCH(L133,$D$19:INDEX($D$19:$D$218,$E$12),1))+(L133-INDEX($D$19:$D$218,MATCH(L133,$D$19:INDEX($D$19:$D$218,$E$12),1)))*(INDEX($A$19:$A$218,MATCH(L133,$D$19:INDEX($D$19:$D$218,$E$12),1)+1)-INDEX($A$19:$A$218,MATCH(L133,$D$19:INDEX($D$19:$D$218,$E$12),1)))/(INDEX($D$19:$D$218,MATCH(L133,$D$19:INDEX($D$19:$D$218,$E$12),1)+1)-INDEX($D$19:$D$218,MATCH(L133,$D$19:INDEX($D$19:$D$218,$E$12),1))))))</f>
        <v/>
      </c>
      <c r="N133" s="12">
        <f>IF(M133="","",$B$6*TAN(RADIANS(M133)))</f>
        <v/>
      </c>
      <c r="O133" s="12">
        <f>IF(N133="","",IF(L133=0,0,-N133*J133/SQRT(J133^2+K133^2)))</f>
        <v/>
      </c>
      <c r="P133" s="12">
        <f>IF(N133="","",IF(L133=0,0,N133*K133/SQRT(J133^2+K133^2)))</f>
        <v/>
      </c>
      <c r="Q133" s="12">
        <f>IF(N133="","",IF(N133=0,$B$7,$B$7-Y133*O133/N133))</f>
        <v/>
      </c>
      <c r="R133" s="12">
        <f>IF(N133="","",IF(N133=0,$B$8,$B$8+Y133*P133/N133))</f>
        <v/>
      </c>
      <c r="S133" s="12">
        <f>IFERROR(SQRT((Q133-H133)^2+(R133-I133)^2),"")</f>
        <v/>
      </c>
      <c r="T133">
        <f>106</f>
        <v/>
      </c>
      <c r="U133">
        <f>IF(T133&gt;4*$E$9,"",MIN(INT(T133/$E$9)+1,4))</f>
        <v/>
      </c>
      <c r="V133">
        <f>IF(T133=4*$E$9,-$E$6/2,IF(U133="","",CHOOSE(U133,-$E$6/2+MOD(T133,$E$9)/$E$9*$E$6,$E$6/2,$E$6/2-MOD(T133,$E$9)/$E$9*$E$6,-$E$6/2)))</f>
        <v/>
      </c>
      <c r="W133">
        <f>IF(T133=4*$E$9,-$E$7/2,IF(U133="","",CHOOSE(U133,-$E$7/2,-$E$7/2+MOD(T133,$E$9)/$E$9*$E$7,$E$7/2,$E$7/2-MOD(T133,$E$9)/$E$9*$E$7)))</f>
        <v/>
      </c>
      <c r="X133">
        <f>IF(OR($E$13&lt;&gt;"OK",M133=""),"",IF(M133&lt;=$A$19,$D$19,IF(M133&gt;=INDEX($A$19:$A$218,$E$12),INDEX($D$19:$D$218,$E$12),INDEX($D$19:$D$218,MATCH(M133,$A$19:INDEX($A$19:$A$218,$E$12),1))+(M133-INDEX($A$19:$A$218,MATCH(M133,$A$19:INDEX($A$19:$A$218,$E$12),1)))*(INDEX($D$19:$D$218,MATCH(M133,$A$19:INDEX($A$19:$A$218,$E$12),1)+1)-INDEX($D$19:$D$218,MATCH(M133,$A$19:INDEX($A$19:$A$218,$E$12),1)))/(INDEX($A$19:$A$218,MATCH(M133,$A$19:INDEX($A$19:$A$218,$E$12),1)+1)-INDEX($A$19:$A$218,MATCH(M133,$A$19:INDEX($A$19:$A$218,$E$12),1))))))</f>
        <v/>
      </c>
      <c r="Y133">
        <f>IF(X133="","",X133*1000/$B$4)</f>
        <v/>
      </c>
    </row>
    <row r="134">
      <c r="A134" s="10" t="n"/>
      <c r="B134" s="10" t="n"/>
      <c r="C134" s="11">
        <f>IF(A134="","",$B$5*TAN(RADIANS(A134)))</f>
        <v/>
      </c>
      <c r="D134" s="11">
        <f>IF(C134="","",C134*(1+B134/100))</f>
        <v/>
      </c>
      <c r="E134" s="11">
        <f>IF(A134="","",$B$6*TAN(RADIANS(A134)))</f>
        <v/>
      </c>
      <c r="G134" s="12">
        <f>IF(U134="","",T134)</f>
        <v/>
      </c>
      <c r="H134" s="12">
        <f>IF(U134="","",$E$4+V134*COS(RADIANS($E$8))-W134*SIN(RADIANS($E$8)))</f>
        <v/>
      </c>
      <c r="I134" s="12">
        <f>IF(U134="","",$E$5+V134*SIN(RADIANS($E$8))+W134*COS(RADIANS($E$8)))</f>
        <v/>
      </c>
      <c r="J134" s="12">
        <f>IF(H134="","",H134-$B$7)</f>
        <v/>
      </c>
      <c r="K134" s="12">
        <f>IF(I134="","",I134-$B$8)</f>
        <v/>
      </c>
      <c r="L134" s="12">
        <f>IFERROR(SQRT(J134^2+K134^2)*$B$4/1000,"")</f>
        <v/>
      </c>
      <c r="M134" s="12">
        <f>IF(OR($E$13&lt;&gt;"OK",L134=""),"",IF(L134&lt;=$D$19,$A$19,IF(L134&gt;=INDEX($D$19:$D$218,$E$12),INDEX($A$19:$A$218,$E$12),INDEX($A$19:$A$218,MATCH(L134,$D$19:INDEX($D$19:$D$218,$E$12),1))+(L134-INDEX($D$19:$D$218,MATCH(L134,$D$19:INDEX($D$19:$D$218,$E$12),1)))*(INDEX($A$19:$A$218,MATCH(L134,$D$19:INDEX($D$19:$D$218,$E$12),1)+1)-INDEX($A$19:$A$218,MATCH(L134,$D$19:INDEX($D$19:$D$218,$E$12),1)))/(INDEX($D$19:$D$218,MATCH(L134,$D$19:INDEX($D$19:$D$218,$E$12),1)+1)-INDEX($D$19:$D$218,MATCH(L134,$D$19:INDEX($D$19:$D$218,$E$12),1))))))</f>
        <v/>
      </c>
      <c r="N134" s="12">
        <f>IF(M134="","",$B$6*TAN(RADIANS(M134)))</f>
        <v/>
      </c>
      <c r="O134" s="12">
        <f>IF(N134="","",IF(L134=0,0,-N134*J134/SQRT(J134^2+K134^2)))</f>
        <v/>
      </c>
      <c r="P134" s="12">
        <f>IF(N134="","",IF(L134=0,0,N134*K134/SQRT(J134^2+K134^2)))</f>
        <v/>
      </c>
      <c r="Q134" s="12">
        <f>IF(N134="","",IF(N134=0,$B$7,$B$7-Y134*O134/N134))</f>
        <v/>
      </c>
      <c r="R134" s="12">
        <f>IF(N134="","",IF(N134=0,$B$8,$B$8+Y134*P134/N134))</f>
        <v/>
      </c>
      <c r="S134" s="12">
        <f>IFERROR(SQRT((Q134-H134)^2+(R134-I134)^2),"")</f>
        <v/>
      </c>
      <c r="T134">
        <f>107</f>
        <v/>
      </c>
      <c r="U134">
        <f>IF(T134&gt;4*$E$9,"",MIN(INT(T134/$E$9)+1,4))</f>
        <v/>
      </c>
      <c r="V134">
        <f>IF(T134=4*$E$9,-$E$6/2,IF(U134="","",CHOOSE(U134,-$E$6/2+MOD(T134,$E$9)/$E$9*$E$6,$E$6/2,$E$6/2-MOD(T134,$E$9)/$E$9*$E$6,-$E$6/2)))</f>
        <v/>
      </c>
      <c r="W134">
        <f>IF(T134=4*$E$9,-$E$7/2,IF(U134="","",CHOOSE(U134,-$E$7/2,-$E$7/2+MOD(T134,$E$9)/$E$9*$E$7,$E$7/2,$E$7/2-MOD(T134,$E$9)/$E$9*$E$7)))</f>
        <v/>
      </c>
      <c r="X134">
        <f>IF(OR($E$13&lt;&gt;"OK",M134=""),"",IF(M134&lt;=$A$19,$D$19,IF(M134&gt;=INDEX($A$19:$A$218,$E$12),INDEX($D$19:$D$218,$E$12),INDEX($D$19:$D$218,MATCH(M134,$A$19:INDEX($A$19:$A$218,$E$12),1))+(M134-INDEX($A$19:$A$218,MATCH(M134,$A$19:INDEX($A$19:$A$218,$E$12),1)))*(INDEX($D$19:$D$218,MATCH(M134,$A$19:INDEX($A$19:$A$218,$E$12),1)+1)-INDEX($D$19:$D$218,MATCH(M134,$A$19:INDEX($A$19:$A$218,$E$12),1)))/(INDEX($A$19:$A$218,MATCH(M134,$A$19:INDEX($A$19:$A$218,$E$12),1)+1)-INDEX($A$19:$A$218,MATCH(M134,$A$19:INDEX($A$19:$A$218,$E$12),1))))))</f>
        <v/>
      </c>
      <c r="Y134">
        <f>IF(X134="","",X134*1000/$B$4)</f>
        <v/>
      </c>
    </row>
    <row r="135">
      <c r="A135" s="10" t="n"/>
      <c r="B135" s="10" t="n"/>
      <c r="C135" s="11">
        <f>IF(A135="","",$B$5*TAN(RADIANS(A135)))</f>
        <v/>
      </c>
      <c r="D135" s="11">
        <f>IF(C135="","",C135*(1+B135/100))</f>
        <v/>
      </c>
      <c r="E135" s="11">
        <f>IF(A135="","",$B$6*TAN(RADIANS(A135)))</f>
        <v/>
      </c>
      <c r="G135" s="12">
        <f>IF(U135="","",T135)</f>
        <v/>
      </c>
      <c r="H135" s="12">
        <f>IF(U135="","",$E$4+V135*COS(RADIANS($E$8))-W135*SIN(RADIANS($E$8)))</f>
        <v/>
      </c>
      <c r="I135" s="12">
        <f>IF(U135="","",$E$5+V135*SIN(RADIANS($E$8))+W135*COS(RADIANS($E$8)))</f>
        <v/>
      </c>
      <c r="J135" s="12">
        <f>IF(H135="","",H135-$B$7)</f>
        <v/>
      </c>
      <c r="K135" s="12">
        <f>IF(I135="","",I135-$B$8)</f>
        <v/>
      </c>
      <c r="L135" s="12">
        <f>IFERROR(SQRT(J135^2+K135^2)*$B$4/1000,"")</f>
        <v/>
      </c>
      <c r="M135" s="12">
        <f>IF(OR($E$13&lt;&gt;"OK",L135=""),"",IF(L135&lt;=$D$19,$A$19,IF(L135&gt;=INDEX($D$19:$D$218,$E$12),INDEX($A$19:$A$218,$E$12),INDEX($A$19:$A$218,MATCH(L135,$D$19:INDEX($D$19:$D$218,$E$12),1))+(L135-INDEX($D$19:$D$218,MATCH(L135,$D$19:INDEX($D$19:$D$218,$E$12),1)))*(INDEX($A$19:$A$218,MATCH(L135,$D$19:INDEX($D$19:$D$218,$E$12),1)+1)-INDEX($A$19:$A$218,MATCH(L135,$D$19:INDEX($D$19:$D$218,$E$12),1)))/(INDEX($D$19:$D$218,MATCH(L135,$D$19:INDEX($D$19:$D$218,$E$12),1)+1)-INDEX($D$19:$D$218,MATCH(L135,$D$19:INDEX($D$19:$D$218,$E$12),1))))))</f>
        <v/>
      </c>
      <c r="N135" s="12">
        <f>IF(M135="","",$B$6*TAN(RADIANS(M135)))</f>
        <v/>
      </c>
      <c r="O135" s="12">
        <f>IF(N135="","",IF(L135=0,0,-N135*J135/SQRT(J135^2+K135^2)))</f>
        <v/>
      </c>
      <c r="P135" s="12">
        <f>IF(N135="","",IF(L135=0,0,N135*K135/SQRT(J135^2+K135^2)))</f>
        <v/>
      </c>
      <c r="Q135" s="12">
        <f>IF(N135="","",IF(N135=0,$B$7,$B$7-Y135*O135/N135))</f>
        <v/>
      </c>
      <c r="R135" s="12">
        <f>IF(N135="","",IF(N135=0,$B$8,$B$8+Y135*P135/N135))</f>
        <v/>
      </c>
      <c r="S135" s="12">
        <f>IFERROR(SQRT((Q135-H135)^2+(R135-I135)^2),"")</f>
        <v/>
      </c>
      <c r="T135">
        <f>108</f>
        <v/>
      </c>
      <c r="U135">
        <f>IF(T135&gt;4*$E$9,"",MIN(INT(T135/$E$9)+1,4))</f>
        <v/>
      </c>
      <c r="V135">
        <f>IF(T135=4*$E$9,-$E$6/2,IF(U135="","",CHOOSE(U135,-$E$6/2+MOD(T135,$E$9)/$E$9*$E$6,$E$6/2,$E$6/2-MOD(T135,$E$9)/$E$9*$E$6,-$E$6/2)))</f>
        <v/>
      </c>
      <c r="W135">
        <f>IF(T135=4*$E$9,-$E$7/2,IF(U135="","",CHOOSE(U135,-$E$7/2,-$E$7/2+MOD(T135,$E$9)/$E$9*$E$7,$E$7/2,$E$7/2-MOD(T135,$E$9)/$E$9*$E$7)))</f>
        <v/>
      </c>
      <c r="X135">
        <f>IF(OR($E$13&lt;&gt;"OK",M135=""),"",IF(M135&lt;=$A$19,$D$19,IF(M135&gt;=INDEX($A$19:$A$218,$E$12),INDEX($D$19:$D$218,$E$12),INDEX($D$19:$D$218,MATCH(M135,$A$19:INDEX($A$19:$A$218,$E$12),1))+(M135-INDEX($A$19:$A$218,MATCH(M135,$A$19:INDEX($A$19:$A$218,$E$12),1)))*(INDEX($D$19:$D$218,MATCH(M135,$A$19:INDEX($A$19:$A$218,$E$12),1)+1)-INDEX($D$19:$D$218,MATCH(M135,$A$19:INDEX($A$19:$A$218,$E$12),1)))/(INDEX($A$19:$A$218,MATCH(M135,$A$19:INDEX($A$19:$A$218,$E$12),1)+1)-INDEX($A$19:$A$218,MATCH(M135,$A$19:INDEX($A$19:$A$218,$E$12),1))))))</f>
        <v/>
      </c>
      <c r="Y135">
        <f>IF(X135="","",X135*1000/$B$4)</f>
        <v/>
      </c>
    </row>
    <row r="136">
      <c r="A136" s="10" t="n"/>
      <c r="B136" s="10" t="n"/>
      <c r="C136" s="11">
        <f>IF(A136="","",$B$5*TAN(RADIANS(A136)))</f>
        <v/>
      </c>
      <c r="D136" s="11">
        <f>IF(C136="","",C136*(1+B136/100))</f>
        <v/>
      </c>
      <c r="E136" s="11">
        <f>IF(A136="","",$B$6*TAN(RADIANS(A136)))</f>
        <v/>
      </c>
      <c r="G136" s="12">
        <f>IF(U136="","",T136)</f>
        <v/>
      </c>
      <c r="H136" s="12">
        <f>IF(U136="","",$E$4+V136*COS(RADIANS($E$8))-W136*SIN(RADIANS($E$8)))</f>
        <v/>
      </c>
      <c r="I136" s="12">
        <f>IF(U136="","",$E$5+V136*SIN(RADIANS($E$8))+W136*COS(RADIANS($E$8)))</f>
        <v/>
      </c>
      <c r="J136" s="12">
        <f>IF(H136="","",H136-$B$7)</f>
        <v/>
      </c>
      <c r="K136" s="12">
        <f>IF(I136="","",I136-$B$8)</f>
        <v/>
      </c>
      <c r="L136" s="12">
        <f>IFERROR(SQRT(J136^2+K136^2)*$B$4/1000,"")</f>
        <v/>
      </c>
      <c r="M136" s="12">
        <f>IF(OR($E$13&lt;&gt;"OK",L136=""),"",IF(L136&lt;=$D$19,$A$19,IF(L136&gt;=INDEX($D$19:$D$218,$E$12),INDEX($A$19:$A$218,$E$12),INDEX($A$19:$A$218,MATCH(L136,$D$19:INDEX($D$19:$D$218,$E$12),1))+(L136-INDEX($D$19:$D$218,MATCH(L136,$D$19:INDEX($D$19:$D$218,$E$12),1)))*(INDEX($A$19:$A$218,MATCH(L136,$D$19:INDEX($D$19:$D$218,$E$12),1)+1)-INDEX($A$19:$A$218,MATCH(L136,$D$19:INDEX($D$19:$D$218,$E$12),1)))/(INDEX($D$19:$D$218,MATCH(L136,$D$19:INDEX($D$19:$D$218,$E$12),1)+1)-INDEX($D$19:$D$218,MATCH(L136,$D$19:INDEX($D$19:$D$218,$E$12),1))))))</f>
        <v/>
      </c>
      <c r="N136" s="12">
        <f>IF(M136="","",$B$6*TAN(RADIANS(M136)))</f>
        <v/>
      </c>
      <c r="O136" s="12">
        <f>IF(N136="","",IF(L136=0,0,-N136*J136/SQRT(J136^2+K136^2)))</f>
        <v/>
      </c>
      <c r="P136" s="12">
        <f>IF(N136="","",IF(L136=0,0,N136*K136/SQRT(J136^2+K136^2)))</f>
        <v/>
      </c>
      <c r="Q136" s="12">
        <f>IF(N136="","",IF(N136=0,$B$7,$B$7-Y136*O136/N136))</f>
        <v/>
      </c>
      <c r="R136" s="12">
        <f>IF(N136="","",IF(N136=0,$B$8,$B$8+Y136*P136/N136))</f>
        <v/>
      </c>
      <c r="S136" s="12">
        <f>IFERROR(SQRT((Q136-H136)^2+(R136-I136)^2),"")</f>
        <v/>
      </c>
      <c r="T136">
        <f>109</f>
        <v/>
      </c>
      <c r="U136">
        <f>IF(T136&gt;4*$E$9,"",MIN(INT(T136/$E$9)+1,4))</f>
        <v/>
      </c>
      <c r="V136">
        <f>IF(T136=4*$E$9,-$E$6/2,IF(U136="","",CHOOSE(U136,-$E$6/2+MOD(T136,$E$9)/$E$9*$E$6,$E$6/2,$E$6/2-MOD(T136,$E$9)/$E$9*$E$6,-$E$6/2)))</f>
        <v/>
      </c>
      <c r="W136">
        <f>IF(T136=4*$E$9,-$E$7/2,IF(U136="","",CHOOSE(U136,-$E$7/2,-$E$7/2+MOD(T136,$E$9)/$E$9*$E$7,$E$7/2,$E$7/2-MOD(T136,$E$9)/$E$9*$E$7)))</f>
        <v/>
      </c>
      <c r="X136">
        <f>IF(OR($E$13&lt;&gt;"OK",M136=""),"",IF(M136&lt;=$A$19,$D$19,IF(M136&gt;=INDEX($A$19:$A$218,$E$12),INDEX($D$19:$D$218,$E$12),INDEX($D$19:$D$218,MATCH(M136,$A$19:INDEX($A$19:$A$218,$E$12),1))+(M136-INDEX($A$19:$A$218,MATCH(M136,$A$19:INDEX($A$19:$A$218,$E$12),1)))*(INDEX($D$19:$D$218,MATCH(M136,$A$19:INDEX($A$19:$A$218,$E$12),1)+1)-INDEX($D$19:$D$218,MATCH(M136,$A$19:INDEX($A$19:$A$218,$E$12),1)))/(INDEX($A$19:$A$218,MATCH(M136,$A$19:INDEX($A$19:$A$218,$E$12),1)+1)-INDEX($A$19:$A$218,MATCH(M136,$A$19:INDEX($A$19:$A$218,$E$12),1))))))</f>
        <v/>
      </c>
      <c r="Y136">
        <f>IF(X136="","",X136*1000/$B$4)</f>
        <v/>
      </c>
    </row>
    <row r="137">
      <c r="A137" s="10" t="n"/>
      <c r="B137" s="10" t="n"/>
      <c r="C137" s="11">
        <f>IF(A137="","",$B$5*TAN(RADIANS(A137)))</f>
        <v/>
      </c>
      <c r="D137" s="11">
        <f>IF(C137="","",C137*(1+B137/100))</f>
        <v/>
      </c>
      <c r="E137" s="11">
        <f>IF(A137="","",$B$6*TAN(RADIANS(A137)))</f>
        <v/>
      </c>
      <c r="G137" s="12">
        <f>IF(U137="","",T137)</f>
        <v/>
      </c>
      <c r="H137" s="12">
        <f>IF(U137="","",$E$4+V137*COS(RADIANS($E$8))-W137*SIN(RADIANS($E$8)))</f>
        <v/>
      </c>
      <c r="I137" s="12">
        <f>IF(U137="","",$E$5+V137*SIN(RADIANS($E$8))+W137*COS(RADIANS($E$8)))</f>
        <v/>
      </c>
      <c r="J137" s="12">
        <f>IF(H137="","",H137-$B$7)</f>
        <v/>
      </c>
      <c r="K137" s="12">
        <f>IF(I137="","",I137-$B$8)</f>
        <v/>
      </c>
      <c r="L137" s="12">
        <f>IFERROR(SQRT(J137^2+K137^2)*$B$4/1000,"")</f>
        <v/>
      </c>
      <c r="M137" s="12">
        <f>IF(OR($E$13&lt;&gt;"OK",L137=""),"",IF(L137&lt;=$D$19,$A$19,IF(L137&gt;=INDEX($D$19:$D$218,$E$12),INDEX($A$19:$A$218,$E$12),INDEX($A$19:$A$218,MATCH(L137,$D$19:INDEX($D$19:$D$218,$E$12),1))+(L137-INDEX($D$19:$D$218,MATCH(L137,$D$19:INDEX($D$19:$D$218,$E$12),1)))*(INDEX($A$19:$A$218,MATCH(L137,$D$19:INDEX($D$19:$D$218,$E$12),1)+1)-INDEX($A$19:$A$218,MATCH(L137,$D$19:INDEX($D$19:$D$218,$E$12),1)))/(INDEX($D$19:$D$218,MATCH(L137,$D$19:INDEX($D$19:$D$218,$E$12),1)+1)-INDEX($D$19:$D$218,MATCH(L137,$D$19:INDEX($D$19:$D$218,$E$12),1))))))</f>
        <v/>
      </c>
      <c r="N137" s="12">
        <f>IF(M137="","",$B$6*TAN(RADIANS(M137)))</f>
        <v/>
      </c>
      <c r="O137" s="12">
        <f>IF(N137="","",IF(L137=0,0,-N137*J137/SQRT(J137^2+K137^2)))</f>
        <v/>
      </c>
      <c r="P137" s="12">
        <f>IF(N137="","",IF(L137=0,0,N137*K137/SQRT(J137^2+K137^2)))</f>
        <v/>
      </c>
      <c r="Q137" s="12">
        <f>IF(N137="","",IF(N137=0,$B$7,$B$7-Y137*O137/N137))</f>
        <v/>
      </c>
      <c r="R137" s="12">
        <f>IF(N137="","",IF(N137=0,$B$8,$B$8+Y137*P137/N137))</f>
        <v/>
      </c>
      <c r="S137" s="12">
        <f>IFERROR(SQRT((Q137-H137)^2+(R137-I137)^2),"")</f>
        <v/>
      </c>
      <c r="T137">
        <f>110</f>
        <v/>
      </c>
      <c r="U137">
        <f>IF(T137&gt;4*$E$9,"",MIN(INT(T137/$E$9)+1,4))</f>
        <v/>
      </c>
      <c r="V137">
        <f>IF(T137=4*$E$9,-$E$6/2,IF(U137="","",CHOOSE(U137,-$E$6/2+MOD(T137,$E$9)/$E$9*$E$6,$E$6/2,$E$6/2-MOD(T137,$E$9)/$E$9*$E$6,-$E$6/2)))</f>
        <v/>
      </c>
      <c r="W137">
        <f>IF(T137=4*$E$9,-$E$7/2,IF(U137="","",CHOOSE(U137,-$E$7/2,-$E$7/2+MOD(T137,$E$9)/$E$9*$E$7,$E$7/2,$E$7/2-MOD(T137,$E$9)/$E$9*$E$7)))</f>
        <v/>
      </c>
      <c r="X137">
        <f>IF(OR($E$13&lt;&gt;"OK",M137=""),"",IF(M137&lt;=$A$19,$D$19,IF(M137&gt;=INDEX($A$19:$A$218,$E$12),INDEX($D$19:$D$218,$E$12),INDEX($D$19:$D$218,MATCH(M137,$A$19:INDEX($A$19:$A$218,$E$12),1))+(M137-INDEX($A$19:$A$218,MATCH(M137,$A$19:INDEX($A$19:$A$218,$E$12),1)))*(INDEX($D$19:$D$218,MATCH(M137,$A$19:INDEX($A$19:$A$218,$E$12),1)+1)-INDEX($D$19:$D$218,MATCH(M137,$A$19:INDEX($A$19:$A$218,$E$12),1)))/(INDEX($A$19:$A$218,MATCH(M137,$A$19:INDEX($A$19:$A$218,$E$12),1)+1)-INDEX($A$19:$A$218,MATCH(M137,$A$19:INDEX($A$19:$A$218,$E$12),1))))))</f>
        <v/>
      </c>
      <c r="Y137">
        <f>IF(X137="","",X137*1000/$B$4)</f>
        <v/>
      </c>
    </row>
    <row r="138">
      <c r="A138" s="10" t="n"/>
      <c r="B138" s="10" t="n"/>
      <c r="C138" s="11">
        <f>IF(A138="","",$B$5*TAN(RADIANS(A138)))</f>
        <v/>
      </c>
      <c r="D138" s="11">
        <f>IF(C138="","",C138*(1+B138/100))</f>
        <v/>
      </c>
      <c r="E138" s="11">
        <f>IF(A138="","",$B$6*TAN(RADIANS(A138)))</f>
        <v/>
      </c>
      <c r="G138" s="12">
        <f>IF(U138="","",T138)</f>
        <v/>
      </c>
      <c r="H138" s="12">
        <f>IF(U138="","",$E$4+V138*COS(RADIANS($E$8))-W138*SIN(RADIANS($E$8)))</f>
        <v/>
      </c>
      <c r="I138" s="12">
        <f>IF(U138="","",$E$5+V138*SIN(RADIANS($E$8))+W138*COS(RADIANS($E$8)))</f>
        <v/>
      </c>
      <c r="J138" s="12">
        <f>IF(H138="","",H138-$B$7)</f>
        <v/>
      </c>
      <c r="K138" s="12">
        <f>IF(I138="","",I138-$B$8)</f>
        <v/>
      </c>
      <c r="L138" s="12">
        <f>IFERROR(SQRT(J138^2+K138^2)*$B$4/1000,"")</f>
        <v/>
      </c>
      <c r="M138" s="12">
        <f>IF(OR($E$13&lt;&gt;"OK",L138=""),"",IF(L138&lt;=$D$19,$A$19,IF(L138&gt;=INDEX($D$19:$D$218,$E$12),INDEX($A$19:$A$218,$E$12),INDEX($A$19:$A$218,MATCH(L138,$D$19:INDEX($D$19:$D$218,$E$12),1))+(L138-INDEX($D$19:$D$218,MATCH(L138,$D$19:INDEX($D$19:$D$218,$E$12),1)))*(INDEX($A$19:$A$218,MATCH(L138,$D$19:INDEX($D$19:$D$218,$E$12),1)+1)-INDEX($A$19:$A$218,MATCH(L138,$D$19:INDEX($D$19:$D$218,$E$12),1)))/(INDEX($D$19:$D$218,MATCH(L138,$D$19:INDEX($D$19:$D$218,$E$12),1)+1)-INDEX($D$19:$D$218,MATCH(L138,$D$19:INDEX($D$19:$D$218,$E$12),1))))))</f>
        <v/>
      </c>
      <c r="N138" s="12">
        <f>IF(M138="","",$B$6*TAN(RADIANS(M138)))</f>
        <v/>
      </c>
      <c r="O138" s="12">
        <f>IF(N138="","",IF(L138=0,0,-N138*J138/SQRT(J138^2+K138^2)))</f>
        <v/>
      </c>
      <c r="P138" s="12">
        <f>IF(N138="","",IF(L138=0,0,N138*K138/SQRT(J138^2+K138^2)))</f>
        <v/>
      </c>
      <c r="Q138" s="12">
        <f>IF(N138="","",IF(N138=0,$B$7,$B$7-Y138*O138/N138))</f>
        <v/>
      </c>
      <c r="R138" s="12">
        <f>IF(N138="","",IF(N138=0,$B$8,$B$8+Y138*P138/N138))</f>
        <v/>
      </c>
      <c r="S138" s="12">
        <f>IFERROR(SQRT((Q138-H138)^2+(R138-I138)^2),"")</f>
        <v/>
      </c>
      <c r="T138">
        <f>111</f>
        <v/>
      </c>
      <c r="U138">
        <f>IF(T138&gt;4*$E$9,"",MIN(INT(T138/$E$9)+1,4))</f>
        <v/>
      </c>
      <c r="V138">
        <f>IF(T138=4*$E$9,-$E$6/2,IF(U138="","",CHOOSE(U138,-$E$6/2+MOD(T138,$E$9)/$E$9*$E$6,$E$6/2,$E$6/2-MOD(T138,$E$9)/$E$9*$E$6,-$E$6/2)))</f>
        <v/>
      </c>
      <c r="W138">
        <f>IF(T138=4*$E$9,-$E$7/2,IF(U138="","",CHOOSE(U138,-$E$7/2,-$E$7/2+MOD(T138,$E$9)/$E$9*$E$7,$E$7/2,$E$7/2-MOD(T138,$E$9)/$E$9*$E$7)))</f>
        <v/>
      </c>
      <c r="X138">
        <f>IF(OR($E$13&lt;&gt;"OK",M138=""),"",IF(M138&lt;=$A$19,$D$19,IF(M138&gt;=INDEX($A$19:$A$218,$E$12),INDEX($D$19:$D$218,$E$12),INDEX($D$19:$D$218,MATCH(M138,$A$19:INDEX($A$19:$A$218,$E$12),1))+(M138-INDEX($A$19:$A$218,MATCH(M138,$A$19:INDEX($A$19:$A$218,$E$12),1)))*(INDEX($D$19:$D$218,MATCH(M138,$A$19:INDEX($A$19:$A$218,$E$12),1)+1)-INDEX($D$19:$D$218,MATCH(M138,$A$19:INDEX($A$19:$A$218,$E$12),1)))/(INDEX($A$19:$A$218,MATCH(M138,$A$19:INDEX($A$19:$A$218,$E$12),1)+1)-INDEX($A$19:$A$218,MATCH(M138,$A$19:INDEX($A$19:$A$218,$E$12),1))))))</f>
        <v/>
      </c>
      <c r="Y138">
        <f>IF(X138="","",X138*1000/$B$4)</f>
        <v/>
      </c>
    </row>
    <row r="139">
      <c r="A139" s="10" t="n"/>
      <c r="B139" s="10" t="n"/>
      <c r="C139" s="11">
        <f>IF(A139="","",$B$5*TAN(RADIANS(A139)))</f>
        <v/>
      </c>
      <c r="D139" s="11">
        <f>IF(C139="","",C139*(1+B139/100))</f>
        <v/>
      </c>
      <c r="E139" s="11">
        <f>IF(A139="","",$B$6*TAN(RADIANS(A139)))</f>
        <v/>
      </c>
      <c r="G139" s="12">
        <f>IF(U139="","",T139)</f>
        <v/>
      </c>
      <c r="H139" s="12">
        <f>IF(U139="","",$E$4+V139*COS(RADIANS($E$8))-W139*SIN(RADIANS($E$8)))</f>
        <v/>
      </c>
      <c r="I139" s="12">
        <f>IF(U139="","",$E$5+V139*SIN(RADIANS($E$8))+W139*COS(RADIANS($E$8)))</f>
        <v/>
      </c>
      <c r="J139" s="12">
        <f>IF(H139="","",H139-$B$7)</f>
        <v/>
      </c>
      <c r="K139" s="12">
        <f>IF(I139="","",I139-$B$8)</f>
        <v/>
      </c>
      <c r="L139" s="12">
        <f>IFERROR(SQRT(J139^2+K139^2)*$B$4/1000,"")</f>
        <v/>
      </c>
      <c r="M139" s="12">
        <f>IF(OR($E$13&lt;&gt;"OK",L139=""),"",IF(L139&lt;=$D$19,$A$19,IF(L139&gt;=INDEX($D$19:$D$218,$E$12),INDEX($A$19:$A$218,$E$12),INDEX($A$19:$A$218,MATCH(L139,$D$19:INDEX($D$19:$D$218,$E$12),1))+(L139-INDEX($D$19:$D$218,MATCH(L139,$D$19:INDEX($D$19:$D$218,$E$12),1)))*(INDEX($A$19:$A$218,MATCH(L139,$D$19:INDEX($D$19:$D$218,$E$12),1)+1)-INDEX($A$19:$A$218,MATCH(L139,$D$19:INDEX($D$19:$D$218,$E$12),1)))/(INDEX($D$19:$D$218,MATCH(L139,$D$19:INDEX($D$19:$D$218,$E$12),1)+1)-INDEX($D$19:$D$218,MATCH(L139,$D$19:INDEX($D$19:$D$218,$E$12),1))))))</f>
        <v/>
      </c>
      <c r="N139" s="12">
        <f>IF(M139="","",$B$6*TAN(RADIANS(M139)))</f>
        <v/>
      </c>
      <c r="O139" s="12">
        <f>IF(N139="","",IF(L139=0,0,-N139*J139/SQRT(J139^2+K139^2)))</f>
        <v/>
      </c>
      <c r="P139" s="12">
        <f>IF(N139="","",IF(L139=0,0,N139*K139/SQRT(J139^2+K139^2)))</f>
        <v/>
      </c>
      <c r="Q139" s="12">
        <f>IF(N139="","",IF(N139=0,$B$7,$B$7-Y139*O139/N139))</f>
        <v/>
      </c>
      <c r="R139" s="12">
        <f>IF(N139="","",IF(N139=0,$B$8,$B$8+Y139*P139/N139))</f>
        <v/>
      </c>
      <c r="S139" s="12">
        <f>IFERROR(SQRT((Q139-H139)^2+(R139-I139)^2),"")</f>
        <v/>
      </c>
      <c r="T139">
        <f>112</f>
        <v/>
      </c>
      <c r="U139">
        <f>IF(T139&gt;4*$E$9,"",MIN(INT(T139/$E$9)+1,4))</f>
        <v/>
      </c>
      <c r="V139">
        <f>IF(T139=4*$E$9,-$E$6/2,IF(U139="","",CHOOSE(U139,-$E$6/2+MOD(T139,$E$9)/$E$9*$E$6,$E$6/2,$E$6/2-MOD(T139,$E$9)/$E$9*$E$6,-$E$6/2)))</f>
        <v/>
      </c>
      <c r="W139">
        <f>IF(T139=4*$E$9,-$E$7/2,IF(U139="","",CHOOSE(U139,-$E$7/2,-$E$7/2+MOD(T139,$E$9)/$E$9*$E$7,$E$7/2,$E$7/2-MOD(T139,$E$9)/$E$9*$E$7)))</f>
        <v/>
      </c>
      <c r="X139">
        <f>IF(OR($E$13&lt;&gt;"OK",M139=""),"",IF(M139&lt;=$A$19,$D$19,IF(M139&gt;=INDEX($A$19:$A$218,$E$12),INDEX($D$19:$D$218,$E$12),INDEX($D$19:$D$218,MATCH(M139,$A$19:INDEX($A$19:$A$218,$E$12),1))+(M139-INDEX($A$19:$A$218,MATCH(M139,$A$19:INDEX($A$19:$A$218,$E$12),1)))*(INDEX($D$19:$D$218,MATCH(M139,$A$19:INDEX($A$19:$A$218,$E$12),1)+1)-INDEX($D$19:$D$218,MATCH(M139,$A$19:INDEX($A$19:$A$218,$E$12),1)))/(INDEX($A$19:$A$218,MATCH(M139,$A$19:INDEX($A$19:$A$218,$E$12),1)+1)-INDEX($A$19:$A$218,MATCH(M139,$A$19:INDEX($A$19:$A$218,$E$12),1))))))</f>
        <v/>
      </c>
      <c r="Y139">
        <f>IF(X139="","",X139*1000/$B$4)</f>
        <v/>
      </c>
    </row>
    <row r="140">
      <c r="A140" s="10" t="n"/>
      <c r="B140" s="10" t="n"/>
      <c r="C140" s="11">
        <f>IF(A140="","",$B$5*TAN(RADIANS(A140)))</f>
        <v/>
      </c>
      <c r="D140" s="11">
        <f>IF(C140="","",C140*(1+B140/100))</f>
        <v/>
      </c>
      <c r="E140" s="11">
        <f>IF(A140="","",$B$6*TAN(RADIANS(A140)))</f>
        <v/>
      </c>
      <c r="G140" s="12">
        <f>IF(U140="","",T140)</f>
        <v/>
      </c>
      <c r="H140" s="12">
        <f>IF(U140="","",$E$4+V140*COS(RADIANS($E$8))-W140*SIN(RADIANS($E$8)))</f>
        <v/>
      </c>
      <c r="I140" s="12">
        <f>IF(U140="","",$E$5+V140*SIN(RADIANS($E$8))+W140*COS(RADIANS($E$8)))</f>
        <v/>
      </c>
      <c r="J140" s="12">
        <f>IF(H140="","",H140-$B$7)</f>
        <v/>
      </c>
      <c r="K140" s="12">
        <f>IF(I140="","",I140-$B$8)</f>
        <v/>
      </c>
      <c r="L140" s="12">
        <f>IFERROR(SQRT(J140^2+K140^2)*$B$4/1000,"")</f>
        <v/>
      </c>
      <c r="M140" s="12">
        <f>IF(OR($E$13&lt;&gt;"OK",L140=""),"",IF(L140&lt;=$D$19,$A$19,IF(L140&gt;=INDEX($D$19:$D$218,$E$12),INDEX($A$19:$A$218,$E$12),INDEX($A$19:$A$218,MATCH(L140,$D$19:INDEX($D$19:$D$218,$E$12),1))+(L140-INDEX($D$19:$D$218,MATCH(L140,$D$19:INDEX($D$19:$D$218,$E$12),1)))*(INDEX($A$19:$A$218,MATCH(L140,$D$19:INDEX($D$19:$D$218,$E$12),1)+1)-INDEX($A$19:$A$218,MATCH(L140,$D$19:INDEX($D$19:$D$218,$E$12),1)))/(INDEX($D$19:$D$218,MATCH(L140,$D$19:INDEX($D$19:$D$218,$E$12),1)+1)-INDEX($D$19:$D$218,MATCH(L140,$D$19:INDEX($D$19:$D$218,$E$12),1))))))</f>
        <v/>
      </c>
      <c r="N140" s="12">
        <f>IF(M140="","",$B$6*TAN(RADIANS(M140)))</f>
        <v/>
      </c>
      <c r="O140" s="12">
        <f>IF(N140="","",IF(L140=0,0,-N140*J140/SQRT(J140^2+K140^2)))</f>
        <v/>
      </c>
      <c r="P140" s="12">
        <f>IF(N140="","",IF(L140=0,0,N140*K140/SQRT(J140^2+K140^2)))</f>
        <v/>
      </c>
      <c r="Q140" s="12">
        <f>IF(N140="","",IF(N140=0,$B$7,$B$7-Y140*O140/N140))</f>
        <v/>
      </c>
      <c r="R140" s="12">
        <f>IF(N140="","",IF(N140=0,$B$8,$B$8+Y140*P140/N140))</f>
        <v/>
      </c>
      <c r="S140" s="12">
        <f>IFERROR(SQRT((Q140-H140)^2+(R140-I140)^2),"")</f>
        <v/>
      </c>
      <c r="T140">
        <f>113</f>
        <v/>
      </c>
      <c r="U140">
        <f>IF(T140&gt;4*$E$9,"",MIN(INT(T140/$E$9)+1,4))</f>
        <v/>
      </c>
      <c r="V140">
        <f>IF(T140=4*$E$9,-$E$6/2,IF(U140="","",CHOOSE(U140,-$E$6/2+MOD(T140,$E$9)/$E$9*$E$6,$E$6/2,$E$6/2-MOD(T140,$E$9)/$E$9*$E$6,-$E$6/2)))</f>
        <v/>
      </c>
      <c r="W140">
        <f>IF(T140=4*$E$9,-$E$7/2,IF(U140="","",CHOOSE(U140,-$E$7/2,-$E$7/2+MOD(T140,$E$9)/$E$9*$E$7,$E$7/2,$E$7/2-MOD(T140,$E$9)/$E$9*$E$7)))</f>
        <v/>
      </c>
      <c r="X140">
        <f>IF(OR($E$13&lt;&gt;"OK",M140=""),"",IF(M140&lt;=$A$19,$D$19,IF(M140&gt;=INDEX($A$19:$A$218,$E$12),INDEX($D$19:$D$218,$E$12),INDEX($D$19:$D$218,MATCH(M140,$A$19:INDEX($A$19:$A$218,$E$12),1))+(M140-INDEX($A$19:$A$218,MATCH(M140,$A$19:INDEX($A$19:$A$218,$E$12),1)))*(INDEX($D$19:$D$218,MATCH(M140,$A$19:INDEX($A$19:$A$218,$E$12),1)+1)-INDEX($D$19:$D$218,MATCH(M140,$A$19:INDEX($A$19:$A$218,$E$12),1)))/(INDEX($A$19:$A$218,MATCH(M140,$A$19:INDEX($A$19:$A$218,$E$12),1)+1)-INDEX($A$19:$A$218,MATCH(M140,$A$19:INDEX($A$19:$A$218,$E$12),1))))))</f>
        <v/>
      </c>
      <c r="Y140">
        <f>IF(X140="","",X140*1000/$B$4)</f>
        <v/>
      </c>
    </row>
    <row r="141">
      <c r="A141" s="10" t="n"/>
      <c r="B141" s="10" t="n"/>
      <c r="C141" s="11">
        <f>IF(A141="","",$B$5*TAN(RADIANS(A141)))</f>
        <v/>
      </c>
      <c r="D141" s="11">
        <f>IF(C141="","",C141*(1+B141/100))</f>
        <v/>
      </c>
      <c r="E141" s="11">
        <f>IF(A141="","",$B$6*TAN(RADIANS(A141)))</f>
        <v/>
      </c>
      <c r="G141" s="12">
        <f>IF(U141="","",T141)</f>
        <v/>
      </c>
      <c r="H141" s="12">
        <f>IF(U141="","",$E$4+V141*COS(RADIANS($E$8))-W141*SIN(RADIANS($E$8)))</f>
        <v/>
      </c>
      <c r="I141" s="12">
        <f>IF(U141="","",$E$5+V141*SIN(RADIANS($E$8))+W141*COS(RADIANS($E$8)))</f>
        <v/>
      </c>
      <c r="J141" s="12">
        <f>IF(H141="","",H141-$B$7)</f>
        <v/>
      </c>
      <c r="K141" s="12">
        <f>IF(I141="","",I141-$B$8)</f>
        <v/>
      </c>
      <c r="L141" s="12">
        <f>IFERROR(SQRT(J141^2+K141^2)*$B$4/1000,"")</f>
        <v/>
      </c>
      <c r="M141" s="12">
        <f>IF(OR($E$13&lt;&gt;"OK",L141=""),"",IF(L141&lt;=$D$19,$A$19,IF(L141&gt;=INDEX($D$19:$D$218,$E$12),INDEX($A$19:$A$218,$E$12),INDEX($A$19:$A$218,MATCH(L141,$D$19:INDEX($D$19:$D$218,$E$12),1))+(L141-INDEX($D$19:$D$218,MATCH(L141,$D$19:INDEX($D$19:$D$218,$E$12),1)))*(INDEX($A$19:$A$218,MATCH(L141,$D$19:INDEX($D$19:$D$218,$E$12),1)+1)-INDEX($A$19:$A$218,MATCH(L141,$D$19:INDEX($D$19:$D$218,$E$12),1)))/(INDEX($D$19:$D$218,MATCH(L141,$D$19:INDEX($D$19:$D$218,$E$12),1)+1)-INDEX($D$19:$D$218,MATCH(L141,$D$19:INDEX($D$19:$D$218,$E$12),1))))))</f>
        <v/>
      </c>
      <c r="N141" s="12">
        <f>IF(M141="","",$B$6*TAN(RADIANS(M141)))</f>
        <v/>
      </c>
      <c r="O141" s="12">
        <f>IF(N141="","",IF(L141=0,0,-N141*J141/SQRT(J141^2+K141^2)))</f>
        <v/>
      </c>
      <c r="P141" s="12">
        <f>IF(N141="","",IF(L141=0,0,N141*K141/SQRT(J141^2+K141^2)))</f>
        <v/>
      </c>
      <c r="Q141" s="12">
        <f>IF(N141="","",IF(N141=0,$B$7,$B$7-Y141*O141/N141))</f>
        <v/>
      </c>
      <c r="R141" s="12">
        <f>IF(N141="","",IF(N141=0,$B$8,$B$8+Y141*P141/N141))</f>
        <v/>
      </c>
      <c r="S141" s="12">
        <f>IFERROR(SQRT((Q141-H141)^2+(R141-I141)^2),"")</f>
        <v/>
      </c>
      <c r="T141">
        <f>114</f>
        <v/>
      </c>
      <c r="U141">
        <f>IF(T141&gt;4*$E$9,"",MIN(INT(T141/$E$9)+1,4))</f>
        <v/>
      </c>
      <c r="V141">
        <f>IF(T141=4*$E$9,-$E$6/2,IF(U141="","",CHOOSE(U141,-$E$6/2+MOD(T141,$E$9)/$E$9*$E$6,$E$6/2,$E$6/2-MOD(T141,$E$9)/$E$9*$E$6,-$E$6/2)))</f>
        <v/>
      </c>
      <c r="W141">
        <f>IF(T141=4*$E$9,-$E$7/2,IF(U141="","",CHOOSE(U141,-$E$7/2,-$E$7/2+MOD(T141,$E$9)/$E$9*$E$7,$E$7/2,$E$7/2-MOD(T141,$E$9)/$E$9*$E$7)))</f>
        <v/>
      </c>
      <c r="X141">
        <f>IF(OR($E$13&lt;&gt;"OK",M141=""),"",IF(M141&lt;=$A$19,$D$19,IF(M141&gt;=INDEX($A$19:$A$218,$E$12),INDEX($D$19:$D$218,$E$12),INDEX($D$19:$D$218,MATCH(M141,$A$19:INDEX($A$19:$A$218,$E$12),1))+(M141-INDEX($A$19:$A$218,MATCH(M141,$A$19:INDEX($A$19:$A$218,$E$12),1)))*(INDEX($D$19:$D$218,MATCH(M141,$A$19:INDEX($A$19:$A$218,$E$12),1)+1)-INDEX($D$19:$D$218,MATCH(M141,$A$19:INDEX($A$19:$A$218,$E$12),1)))/(INDEX($A$19:$A$218,MATCH(M141,$A$19:INDEX($A$19:$A$218,$E$12),1)+1)-INDEX($A$19:$A$218,MATCH(M141,$A$19:INDEX($A$19:$A$218,$E$12),1))))))</f>
        <v/>
      </c>
      <c r="Y141">
        <f>IF(X141="","",X141*1000/$B$4)</f>
        <v/>
      </c>
    </row>
    <row r="142">
      <c r="A142" s="10" t="n"/>
      <c r="B142" s="10" t="n"/>
      <c r="C142" s="11">
        <f>IF(A142="","",$B$5*TAN(RADIANS(A142)))</f>
        <v/>
      </c>
      <c r="D142" s="11">
        <f>IF(C142="","",C142*(1+B142/100))</f>
        <v/>
      </c>
      <c r="E142" s="11">
        <f>IF(A142="","",$B$6*TAN(RADIANS(A142)))</f>
        <v/>
      </c>
      <c r="G142" s="12">
        <f>IF(U142="","",T142)</f>
        <v/>
      </c>
      <c r="H142" s="12">
        <f>IF(U142="","",$E$4+V142*COS(RADIANS($E$8))-W142*SIN(RADIANS($E$8)))</f>
        <v/>
      </c>
      <c r="I142" s="12">
        <f>IF(U142="","",$E$5+V142*SIN(RADIANS($E$8))+W142*COS(RADIANS($E$8)))</f>
        <v/>
      </c>
      <c r="J142" s="12">
        <f>IF(H142="","",H142-$B$7)</f>
        <v/>
      </c>
      <c r="K142" s="12">
        <f>IF(I142="","",I142-$B$8)</f>
        <v/>
      </c>
      <c r="L142" s="12">
        <f>IFERROR(SQRT(J142^2+K142^2)*$B$4/1000,"")</f>
        <v/>
      </c>
      <c r="M142" s="12">
        <f>IF(OR($E$13&lt;&gt;"OK",L142=""),"",IF(L142&lt;=$D$19,$A$19,IF(L142&gt;=INDEX($D$19:$D$218,$E$12),INDEX($A$19:$A$218,$E$12),INDEX($A$19:$A$218,MATCH(L142,$D$19:INDEX($D$19:$D$218,$E$12),1))+(L142-INDEX($D$19:$D$218,MATCH(L142,$D$19:INDEX($D$19:$D$218,$E$12),1)))*(INDEX($A$19:$A$218,MATCH(L142,$D$19:INDEX($D$19:$D$218,$E$12),1)+1)-INDEX($A$19:$A$218,MATCH(L142,$D$19:INDEX($D$19:$D$218,$E$12),1)))/(INDEX($D$19:$D$218,MATCH(L142,$D$19:INDEX($D$19:$D$218,$E$12),1)+1)-INDEX($D$19:$D$218,MATCH(L142,$D$19:INDEX($D$19:$D$218,$E$12),1))))))</f>
        <v/>
      </c>
      <c r="N142" s="12">
        <f>IF(M142="","",$B$6*TAN(RADIANS(M142)))</f>
        <v/>
      </c>
      <c r="O142" s="12">
        <f>IF(N142="","",IF(L142=0,0,-N142*J142/SQRT(J142^2+K142^2)))</f>
        <v/>
      </c>
      <c r="P142" s="12">
        <f>IF(N142="","",IF(L142=0,0,N142*K142/SQRT(J142^2+K142^2)))</f>
        <v/>
      </c>
      <c r="Q142" s="12">
        <f>IF(N142="","",IF(N142=0,$B$7,$B$7-Y142*O142/N142))</f>
        <v/>
      </c>
      <c r="R142" s="12">
        <f>IF(N142="","",IF(N142=0,$B$8,$B$8+Y142*P142/N142))</f>
        <v/>
      </c>
      <c r="S142" s="12">
        <f>IFERROR(SQRT((Q142-H142)^2+(R142-I142)^2),"")</f>
        <v/>
      </c>
      <c r="T142">
        <f>115</f>
        <v/>
      </c>
      <c r="U142">
        <f>IF(T142&gt;4*$E$9,"",MIN(INT(T142/$E$9)+1,4))</f>
        <v/>
      </c>
      <c r="V142">
        <f>IF(T142=4*$E$9,-$E$6/2,IF(U142="","",CHOOSE(U142,-$E$6/2+MOD(T142,$E$9)/$E$9*$E$6,$E$6/2,$E$6/2-MOD(T142,$E$9)/$E$9*$E$6,-$E$6/2)))</f>
        <v/>
      </c>
      <c r="W142">
        <f>IF(T142=4*$E$9,-$E$7/2,IF(U142="","",CHOOSE(U142,-$E$7/2,-$E$7/2+MOD(T142,$E$9)/$E$9*$E$7,$E$7/2,$E$7/2-MOD(T142,$E$9)/$E$9*$E$7)))</f>
        <v/>
      </c>
      <c r="X142">
        <f>IF(OR($E$13&lt;&gt;"OK",M142=""),"",IF(M142&lt;=$A$19,$D$19,IF(M142&gt;=INDEX($A$19:$A$218,$E$12),INDEX($D$19:$D$218,$E$12),INDEX($D$19:$D$218,MATCH(M142,$A$19:INDEX($A$19:$A$218,$E$12),1))+(M142-INDEX($A$19:$A$218,MATCH(M142,$A$19:INDEX($A$19:$A$218,$E$12),1)))*(INDEX($D$19:$D$218,MATCH(M142,$A$19:INDEX($A$19:$A$218,$E$12),1)+1)-INDEX($D$19:$D$218,MATCH(M142,$A$19:INDEX($A$19:$A$218,$E$12),1)))/(INDEX($A$19:$A$218,MATCH(M142,$A$19:INDEX($A$19:$A$218,$E$12),1)+1)-INDEX($A$19:$A$218,MATCH(M142,$A$19:INDEX($A$19:$A$218,$E$12),1))))))</f>
        <v/>
      </c>
      <c r="Y142">
        <f>IF(X142="","",X142*1000/$B$4)</f>
        <v/>
      </c>
    </row>
    <row r="143">
      <c r="A143" s="10" t="n"/>
      <c r="B143" s="10" t="n"/>
      <c r="C143" s="11">
        <f>IF(A143="","",$B$5*TAN(RADIANS(A143)))</f>
        <v/>
      </c>
      <c r="D143" s="11">
        <f>IF(C143="","",C143*(1+B143/100))</f>
        <v/>
      </c>
      <c r="E143" s="11">
        <f>IF(A143="","",$B$6*TAN(RADIANS(A143)))</f>
        <v/>
      </c>
      <c r="G143" s="12">
        <f>IF(U143="","",T143)</f>
        <v/>
      </c>
      <c r="H143" s="12">
        <f>IF(U143="","",$E$4+V143*COS(RADIANS($E$8))-W143*SIN(RADIANS($E$8)))</f>
        <v/>
      </c>
      <c r="I143" s="12">
        <f>IF(U143="","",$E$5+V143*SIN(RADIANS($E$8))+W143*COS(RADIANS($E$8)))</f>
        <v/>
      </c>
      <c r="J143" s="12">
        <f>IF(H143="","",H143-$B$7)</f>
        <v/>
      </c>
      <c r="K143" s="12">
        <f>IF(I143="","",I143-$B$8)</f>
        <v/>
      </c>
      <c r="L143" s="12">
        <f>IFERROR(SQRT(J143^2+K143^2)*$B$4/1000,"")</f>
        <v/>
      </c>
      <c r="M143" s="12">
        <f>IF(OR($E$13&lt;&gt;"OK",L143=""),"",IF(L143&lt;=$D$19,$A$19,IF(L143&gt;=INDEX($D$19:$D$218,$E$12),INDEX($A$19:$A$218,$E$12),INDEX($A$19:$A$218,MATCH(L143,$D$19:INDEX($D$19:$D$218,$E$12),1))+(L143-INDEX($D$19:$D$218,MATCH(L143,$D$19:INDEX($D$19:$D$218,$E$12),1)))*(INDEX($A$19:$A$218,MATCH(L143,$D$19:INDEX($D$19:$D$218,$E$12),1)+1)-INDEX($A$19:$A$218,MATCH(L143,$D$19:INDEX($D$19:$D$218,$E$12),1)))/(INDEX($D$19:$D$218,MATCH(L143,$D$19:INDEX($D$19:$D$218,$E$12),1)+1)-INDEX($D$19:$D$218,MATCH(L143,$D$19:INDEX($D$19:$D$218,$E$12),1))))))</f>
        <v/>
      </c>
      <c r="N143" s="12">
        <f>IF(M143="","",$B$6*TAN(RADIANS(M143)))</f>
        <v/>
      </c>
      <c r="O143" s="12">
        <f>IF(N143="","",IF(L143=0,0,-N143*J143/SQRT(J143^2+K143^2)))</f>
        <v/>
      </c>
      <c r="P143" s="12">
        <f>IF(N143="","",IF(L143=0,0,N143*K143/SQRT(J143^2+K143^2)))</f>
        <v/>
      </c>
      <c r="Q143" s="12">
        <f>IF(N143="","",IF(N143=0,$B$7,$B$7-Y143*O143/N143))</f>
        <v/>
      </c>
      <c r="R143" s="12">
        <f>IF(N143="","",IF(N143=0,$B$8,$B$8+Y143*P143/N143))</f>
        <v/>
      </c>
      <c r="S143" s="12">
        <f>IFERROR(SQRT((Q143-H143)^2+(R143-I143)^2),"")</f>
        <v/>
      </c>
      <c r="T143">
        <f>116</f>
        <v/>
      </c>
      <c r="U143">
        <f>IF(T143&gt;4*$E$9,"",MIN(INT(T143/$E$9)+1,4))</f>
        <v/>
      </c>
      <c r="V143">
        <f>IF(T143=4*$E$9,-$E$6/2,IF(U143="","",CHOOSE(U143,-$E$6/2+MOD(T143,$E$9)/$E$9*$E$6,$E$6/2,$E$6/2-MOD(T143,$E$9)/$E$9*$E$6,-$E$6/2)))</f>
        <v/>
      </c>
      <c r="W143">
        <f>IF(T143=4*$E$9,-$E$7/2,IF(U143="","",CHOOSE(U143,-$E$7/2,-$E$7/2+MOD(T143,$E$9)/$E$9*$E$7,$E$7/2,$E$7/2-MOD(T143,$E$9)/$E$9*$E$7)))</f>
        <v/>
      </c>
      <c r="X143">
        <f>IF(OR($E$13&lt;&gt;"OK",M143=""),"",IF(M143&lt;=$A$19,$D$19,IF(M143&gt;=INDEX($A$19:$A$218,$E$12),INDEX($D$19:$D$218,$E$12),INDEX($D$19:$D$218,MATCH(M143,$A$19:INDEX($A$19:$A$218,$E$12),1))+(M143-INDEX($A$19:$A$218,MATCH(M143,$A$19:INDEX($A$19:$A$218,$E$12),1)))*(INDEX($D$19:$D$218,MATCH(M143,$A$19:INDEX($A$19:$A$218,$E$12),1)+1)-INDEX($D$19:$D$218,MATCH(M143,$A$19:INDEX($A$19:$A$218,$E$12),1)))/(INDEX($A$19:$A$218,MATCH(M143,$A$19:INDEX($A$19:$A$218,$E$12),1)+1)-INDEX($A$19:$A$218,MATCH(M143,$A$19:INDEX($A$19:$A$218,$E$12),1))))))</f>
        <v/>
      </c>
      <c r="Y143">
        <f>IF(X143="","",X143*1000/$B$4)</f>
        <v/>
      </c>
    </row>
    <row r="144">
      <c r="A144" s="10" t="n"/>
      <c r="B144" s="10" t="n"/>
      <c r="C144" s="11">
        <f>IF(A144="","",$B$5*TAN(RADIANS(A144)))</f>
        <v/>
      </c>
      <c r="D144" s="11">
        <f>IF(C144="","",C144*(1+B144/100))</f>
        <v/>
      </c>
      <c r="E144" s="11">
        <f>IF(A144="","",$B$6*TAN(RADIANS(A144)))</f>
        <v/>
      </c>
      <c r="G144" s="12">
        <f>IF(U144="","",T144)</f>
        <v/>
      </c>
      <c r="H144" s="12">
        <f>IF(U144="","",$E$4+V144*COS(RADIANS($E$8))-W144*SIN(RADIANS($E$8)))</f>
        <v/>
      </c>
      <c r="I144" s="12">
        <f>IF(U144="","",$E$5+V144*SIN(RADIANS($E$8))+W144*COS(RADIANS($E$8)))</f>
        <v/>
      </c>
      <c r="J144" s="12">
        <f>IF(H144="","",H144-$B$7)</f>
        <v/>
      </c>
      <c r="K144" s="12">
        <f>IF(I144="","",I144-$B$8)</f>
        <v/>
      </c>
      <c r="L144" s="12">
        <f>IFERROR(SQRT(J144^2+K144^2)*$B$4/1000,"")</f>
        <v/>
      </c>
      <c r="M144" s="12">
        <f>IF(OR($E$13&lt;&gt;"OK",L144=""),"",IF(L144&lt;=$D$19,$A$19,IF(L144&gt;=INDEX($D$19:$D$218,$E$12),INDEX($A$19:$A$218,$E$12),INDEX($A$19:$A$218,MATCH(L144,$D$19:INDEX($D$19:$D$218,$E$12),1))+(L144-INDEX($D$19:$D$218,MATCH(L144,$D$19:INDEX($D$19:$D$218,$E$12),1)))*(INDEX($A$19:$A$218,MATCH(L144,$D$19:INDEX($D$19:$D$218,$E$12),1)+1)-INDEX($A$19:$A$218,MATCH(L144,$D$19:INDEX($D$19:$D$218,$E$12),1)))/(INDEX($D$19:$D$218,MATCH(L144,$D$19:INDEX($D$19:$D$218,$E$12),1)+1)-INDEX($D$19:$D$218,MATCH(L144,$D$19:INDEX($D$19:$D$218,$E$12),1))))))</f>
        <v/>
      </c>
      <c r="N144" s="12">
        <f>IF(M144="","",$B$6*TAN(RADIANS(M144)))</f>
        <v/>
      </c>
      <c r="O144" s="12">
        <f>IF(N144="","",IF(L144=0,0,-N144*J144/SQRT(J144^2+K144^2)))</f>
        <v/>
      </c>
      <c r="P144" s="12">
        <f>IF(N144="","",IF(L144=0,0,N144*K144/SQRT(J144^2+K144^2)))</f>
        <v/>
      </c>
      <c r="Q144" s="12">
        <f>IF(N144="","",IF(N144=0,$B$7,$B$7-Y144*O144/N144))</f>
        <v/>
      </c>
      <c r="R144" s="12">
        <f>IF(N144="","",IF(N144=0,$B$8,$B$8+Y144*P144/N144))</f>
        <v/>
      </c>
      <c r="S144" s="12">
        <f>IFERROR(SQRT((Q144-H144)^2+(R144-I144)^2),"")</f>
        <v/>
      </c>
      <c r="T144">
        <f>117</f>
        <v/>
      </c>
      <c r="U144">
        <f>IF(T144&gt;4*$E$9,"",MIN(INT(T144/$E$9)+1,4))</f>
        <v/>
      </c>
      <c r="V144">
        <f>IF(T144=4*$E$9,-$E$6/2,IF(U144="","",CHOOSE(U144,-$E$6/2+MOD(T144,$E$9)/$E$9*$E$6,$E$6/2,$E$6/2-MOD(T144,$E$9)/$E$9*$E$6,-$E$6/2)))</f>
        <v/>
      </c>
      <c r="W144">
        <f>IF(T144=4*$E$9,-$E$7/2,IF(U144="","",CHOOSE(U144,-$E$7/2,-$E$7/2+MOD(T144,$E$9)/$E$9*$E$7,$E$7/2,$E$7/2-MOD(T144,$E$9)/$E$9*$E$7)))</f>
        <v/>
      </c>
      <c r="X144">
        <f>IF(OR($E$13&lt;&gt;"OK",M144=""),"",IF(M144&lt;=$A$19,$D$19,IF(M144&gt;=INDEX($A$19:$A$218,$E$12),INDEX($D$19:$D$218,$E$12),INDEX($D$19:$D$218,MATCH(M144,$A$19:INDEX($A$19:$A$218,$E$12),1))+(M144-INDEX($A$19:$A$218,MATCH(M144,$A$19:INDEX($A$19:$A$218,$E$12),1)))*(INDEX($D$19:$D$218,MATCH(M144,$A$19:INDEX($A$19:$A$218,$E$12),1)+1)-INDEX($D$19:$D$218,MATCH(M144,$A$19:INDEX($A$19:$A$218,$E$12),1)))/(INDEX($A$19:$A$218,MATCH(M144,$A$19:INDEX($A$19:$A$218,$E$12),1)+1)-INDEX($A$19:$A$218,MATCH(M144,$A$19:INDEX($A$19:$A$218,$E$12),1))))))</f>
        <v/>
      </c>
      <c r="Y144">
        <f>IF(X144="","",X144*1000/$B$4)</f>
        <v/>
      </c>
    </row>
    <row r="145">
      <c r="A145" s="10" t="n"/>
      <c r="B145" s="10" t="n"/>
      <c r="C145" s="11">
        <f>IF(A145="","",$B$5*TAN(RADIANS(A145)))</f>
        <v/>
      </c>
      <c r="D145" s="11">
        <f>IF(C145="","",C145*(1+B145/100))</f>
        <v/>
      </c>
      <c r="E145" s="11">
        <f>IF(A145="","",$B$6*TAN(RADIANS(A145)))</f>
        <v/>
      </c>
      <c r="G145" s="12">
        <f>IF(U145="","",T145)</f>
        <v/>
      </c>
      <c r="H145" s="12">
        <f>IF(U145="","",$E$4+V145*COS(RADIANS($E$8))-W145*SIN(RADIANS($E$8)))</f>
        <v/>
      </c>
      <c r="I145" s="12">
        <f>IF(U145="","",$E$5+V145*SIN(RADIANS($E$8))+W145*COS(RADIANS($E$8)))</f>
        <v/>
      </c>
      <c r="J145" s="12">
        <f>IF(H145="","",H145-$B$7)</f>
        <v/>
      </c>
      <c r="K145" s="12">
        <f>IF(I145="","",I145-$B$8)</f>
        <v/>
      </c>
      <c r="L145" s="12">
        <f>IFERROR(SQRT(J145^2+K145^2)*$B$4/1000,"")</f>
        <v/>
      </c>
      <c r="M145" s="12">
        <f>IF(OR($E$13&lt;&gt;"OK",L145=""),"",IF(L145&lt;=$D$19,$A$19,IF(L145&gt;=INDEX($D$19:$D$218,$E$12),INDEX($A$19:$A$218,$E$12),INDEX($A$19:$A$218,MATCH(L145,$D$19:INDEX($D$19:$D$218,$E$12),1))+(L145-INDEX($D$19:$D$218,MATCH(L145,$D$19:INDEX($D$19:$D$218,$E$12),1)))*(INDEX($A$19:$A$218,MATCH(L145,$D$19:INDEX($D$19:$D$218,$E$12),1)+1)-INDEX($A$19:$A$218,MATCH(L145,$D$19:INDEX($D$19:$D$218,$E$12),1)))/(INDEX($D$19:$D$218,MATCH(L145,$D$19:INDEX($D$19:$D$218,$E$12),1)+1)-INDEX($D$19:$D$218,MATCH(L145,$D$19:INDEX($D$19:$D$218,$E$12),1))))))</f>
        <v/>
      </c>
      <c r="N145" s="12">
        <f>IF(M145="","",$B$6*TAN(RADIANS(M145)))</f>
        <v/>
      </c>
      <c r="O145" s="12">
        <f>IF(N145="","",IF(L145=0,0,-N145*J145/SQRT(J145^2+K145^2)))</f>
        <v/>
      </c>
      <c r="P145" s="12">
        <f>IF(N145="","",IF(L145=0,0,N145*K145/SQRT(J145^2+K145^2)))</f>
        <v/>
      </c>
      <c r="Q145" s="12">
        <f>IF(N145="","",IF(N145=0,$B$7,$B$7-Y145*O145/N145))</f>
        <v/>
      </c>
      <c r="R145" s="12">
        <f>IF(N145="","",IF(N145=0,$B$8,$B$8+Y145*P145/N145))</f>
        <v/>
      </c>
      <c r="S145" s="12">
        <f>IFERROR(SQRT((Q145-H145)^2+(R145-I145)^2),"")</f>
        <v/>
      </c>
      <c r="T145">
        <f>118</f>
        <v/>
      </c>
      <c r="U145">
        <f>IF(T145&gt;4*$E$9,"",MIN(INT(T145/$E$9)+1,4))</f>
        <v/>
      </c>
      <c r="V145">
        <f>IF(T145=4*$E$9,-$E$6/2,IF(U145="","",CHOOSE(U145,-$E$6/2+MOD(T145,$E$9)/$E$9*$E$6,$E$6/2,$E$6/2-MOD(T145,$E$9)/$E$9*$E$6,-$E$6/2)))</f>
        <v/>
      </c>
      <c r="W145">
        <f>IF(T145=4*$E$9,-$E$7/2,IF(U145="","",CHOOSE(U145,-$E$7/2,-$E$7/2+MOD(T145,$E$9)/$E$9*$E$7,$E$7/2,$E$7/2-MOD(T145,$E$9)/$E$9*$E$7)))</f>
        <v/>
      </c>
      <c r="X145">
        <f>IF(OR($E$13&lt;&gt;"OK",M145=""),"",IF(M145&lt;=$A$19,$D$19,IF(M145&gt;=INDEX($A$19:$A$218,$E$12),INDEX($D$19:$D$218,$E$12),INDEX($D$19:$D$218,MATCH(M145,$A$19:INDEX($A$19:$A$218,$E$12),1))+(M145-INDEX($A$19:$A$218,MATCH(M145,$A$19:INDEX($A$19:$A$218,$E$12),1)))*(INDEX($D$19:$D$218,MATCH(M145,$A$19:INDEX($A$19:$A$218,$E$12),1)+1)-INDEX($D$19:$D$218,MATCH(M145,$A$19:INDEX($A$19:$A$218,$E$12),1)))/(INDEX($A$19:$A$218,MATCH(M145,$A$19:INDEX($A$19:$A$218,$E$12),1)+1)-INDEX($A$19:$A$218,MATCH(M145,$A$19:INDEX($A$19:$A$218,$E$12),1))))))</f>
        <v/>
      </c>
      <c r="Y145">
        <f>IF(X145="","",X145*1000/$B$4)</f>
        <v/>
      </c>
    </row>
    <row r="146">
      <c r="A146" s="10" t="n"/>
      <c r="B146" s="10" t="n"/>
      <c r="C146" s="11">
        <f>IF(A146="","",$B$5*TAN(RADIANS(A146)))</f>
        <v/>
      </c>
      <c r="D146" s="11">
        <f>IF(C146="","",C146*(1+B146/100))</f>
        <v/>
      </c>
      <c r="E146" s="11">
        <f>IF(A146="","",$B$6*TAN(RADIANS(A146)))</f>
        <v/>
      </c>
      <c r="G146" s="12">
        <f>IF(U146="","",T146)</f>
        <v/>
      </c>
      <c r="H146" s="12">
        <f>IF(U146="","",$E$4+V146*COS(RADIANS($E$8))-W146*SIN(RADIANS($E$8)))</f>
        <v/>
      </c>
      <c r="I146" s="12">
        <f>IF(U146="","",$E$5+V146*SIN(RADIANS($E$8))+W146*COS(RADIANS($E$8)))</f>
        <v/>
      </c>
      <c r="J146" s="12">
        <f>IF(H146="","",H146-$B$7)</f>
        <v/>
      </c>
      <c r="K146" s="12">
        <f>IF(I146="","",I146-$B$8)</f>
        <v/>
      </c>
      <c r="L146" s="12">
        <f>IFERROR(SQRT(J146^2+K146^2)*$B$4/1000,"")</f>
        <v/>
      </c>
      <c r="M146" s="12">
        <f>IF(OR($E$13&lt;&gt;"OK",L146=""),"",IF(L146&lt;=$D$19,$A$19,IF(L146&gt;=INDEX($D$19:$D$218,$E$12),INDEX($A$19:$A$218,$E$12),INDEX($A$19:$A$218,MATCH(L146,$D$19:INDEX($D$19:$D$218,$E$12),1))+(L146-INDEX($D$19:$D$218,MATCH(L146,$D$19:INDEX($D$19:$D$218,$E$12),1)))*(INDEX($A$19:$A$218,MATCH(L146,$D$19:INDEX($D$19:$D$218,$E$12),1)+1)-INDEX($A$19:$A$218,MATCH(L146,$D$19:INDEX($D$19:$D$218,$E$12),1)))/(INDEX($D$19:$D$218,MATCH(L146,$D$19:INDEX($D$19:$D$218,$E$12),1)+1)-INDEX($D$19:$D$218,MATCH(L146,$D$19:INDEX($D$19:$D$218,$E$12),1))))))</f>
        <v/>
      </c>
      <c r="N146" s="12">
        <f>IF(M146="","",$B$6*TAN(RADIANS(M146)))</f>
        <v/>
      </c>
      <c r="O146" s="12">
        <f>IF(N146="","",IF(L146=0,0,-N146*J146/SQRT(J146^2+K146^2)))</f>
        <v/>
      </c>
      <c r="P146" s="12">
        <f>IF(N146="","",IF(L146=0,0,N146*K146/SQRT(J146^2+K146^2)))</f>
        <v/>
      </c>
      <c r="Q146" s="12">
        <f>IF(N146="","",IF(N146=0,$B$7,$B$7-Y146*O146/N146))</f>
        <v/>
      </c>
      <c r="R146" s="12">
        <f>IF(N146="","",IF(N146=0,$B$8,$B$8+Y146*P146/N146))</f>
        <v/>
      </c>
      <c r="S146" s="12">
        <f>IFERROR(SQRT((Q146-H146)^2+(R146-I146)^2),"")</f>
        <v/>
      </c>
      <c r="T146">
        <f>119</f>
        <v/>
      </c>
      <c r="U146">
        <f>IF(T146&gt;4*$E$9,"",MIN(INT(T146/$E$9)+1,4))</f>
        <v/>
      </c>
      <c r="V146">
        <f>IF(T146=4*$E$9,-$E$6/2,IF(U146="","",CHOOSE(U146,-$E$6/2+MOD(T146,$E$9)/$E$9*$E$6,$E$6/2,$E$6/2-MOD(T146,$E$9)/$E$9*$E$6,-$E$6/2)))</f>
        <v/>
      </c>
      <c r="W146">
        <f>IF(T146=4*$E$9,-$E$7/2,IF(U146="","",CHOOSE(U146,-$E$7/2,-$E$7/2+MOD(T146,$E$9)/$E$9*$E$7,$E$7/2,$E$7/2-MOD(T146,$E$9)/$E$9*$E$7)))</f>
        <v/>
      </c>
      <c r="X146">
        <f>IF(OR($E$13&lt;&gt;"OK",M146=""),"",IF(M146&lt;=$A$19,$D$19,IF(M146&gt;=INDEX($A$19:$A$218,$E$12),INDEX($D$19:$D$218,$E$12),INDEX($D$19:$D$218,MATCH(M146,$A$19:INDEX($A$19:$A$218,$E$12),1))+(M146-INDEX($A$19:$A$218,MATCH(M146,$A$19:INDEX($A$19:$A$218,$E$12),1)))*(INDEX($D$19:$D$218,MATCH(M146,$A$19:INDEX($A$19:$A$218,$E$12),1)+1)-INDEX($D$19:$D$218,MATCH(M146,$A$19:INDEX($A$19:$A$218,$E$12),1)))/(INDEX($A$19:$A$218,MATCH(M146,$A$19:INDEX($A$19:$A$218,$E$12),1)+1)-INDEX($A$19:$A$218,MATCH(M146,$A$19:INDEX($A$19:$A$218,$E$12),1))))))</f>
        <v/>
      </c>
      <c r="Y146">
        <f>IF(X146="","",X146*1000/$B$4)</f>
        <v/>
      </c>
    </row>
    <row r="147">
      <c r="A147" s="10" t="n"/>
      <c r="B147" s="10" t="n"/>
      <c r="C147" s="11">
        <f>IF(A147="","",$B$5*TAN(RADIANS(A147)))</f>
        <v/>
      </c>
      <c r="D147" s="11">
        <f>IF(C147="","",C147*(1+B147/100))</f>
        <v/>
      </c>
      <c r="E147" s="11">
        <f>IF(A147="","",$B$6*TAN(RADIANS(A147)))</f>
        <v/>
      </c>
      <c r="G147" s="12">
        <f>IF(U147="","",T147)</f>
        <v/>
      </c>
      <c r="H147" s="12">
        <f>IF(U147="","",$E$4+V147*COS(RADIANS($E$8))-W147*SIN(RADIANS($E$8)))</f>
        <v/>
      </c>
      <c r="I147" s="12">
        <f>IF(U147="","",$E$5+V147*SIN(RADIANS($E$8))+W147*COS(RADIANS($E$8)))</f>
        <v/>
      </c>
      <c r="J147" s="12">
        <f>IF(H147="","",H147-$B$7)</f>
        <v/>
      </c>
      <c r="K147" s="12">
        <f>IF(I147="","",I147-$B$8)</f>
        <v/>
      </c>
      <c r="L147" s="12">
        <f>IFERROR(SQRT(J147^2+K147^2)*$B$4/1000,"")</f>
        <v/>
      </c>
      <c r="M147" s="12">
        <f>IF(OR($E$13&lt;&gt;"OK",L147=""),"",IF(L147&lt;=$D$19,$A$19,IF(L147&gt;=INDEX($D$19:$D$218,$E$12),INDEX($A$19:$A$218,$E$12),INDEX($A$19:$A$218,MATCH(L147,$D$19:INDEX($D$19:$D$218,$E$12),1))+(L147-INDEX($D$19:$D$218,MATCH(L147,$D$19:INDEX($D$19:$D$218,$E$12),1)))*(INDEX($A$19:$A$218,MATCH(L147,$D$19:INDEX($D$19:$D$218,$E$12),1)+1)-INDEX($A$19:$A$218,MATCH(L147,$D$19:INDEX($D$19:$D$218,$E$12),1)))/(INDEX($D$19:$D$218,MATCH(L147,$D$19:INDEX($D$19:$D$218,$E$12),1)+1)-INDEX($D$19:$D$218,MATCH(L147,$D$19:INDEX($D$19:$D$218,$E$12),1))))))</f>
        <v/>
      </c>
      <c r="N147" s="12">
        <f>IF(M147="","",$B$6*TAN(RADIANS(M147)))</f>
        <v/>
      </c>
      <c r="O147" s="12">
        <f>IF(N147="","",IF(L147=0,0,-N147*J147/SQRT(J147^2+K147^2)))</f>
        <v/>
      </c>
      <c r="P147" s="12">
        <f>IF(N147="","",IF(L147=0,0,N147*K147/SQRT(J147^2+K147^2)))</f>
        <v/>
      </c>
      <c r="Q147" s="12">
        <f>IF(N147="","",IF(N147=0,$B$7,$B$7-Y147*O147/N147))</f>
        <v/>
      </c>
      <c r="R147" s="12">
        <f>IF(N147="","",IF(N147=0,$B$8,$B$8+Y147*P147/N147))</f>
        <v/>
      </c>
      <c r="S147" s="12">
        <f>IFERROR(SQRT((Q147-H147)^2+(R147-I147)^2),"")</f>
        <v/>
      </c>
      <c r="T147">
        <f>120</f>
        <v/>
      </c>
      <c r="U147">
        <f>IF(T147&gt;4*$E$9,"",MIN(INT(T147/$E$9)+1,4))</f>
        <v/>
      </c>
      <c r="V147">
        <f>IF(T147=4*$E$9,-$E$6/2,IF(U147="","",CHOOSE(U147,-$E$6/2+MOD(T147,$E$9)/$E$9*$E$6,$E$6/2,$E$6/2-MOD(T147,$E$9)/$E$9*$E$6,-$E$6/2)))</f>
        <v/>
      </c>
      <c r="W147">
        <f>IF(T147=4*$E$9,-$E$7/2,IF(U147="","",CHOOSE(U147,-$E$7/2,-$E$7/2+MOD(T147,$E$9)/$E$9*$E$7,$E$7/2,$E$7/2-MOD(T147,$E$9)/$E$9*$E$7)))</f>
        <v/>
      </c>
      <c r="X147">
        <f>IF(OR($E$13&lt;&gt;"OK",M147=""),"",IF(M147&lt;=$A$19,$D$19,IF(M147&gt;=INDEX($A$19:$A$218,$E$12),INDEX($D$19:$D$218,$E$12),INDEX($D$19:$D$218,MATCH(M147,$A$19:INDEX($A$19:$A$218,$E$12),1))+(M147-INDEX($A$19:$A$218,MATCH(M147,$A$19:INDEX($A$19:$A$218,$E$12),1)))*(INDEX($D$19:$D$218,MATCH(M147,$A$19:INDEX($A$19:$A$218,$E$12),1)+1)-INDEX($D$19:$D$218,MATCH(M147,$A$19:INDEX($A$19:$A$218,$E$12),1)))/(INDEX($A$19:$A$218,MATCH(M147,$A$19:INDEX($A$19:$A$218,$E$12),1)+1)-INDEX($A$19:$A$218,MATCH(M147,$A$19:INDEX($A$19:$A$218,$E$12),1))))))</f>
        <v/>
      </c>
      <c r="Y147">
        <f>IF(X147="","",X147*1000/$B$4)</f>
        <v/>
      </c>
    </row>
    <row r="148">
      <c r="A148" s="10" t="n"/>
      <c r="B148" s="10" t="n"/>
      <c r="C148" s="11">
        <f>IF(A148="","",$B$5*TAN(RADIANS(A148)))</f>
        <v/>
      </c>
      <c r="D148" s="11">
        <f>IF(C148="","",C148*(1+B148/100))</f>
        <v/>
      </c>
      <c r="E148" s="11">
        <f>IF(A148="","",$B$6*TAN(RADIANS(A148)))</f>
        <v/>
      </c>
      <c r="G148" s="12">
        <f>IF(U148="","",T148)</f>
        <v/>
      </c>
      <c r="H148" s="12">
        <f>IF(U148="","",$E$4+V148*COS(RADIANS($E$8))-W148*SIN(RADIANS($E$8)))</f>
        <v/>
      </c>
      <c r="I148" s="12">
        <f>IF(U148="","",$E$5+V148*SIN(RADIANS($E$8))+W148*COS(RADIANS($E$8)))</f>
        <v/>
      </c>
      <c r="J148" s="12">
        <f>IF(H148="","",H148-$B$7)</f>
        <v/>
      </c>
      <c r="K148" s="12">
        <f>IF(I148="","",I148-$B$8)</f>
        <v/>
      </c>
      <c r="L148" s="12">
        <f>IFERROR(SQRT(J148^2+K148^2)*$B$4/1000,"")</f>
        <v/>
      </c>
      <c r="M148" s="12">
        <f>IF(OR($E$13&lt;&gt;"OK",L148=""),"",IF(L148&lt;=$D$19,$A$19,IF(L148&gt;=INDEX($D$19:$D$218,$E$12),INDEX($A$19:$A$218,$E$12),INDEX($A$19:$A$218,MATCH(L148,$D$19:INDEX($D$19:$D$218,$E$12),1))+(L148-INDEX($D$19:$D$218,MATCH(L148,$D$19:INDEX($D$19:$D$218,$E$12),1)))*(INDEX($A$19:$A$218,MATCH(L148,$D$19:INDEX($D$19:$D$218,$E$12),1)+1)-INDEX($A$19:$A$218,MATCH(L148,$D$19:INDEX($D$19:$D$218,$E$12),1)))/(INDEX($D$19:$D$218,MATCH(L148,$D$19:INDEX($D$19:$D$218,$E$12),1)+1)-INDEX($D$19:$D$218,MATCH(L148,$D$19:INDEX($D$19:$D$218,$E$12),1))))))</f>
        <v/>
      </c>
      <c r="N148" s="12">
        <f>IF(M148="","",$B$6*TAN(RADIANS(M148)))</f>
        <v/>
      </c>
      <c r="O148" s="12">
        <f>IF(N148="","",IF(L148=0,0,-N148*J148/SQRT(J148^2+K148^2)))</f>
        <v/>
      </c>
      <c r="P148" s="12">
        <f>IF(N148="","",IF(L148=0,0,N148*K148/SQRT(J148^2+K148^2)))</f>
        <v/>
      </c>
      <c r="Q148" s="12">
        <f>IF(N148="","",IF(N148=0,$B$7,$B$7-Y148*O148/N148))</f>
        <v/>
      </c>
      <c r="R148" s="12">
        <f>IF(N148="","",IF(N148=0,$B$8,$B$8+Y148*P148/N148))</f>
        <v/>
      </c>
      <c r="S148" s="12">
        <f>IFERROR(SQRT((Q148-H148)^2+(R148-I148)^2),"")</f>
        <v/>
      </c>
      <c r="T148">
        <f>121</f>
        <v/>
      </c>
      <c r="U148">
        <f>IF(T148&gt;4*$E$9,"",MIN(INT(T148/$E$9)+1,4))</f>
        <v/>
      </c>
      <c r="V148">
        <f>IF(T148=4*$E$9,-$E$6/2,IF(U148="","",CHOOSE(U148,-$E$6/2+MOD(T148,$E$9)/$E$9*$E$6,$E$6/2,$E$6/2-MOD(T148,$E$9)/$E$9*$E$6,-$E$6/2)))</f>
        <v/>
      </c>
      <c r="W148">
        <f>IF(T148=4*$E$9,-$E$7/2,IF(U148="","",CHOOSE(U148,-$E$7/2,-$E$7/2+MOD(T148,$E$9)/$E$9*$E$7,$E$7/2,$E$7/2-MOD(T148,$E$9)/$E$9*$E$7)))</f>
        <v/>
      </c>
      <c r="X148">
        <f>IF(OR($E$13&lt;&gt;"OK",M148=""),"",IF(M148&lt;=$A$19,$D$19,IF(M148&gt;=INDEX($A$19:$A$218,$E$12),INDEX($D$19:$D$218,$E$12),INDEX($D$19:$D$218,MATCH(M148,$A$19:INDEX($A$19:$A$218,$E$12),1))+(M148-INDEX($A$19:$A$218,MATCH(M148,$A$19:INDEX($A$19:$A$218,$E$12),1)))*(INDEX($D$19:$D$218,MATCH(M148,$A$19:INDEX($A$19:$A$218,$E$12),1)+1)-INDEX($D$19:$D$218,MATCH(M148,$A$19:INDEX($A$19:$A$218,$E$12),1)))/(INDEX($A$19:$A$218,MATCH(M148,$A$19:INDEX($A$19:$A$218,$E$12),1)+1)-INDEX($A$19:$A$218,MATCH(M148,$A$19:INDEX($A$19:$A$218,$E$12),1))))))</f>
        <v/>
      </c>
      <c r="Y148">
        <f>IF(X148="","",X148*1000/$B$4)</f>
        <v/>
      </c>
    </row>
    <row r="149">
      <c r="A149" s="10" t="n"/>
      <c r="B149" s="10" t="n"/>
      <c r="C149" s="11">
        <f>IF(A149="","",$B$5*TAN(RADIANS(A149)))</f>
        <v/>
      </c>
      <c r="D149" s="11">
        <f>IF(C149="","",C149*(1+B149/100))</f>
        <v/>
      </c>
      <c r="E149" s="11">
        <f>IF(A149="","",$B$6*TAN(RADIANS(A149)))</f>
        <v/>
      </c>
      <c r="G149" s="12">
        <f>IF(U149="","",T149)</f>
        <v/>
      </c>
      <c r="H149" s="12">
        <f>IF(U149="","",$E$4+V149*COS(RADIANS($E$8))-W149*SIN(RADIANS($E$8)))</f>
        <v/>
      </c>
      <c r="I149" s="12">
        <f>IF(U149="","",$E$5+V149*SIN(RADIANS($E$8))+W149*COS(RADIANS($E$8)))</f>
        <v/>
      </c>
      <c r="J149" s="12">
        <f>IF(H149="","",H149-$B$7)</f>
        <v/>
      </c>
      <c r="K149" s="12">
        <f>IF(I149="","",I149-$B$8)</f>
        <v/>
      </c>
      <c r="L149" s="12">
        <f>IFERROR(SQRT(J149^2+K149^2)*$B$4/1000,"")</f>
        <v/>
      </c>
      <c r="M149" s="12">
        <f>IF(OR($E$13&lt;&gt;"OK",L149=""),"",IF(L149&lt;=$D$19,$A$19,IF(L149&gt;=INDEX($D$19:$D$218,$E$12),INDEX($A$19:$A$218,$E$12),INDEX($A$19:$A$218,MATCH(L149,$D$19:INDEX($D$19:$D$218,$E$12),1))+(L149-INDEX($D$19:$D$218,MATCH(L149,$D$19:INDEX($D$19:$D$218,$E$12),1)))*(INDEX($A$19:$A$218,MATCH(L149,$D$19:INDEX($D$19:$D$218,$E$12),1)+1)-INDEX($A$19:$A$218,MATCH(L149,$D$19:INDEX($D$19:$D$218,$E$12),1)))/(INDEX($D$19:$D$218,MATCH(L149,$D$19:INDEX($D$19:$D$218,$E$12),1)+1)-INDEX($D$19:$D$218,MATCH(L149,$D$19:INDEX($D$19:$D$218,$E$12),1))))))</f>
        <v/>
      </c>
      <c r="N149" s="12">
        <f>IF(M149="","",$B$6*TAN(RADIANS(M149)))</f>
        <v/>
      </c>
      <c r="O149" s="12">
        <f>IF(N149="","",IF(L149=0,0,-N149*J149/SQRT(J149^2+K149^2)))</f>
        <v/>
      </c>
      <c r="P149" s="12">
        <f>IF(N149="","",IF(L149=0,0,N149*K149/SQRT(J149^2+K149^2)))</f>
        <v/>
      </c>
      <c r="Q149" s="12">
        <f>IF(N149="","",IF(N149=0,$B$7,$B$7-Y149*O149/N149))</f>
        <v/>
      </c>
      <c r="R149" s="12">
        <f>IF(N149="","",IF(N149=0,$B$8,$B$8+Y149*P149/N149))</f>
        <v/>
      </c>
      <c r="S149" s="12">
        <f>IFERROR(SQRT((Q149-H149)^2+(R149-I149)^2),"")</f>
        <v/>
      </c>
      <c r="T149">
        <f>122</f>
        <v/>
      </c>
      <c r="U149">
        <f>IF(T149&gt;4*$E$9,"",MIN(INT(T149/$E$9)+1,4))</f>
        <v/>
      </c>
      <c r="V149">
        <f>IF(T149=4*$E$9,-$E$6/2,IF(U149="","",CHOOSE(U149,-$E$6/2+MOD(T149,$E$9)/$E$9*$E$6,$E$6/2,$E$6/2-MOD(T149,$E$9)/$E$9*$E$6,-$E$6/2)))</f>
        <v/>
      </c>
      <c r="W149">
        <f>IF(T149=4*$E$9,-$E$7/2,IF(U149="","",CHOOSE(U149,-$E$7/2,-$E$7/2+MOD(T149,$E$9)/$E$9*$E$7,$E$7/2,$E$7/2-MOD(T149,$E$9)/$E$9*$E$7)))</f>
        <v/>
      </c>
      <c r="X149">
        <f>IF(OR($E$13&lt;&gt;"OK",M149=""),"",IF(M149&lt;=$A$19,$D$19,IF(M149&gt;=INDEX($A$19:$A$218,$E$12),INDEX($D$19:$D$218,$E$12),INDEX($D$19:$D$218,MATCH(M149,$A$19:INDEX($A$19:$A$218,$E$12),1))+(M149-INDEX($A$19:$A$218,MATCH(M149,$A$19:INDEX($A$19:$A$218,$E$12),1)))*(INDEX($D$19:$D$218,MATCH(M149,$A$19:INDEX($A$19:$A$218,$E$12),1)+1)-INDEX($D$19:$D$218,MATCH(M149,$A$19:INDEX($A$19:$A$218,$E$12),1)))/(INDEX($A$19:$A$218,MATCH(M149,$A$19:INDEX($A$19:$A$218,$E$12),1)+1)-INDEX($A$19:$A$218,MATCH(M149,$A$19:INDEX($A$19:$A$218,$E$12),1))))))</f>
        <v/>
      </c>
      <c r="Y149">
        <f>IF(X149="","",X149*1000/$B$4)</f>
        <v/>
      </c>
    </row>
    <row r="150">
      <c r="A150" s="10" t="n"/>
      <c r="B150" s="10" t="n"/>
      <c r="C150" s="11">
        <f>IF(A150="","",$B$5*TAN(RADIANS(A150)))</f>
        <v/>
      </c>
      <c r="D150" s="11">
        <f>IF(C150="","",C150*(1+B150/100))</f>
        <v/>
      </c>
      <c r="E150" s="11">
        <f>IF(A150="","",$B$6*TAN(RADIANS(A150)))</f>
        <v/>
      </c>
      <c r="G150" s="12">
        <f>IF(U150="","",T150)</f>
        <v/>
      </c>
      <c r="H150" s="12">
        <f>IF(U150="","",$E$4+V150*COS(RADIANS($E$8))-W150*SIN(RADIANS($E$8)))</f>
        <v/>
      </c>
      <c r="I150" s="12">
        <f>IF(U150="","",$E$5+V150*SIN(RADIANS($E$8))+W150*COS(RADIANS($E$8)))</f>
        <v/>
      </c>
      <c r="J150" s="12">
        <f>IF(H150="","",H150-$B$7)</f>
        <v/>
      </c>
      <c r="K150" s="12">
        <f>IF(I150="","",I150-$B$8)</f>
        <v/>
      </c>
      <c r="L150" s="12">
        <f>IFERROR(SQRT(J150^2+K150^2)*$B$4/1000,"")</f>
        <v/>
      </c>
      <c r="M150" s="12">
        <f>IF(OR($E$13&lt;&gt;"OK",L150=""),"",IF(L150&lt;=$D$19,$A$19,IF(L150&gt;=INDEX($D$19:$D$218,$E$12),INDEX($A$19:$A$218,$E$12),INDEX($A$19:$A$218,MATCH(L150,$D$19:INDEX($D$19:$D$218,$E$12),1))+(L150-INDEX($D$19:$D$218,MATCH(L150,$D$19:INDEX($D$19:$D$218,$E$12),1)))*(INDEX($A$19:$A$218,MATCH(L150,$D$19:INDEX($D$19:$D$218,$E$12),1)+1)-INDEX($A$19:$A$218,MATCH(L150,$D$19:INDEX($D$19:$D$218,$E$12),1)))/(INDEX($D$19:$D$218,MATCH(L150,$D$19:INDEX($D$19:$D$218,$E$12),1)+1)-INDEX($D$19:$D$218,MATCH(L150,$D$19:INDEX($D$19:$D$218,$E$12),1))))))</f>
        <v/>
      </c>
      <c r="N150" s="12">
        <f>IF(M150="","",$B$6*TAN(RADIANS(M150)))</f>
        <v/>
      </c>
      <c r="O150" s="12">
        <f>IF(N150="","",IF(L150=0,0,-N150*J150/SQRT(J150^2+K150^2)))</f>
        <v/>
      </c>
      <c r="P150" s="12">
        <f>IF(N150="","",IF(L150=0,0,N150*K150/SQRT(J150^2+K150^2)))</f>
        <v/>
      </c>
      <c r="Q150" s="12">
        <f>IF(N150="","",IF(N150=0,$B$7,$B$7-Y150*O150/N150))</f>
        <v/>
      </c>
      <c r="R150" s="12">
        <f>IF(N150="","",IF(N150=0,$B$8,$B$8+Y150*P150/N150))</f>
        <v/>
      </c>
      <c r="S150" s="12">
        <f>IFERROR(SQRT((Q150-H150)^2+(R150-I150)^2),"")</f>
        <v/>
      </c>
      <c r="T150">
        <f>123</f>
        <v/>
      </c>
      <c r="U150">
        <f>IF(T150&gt;4*$E$9,"",MIN(INT(T150/$E$9)+1,4))</f>
        <v/>
      </c>
      <c r="V150">
        <f>IF(T150=4*$E$9,-$E$6/2,IF(U150="","",CHOOSE(U150,-$E$6/2+MOD(T150,$E$9)/$E$9*$E$6,$E$6/2,$E$6/2-MOD(T150,$E$9)/$E$9*$E$6,-$E$6/2)))</f>
        <v/>
      </c>
      <c r="W150">
        <f>IF(T150=4*$E$9,-$E$7/2,IF(U150="","",CHOOSE(U150,-$E$7/2,-$E$7/2+MOD(T150,$E$9)/$E$9*$E$7,$E$7/2,$E$7/2-MOD(T150,$E$9)/$E$9*$E$7)))</f>
        <v/>
      </c>
      <c r="X150">
        <f>IF(OR($E$13&lt;&gt;"OK",M150=""),"",IF(M150&lt;=$A$19,$D$19,IF(M150&gt;=INDEX($A$19:$A$218,$E$12),INDEX($D$19:$D$218,$E$12),INDEX($D$19:$D$218,MATCH(M150,$A$19:INDEX($A$19:$A$218,$E$12),1))+(M150-INDEX($A$19:$A$218,MATCH(M150,$A$19:INDEX($A$19:$A$218,$E$12),1)))*(INDEX($D$19:$D$218,MATCH(M150,$A$19:INDEX($A$19:$A$218,$E$12),1)+1)-INDEX($D$19:$D$218,MATCH(M150,$A$19:INDEX($A$19:$A$218,$E$12),1)))/(INDEX($A$19:$A$218,MATCH(M150,$A$19:INDEX($A$19:$A$218,$E$12),1)+1)-INDEX($A$19:$A$218,MATCH(M150,$A$19:INDEX($A$19:$A$218,$E$12),1))))))</f>
        <v/>
      </c>
      <c r="Y150">
        <f>IF(X150="","",X150*1000/$B$4)</f>
        <v/>
      </c>
    </row>
    <row r="151">
      <c r="A151" s="10" t="n"/>
      <c r="B151" s="10" t="n"/>
      <c r="C151" s="11">
        <f>IF(A151="","",$B$5*TAN(RADIANS(A151)))</f>
        <v/>
      </c>
      <c r="D151" s="11">
        <f>IF(C151="","",C151*(1+B151/100))</f>
        <v/>
      </c>
      <c r="E151" s="11">
        <f>IF(A151="","",$B$6*TAN(RADIANS(A151)))</f>
        <v/>
      </c>
      <c r="G151" s="12">
        <f>IF(U151="","",T151)</f>
        <v/>
      </c>
      <c r="H151" s="12">
        <f>IF(U151="","",$E$4+V151*COS(RADIANS($E$8))-W151*SIN(RADIANS($E$8)))</f>
        <v/>
      </c>
      <c r="I151" s="12">
        <f>IF(U151="","",$E$5+V151*SIN(RADIANS($E$8))+W151*COS(RADIANS($E$8)))</f>
        <v/>
      </c>
      <c r="J151" s="12">
        <f>IF(H151="","",H151-$B$7)</f>
        <v/>
      </c>
      <c r="K151" s="12">
        <f>IF(I151="","",I151-$B$8)</f>
        <v/>
      </c>
      <c r="L151" s="12">
        <f>IFERROR(SQRT(J151^2+K151^2)*$B$4/1000,"")</f>
        <v/>
      </c>
      <c r="M151" s="12">
        <f>IF(OR($E$13&lt;&gt;"OK",L151=""),"",IF(L151&lt;=$D$19,$A$19,IF(L151&gt;=INDEX($D$19:$D$218,$E$12),INDEX($A$19:$A$218,$E$12),INDEX($A$19:$A$218,MATCH(L151,$D$19:INDEX($D$19:$D$218,$E$12),1))+(L151-INDEX($D$19:$D$218,MATCH(L151,$D$19:INDEX($D$19:$D$218,$E$12),1)))*(INDEX($A$19:$A$218,MATCH(L151,$D$19:INDEX($D$19:$D$218,$E$12),1)+1)-INDEX($A$19:$A$218,MATCH(L151,$D$19:INDEX($D$19:$D$218,$E$12),1)))/(INDEX($D$19:$D$218,MATCH(L151,$D$19:INDEX($D$19:$D$218,$E$12),1)+1)-INDEX($D$19:$D$218,MATCH(L151,$D$19:INDEX($D$19:$D$218,$E$12),1))))))</f>
        <v/>
      </c>
      <c r="N151" s="12">
        <f>IF(M151="","",$B$6*TAN(RADIANS(M151)))</f>
        <v/>
      </c>
      <c r="O151" s="12">
        <f>IF(N151="","",IF(L151=0,0,-N151*J151/SQRT(J151^2+K151^2)))</f>
        <v/>
      </c>
      <c r="P151" s="12">
        <f>IF(N151="","",IF(L151=0,0,N151*K151/SQRT(J151^2+K151^2)))</f>
        <v/>
      </c>
      <c r="Q151" s="12">
        <f>IF(N151="","",IF(N151=0,$B$7,$B$7-Y151*O151/N151))</f>
        <v/>
      </c>
      <c r="R151" s="12">
        <f>IF(N151="","",IF(N151=0,$B$8,$B$8+Y151*P151/N151))</f>
        <v/>
      </c>
      <c r="S151" s="12">
        <f>IFERROR(SQRT((Q151-H151)^2+(R151-I151)^2),"")</f>
        <v/>
      </c>
      <c r="T151">
        <f>124</f>
        <v/>
      </c>
      <c r="U151">
        <f>IF(T151&gt;4*$E$9,"",MIN(INT(T151/$E$9)+1,4))</f>
        <v/>
      </c>
      <c r="V151">
        <f>IF(T151=4*$E$9,-$E$6/2,IF(U151="","",CHOOSE(U151,-$E$6/2+MOD(T151,$E$9)/$E$9*$E$6,$E$6/2,$E$6/2-MOD(T151,$E$9)/$E$9*$E$6,-$E$6/2)))</f>
        <v/>
      </c>
      <c r="W151">
        <f>IF(T151=4*$E$9,-$E$7/2,IF(U151="","",CHOOSE(U151,-$E$7/2,-$E$7/2+MOD(T151,$E$9)/$E$9*$E$7,$E$7/2,$E$7/2-MOD(T151,$E$9)/$E$9*$E$7)))</f>
        <v/>
      </c>
      <c r="X151">
        <f>IF(OR($E$13&lt;&gt;"OK",M151=""),"",IF(M151&lt;=$A$19,$D$19,IF(M151&gt;=INDEX($A$19:$A$218,$E$12),INDEX($D$19:$D$218,$E$12),INDEX($D$19:$D$218,MATCH(M151,$A$19:INDEX($A$19:$A$218,$E$12),1))+(M151-INDEX($A$19:$A$218,MATCH(M151,$A$19:INDEX($A$19:$A$218,$E$12),1)))*(INDEX($D$19:$D$218,MATCH(M151,$A$19:INDEX($A$19:$A$218,$E$12),1)+1)-INDEX($D$19:$D$218,MATCH(M151,$A$19:INDEX($A$19:$A$218,$E$12),1)))/(INDEX($A$19:$A$218,MATCH(M151,$A$19:INDEX($A$19:$A$218,$E$12),1)+1)-INDEX($A$19:$A$218,MATCH(M151,$A$19:INDEX($A$19:$A$218,$E$12),1))))))</f>
        <v/>
      </c>
      <c r="Y151">
        <f>IF(X151="","",X151*1000/$B$4)</f>
        <v/>
      </c>
    </row>
    <row r="152">
      <c r="A152" s="10" t="n"/>
      <c r="B152" s="10" t="n"/>
      <c r="C152" s="11">
        <f>IF(A152="","",$B$5*TAN(RADIANS(A152)))</f>
        <v/>
      </c>
      <c r="D152" s="11">
        <f>IF(C152="","",C152*(1+B152/100))</f>
        <v/>
      </c>
      <c r="E152" s="11">
        <f>IF(A152="","",$B$6*TAN(RADIANS(A152)))</f>
        <v/>
      </c>
      <c r="G152" s="12">
        <f>IF(U152="","",T152)</f>
        <v/>
      </c>
      <c r="H152" s="12">
        <f>IF(U152="","",$E$4+V152*COS(RADIANS($E$8))-W152*SIN(RADIANS($E$8)))</f>
        <v/>
      </c>
      <c r="I152" s="12">
        <f>IF(U152="","",$E$5+V152*SIN(RADIANS($E$8))+W152*COS(RADIANS($E$8)))</f>
        <v/>
      </c>
      <c r="J152" s="12">
        <f>IF(H152="","",H152-$B$7)</f>
        <v/>
      </c>
      <c r="K152" s="12">
        <f>IF(I152="","",I152-$B$8)</f>
        <v/>
      </c>
      <c r="L152" s="12">
        <f>IFERROR(SQRT(J152^2+K152^2)*$B$4/1000,"")</f>
        <v/>
      </c>
      <c r="M152" s="12">
        <f>IF(OR($E$13&lt;&gt;"OK",L152=""),"",IF(L152&lt;=$D$19,$A$19,IF(L152&gt;=INDEX($D$19:$D$218,$E$12),INDEX($A$19:$A$218,$E$12),INDEX($A$19:$A$218,MATCH(L152,$D$19:INDEX($D$19:$D$218,$E$12),1))+(L152-INDEX($D$19:$D$218,MATCH(L152,$D$19:INDEX($D$19:$D$218,$E$12),1)))*(INDEX($A$19:$A$218,MATCH(L152,$D$19:INDEX($D$19:$D$218,$E$12),1)+1)-INDEX($A$19:$A$218,MATCH(L152,$D$19:INDEX($D$19:$D$218,$E$12),1)))/(INDEX($D$19:$D$218,MATCH(L152,$D$19:INDEX($D$19:$D$218,$E$12),1)+1)-INDEX($D$19:$D$218,MATCH(L152,$D$19:INDEX($D$19:$D$218,$E$12),1))))))</f>
        <v/>
      </c>
      <c r="N152" s="12">
        <f>IF(M152="","",$B$6*TAN(RADIANS(M152)))</f>
        <v/>
      </c>
      <c r="O152" s="12">
        <f>IF(N152="","",IF(L152=0,0,-N152*J152/SQRT(J152^2+K152^2)))</f>
        <v/>
      </c>
      <c r="P152" s="12">
        <f>IF(N152="","",IF(L152=0,0,N152*K152/SQRT(J152^2+K152^2)))</f>
        <v/>
      </c>
      <c r="Q152" s="12">
        <f>IF(N152="","",IF(N152=0,$B$7,$B$7-Y152*O152/N152))</f>
        <v/>
      </c>
      <c r="R152" s="12">
        <f>IF(N152="","",IF(N152=0,$B$8,$B$8+Y152*P152/N152))</f>
        <v/>
      </c>
      <c r="S152" s="12">
        <f>IFERROR(SQRT((Q152-H152)^2+(R152-I152)^2),"")</f>
        <v/>
      </c>
      <c r="T152">
        <f>125</f>
        <v/>
      </c>
      <c r="U152">
        <f>IF(T152&gt;4*$E$9,"",MIN(INT(T152/$E$9)+1,4))</f>
        <v/>
      </c>
      <c r="V152">
        <f>IF(T152=4*$E$9,-$E$6/2,IF(U152="","",CHOOSE(U152,-$E$6/2+MOD(T152,$E$9)/$E$9*$E$6,$E$6/2,$E$6/2-MOD(T152,$E$9)/$E$9*$E$6,-$E$6/2)))</f>
        <v/>
      </c>
      <c r="W152">
        <f>IF(T152=4*$E$9,-$E$7/2,IF(U152="","",CHOOSE(U152,-$E$7/2,-$E$7/2+MOD(T152,$E$9)/$E$9*$E$7,$E$7/2,$E$7/2-MOD(T152,$E$9)/$E$9*$E$7)))</f>
        <v/>
      </c>
      <c r="X152">
        <f>IF(OR($E$13&lt;&gt;"OK",M152=""),"",IF(M152&lt;=$A$19,$D$19,IF(M152&gt;=INDEX($A$19:$A$218,$E$12),INDEX($D$19:$D$218,$E$12),INDEX($D$19:$D$218,MATCH(M152,$A$19:INDEX($A$19:$A$218,$E$12),1))+(M152-INDEX($A$19:$A$218,MATCH(M152,$A$19:INDEX($A$19:$A$218,$E$12),1)))*(INDEX($D$19:$D$218,MATCH(M152,$A$19:INDEX($A$19:$A$218,$E$12),1)+1)-INDEX($D$19:$D$218,MATCH(M152,$A$19:INDEX($A$19:$A$218,$E$12),1)))/(INDEX($A$19:$A$218,MATCH(M152,$A$19:INDEX($A$19:$A$218,$E$12),1)+1)-INDEX($A$19:$A$218,MATCH(M152,$A$19:INDEX($A$19:$A$218,$E$12),1))))))</f>
        <v/>
      </c>
      <c r="Y152">
        <f>IF(X152="","",X152*1000/$B$4)</f>
        <v/>
      </c>
    </row>
    <row r="153">
      <c r="A153" s="10" t="n"/>
      <c r="B153" s="10" t="n"/>
      <c r="C153" s="11">
        <f>IF(A153="","",$B$5*TAN(RADIANS(A153)))</f>
        <v/>
      </c>
      <c r="D153" s="11">
        <f>IF(C153="","",C153*(1+B153/100))</f>
        <v/>
      </c>
      <c r="E153" s="11">
        <f>IF(A153="","",$B$6*TAN(RADIANS(A153)))</f>
        <v/>
      </c>
      <c r="G153" s="12">
        <f>IF(U153="","",T153)</f>
        <v/>
      </c>
      <c r="H153" s="12">
        <f>IF(U153="","",$E$4+V153*COS(RADIANS($E$8))-W153*SIN(RADIANS($E$8)))</f>
        <v/>
      </c>
      <c r="I153" s="12">
        <f>IF(U153="","",$E$5+V153*SIN(RADIANS($E$8))+W153*COS(RADIANS($E$8)))</f>
        <v/>
      </c>
      <c r="J153" s="12">
        <f>IF(H153="","",H153-$B$7)</f>
        <v/>
      </c>
      <c r="K153" s="12">
        <f>IF(I153="","",I153-$B$8)</f>
        <v/>
      </c>
      <c r="L153" s="12">
        <f>IFERROR(SQRT(J153^2+K153^2)*$B$4/1000,"")</f>
        <v/>
      </c>
      <c r="M153" s="12">
        <f>IF(OR($E$13&lt;&gt;"OK",L153=""),"",IF(L153&lt;=$D$19,$A$19,IF(L153&gt;=INDEX($D$19:$D$218,$E$12),INDEX($A$19:$A$218,$E$12),INDEX($A$19:$A$218,MATCH(L153,$D$19:INDEX($D$19:$D$218,$E$12),1))+(L153-INDEX($D$19:$D$218,MATCH(L153,$D$19:INDEX($D$19:$D$218,$E$12),1)))*(INDEX($A$19:$A$218,MATCH(L153,$D$19:INDEX($D$19:$D$218,$E$12),1)+1)-INDEX($A$19:$A$218,MATCH(L153,$D$19:INDEX($D$19:$D$218,$E$12),1)))/(INDEX($D$19:$D$218,MATCH(L153,$D$19:INDEX($D$19:$D$218,$E$12),1)+1)-INDEX($D$19:$D$218,MATCH(L153,$D$19:INDEX($D$19:$D$218,$E$12),1))))))</f>
        <v/>
      </c>
      <c r="N153" s="12">
        <f>IF(M153="","",$B$6*TAN(RADIANS(M153)))</f>
        <v/>
      </c>
      <c r="O153" s="12">
        <f>IF(N153="","",IF(L153=0,0,-N153*J153/SQRT(J153^2+K153^2)))</f>
        <v/>
      </c>
      <c r="P153" s="12">
        <f>IF(N153="","",IF(L153=0,0,N153*K153/SQRT(J153^2+K153^2)))</f>
        <v/>
      </c>
      <c r="Q153" s="12">
        <f>IF(N153="","",IF(N153=0,$B$7,$B$7-Y153*O153/N153))</f>
        <v/>
      </c>
      <c r="R153" s="12">
        <f>IF(N153="","",IF(N153=0,$B$8,$B$8+Y153*P153/N153))</f>
        <v/>
      </c>
      <c r="S153" s="12">
        <f>IFERROR(SQRT((Q153-H153)^2+(R153-I153)^2),"")</f>
        <v/>
      </c>
      <c r="T153">
        <f>126</f>
        <v/>
      </c>
      <c r="U153">
        <f>IF(T153&gt;4*$E$9,"",MIN(INT(T153/$E$9)+1,4))</f>
        <v/>
      </c>
      <c r="V153">
        <f>IF(T153=4*$E$9,-$E$6/2,IF(U153="","",CHOOSE(U153,-$E$6/2+MOD(T153,$E$9)/$E$9*$E$6,$E$6/2,$E$6/2-MOD(T153,$E$9)/$E$9*$E$6,-$E$6/2)))</f>
        <v/>
      </c>
      <c r="W153">
        <f>IF(T153=4*$E$9,-$E$7/2,IF(U153="","",CHOOSE(U153,-$E$7/2,-$E$7/2+MOD(T153,$E$9)/$E$9*$E$7,$E$7/2,$E$7/2-MOD(T153,$E$9)/$E$9*$E$7)))</f>
        <v/>
      </c>
      <c r="X153">
        <f>IF(OR($E$13&lt;&gt;"OK",M153=""),"",IF(M153&lt;=$A$19,$D$19,IF(M153&gt;=INDEX($A$19:$A$218,$E$12),INDEX($D$19:$D$218,$E$12),INDEX($D$19:$D$218,MATCH(M153,$A$19:INDEX($A$19:$A$218,$E$12),1))+(M153-INDEX($A$19:$A$218,MATCH(M153,$A$19:INDEX($A$19:$A$218,$E$12),1)))*(INDEX($D$19:$D$218,MATCH(M153,$A$19:INDEX($A$19:$A$218,$E$12),1)+1)-INDEX($D$19:$D$218,MATCH(M153,$A$19:INDEX($A$19:$A$218,$E$12),1)))/(INDEX($A$19:$A$218,MATCH(M153,$A$19:INDEX($A$19:$A$218,$E$12),1)+1)-INDEX($A$19:$A$218,MATCH(M153,$A$19:INDEX($A$19:$A$218,$E$12),1))))))</f>
        <v/>
      </c>
      <c r="Y153">
        <f>IF(X153="","",X153*1000/$B$4)</f>
        <v/>
      </c>
    </row>
    <row r="154">
      <c r="A154" s="10" t="n"/>
      <c r="B154" s="10" t="n"/>
      <c r="C154" s="11">
        <f>IF(A154="","",$B$5*TAN(RADIANS(A154)))</f>
        <v/>
      </c>
      <c r="D154" s="11">
        <f>IF(C154="","",C154*(1+B154/100))</f>
        <v/>
      </c>
      <c r="E154" s="11">
        <f>IF(A154="","",$B$6*TAN(RADIANS(A154)))</f>
        <v/>
      </c>
      <c r="G154" s="12">
        <f>IF(U154="","",T154)</f>
        <v/>
      </c>
      <c r="H154" s="12">
        <f>IF(U154="","",$E$4+V154*COS(RADIANS($E$8))-W154*SIN(RADIANS($E$8)))</f>
        <v/>
      </c>
      <c r="I154" s="12">
        <f>IF(U154="","",$E$5+V154*SIN(RADIANS($E$8))+W154*COS(RADIANS($E$8)))</f>
        <v/>
      </c>
      <c r="J154" s="12">
        <f>IF(H154="","",H154-$B$7)</f>
        <v/>
      </c>
      <c r="K154" s="12">
        <f>IF(I154="","",I154-$B$8)</f>
        <v/>
      </c>
      <c r="L154" s="12">
        <f>IFERROR(SQRT(J154^2+K154^2)*$B$4/1000,"")</f>
        <v/>
      </c>
      <c r="M154" s="12">
        <f>IF(OR($E$13&lt;&gt;"OK",L154=""),"",IF(L154&lt;=$D$19,$A$19,IF(L154&gt;=INDEX($D$19:$D$218,$E$12),INDEX($A$19:$A$218,$E$12),INDEX($A$19:$A$218,MATCH(L154,$D$19:INDEX($D$19:$D$218,$E$12),1))+(L154-INDEX($D$19:$D$218,MATCH(L154,$D$19:INDEX($D$19:$D$218,$E$12),1)))*(INDEX($A$19:$A$218,MATCH(L154,$D$19:INDEX($D$19:$D$218,$E$12),1)+1)-INDEX($A$19:$A$218,MATCH(L154,$D$19:INDEX($D$19:$D$218,$E$12),1)))/(INDEX($D$19:$D$218,MATCH(L154,$D$19:INDEX($D$19:$D$218,$E$12),1)+1)-INDEX($D$19:$D$218,MATCH(L154,$D$19:INDEX($D$19:$D$218,$E$12),1))))))</f>
        <v/>
      </c>
      <c r="N154" s="12">
        <f>IF(M154="","",$B$6*TAN(RADIANS(M154)))</f>
        <v/>
      </c>
      <c r="O154" s="12">
        <f>IF(N154="","",IF(L154=0,0,-N154*J154/SQRT(J154^2+K154^2)))</f>
        <v/>
      </c>
      <c r="P154" s="12">
        <f>IF(N154="","",IF(L154=0,0,N154*K154/SQRT(J154^2+K154^2)))</f>
        <v/>
      </c>
      <c r="Q154" s="12">
        <f>IF(N154="","",IF(N154=0,$B$7,$B$7-Y154*O154/N154))</f>
        <v/>
      </c>
      <c r="R154" s="12">
        <f>IF(N154="","",IF(N154=0,$B$8,$B$8+Y154*P154/N154))</f>
        <v/>
      </c>
      <c r="S154" s="12">
        <f>IFERROR(SQRT((Q154-H154)^2+(R154-I154)^2),"")</f>
        <v/>
      </c>
      <c r="T154">
        <f>127</f>
        <v/>
      </c>
      <c r="U154">
        <f>IF(T154&gt;4*$E$9,"",MIN(INT(T154/$E$9)+1,4))</f>
        <v/>
      </c>
      <c r="V154">
        <f>IF(T154=4*$E$9,-$E$6/2,IF(U154="","",CHOOSE(U154,-$E$6/2+MOD(T154,$E$9)/$E$9*$E$6,$E$6/2,$E$6/2-MOD(T154,$E$9)/$E$9*$E$6,-$E$6/2)))</f>
        <v/>
      </c>
      <c r="W154">
        <f>IF(T154=4*$E$9,-$E$7/2,IF(U154="","",CHOOSE(U154,-$E$7/2,-$E$7/2+MOD(T154,$E$9)/$E$9*$E$7,$E$7/2,$E$7/2-MOD(T154,$E$9)/$E$9*$E$7)))</f>
        <v/>
      </c>
      <c r="X154">
        <f>IF(OR($E$13&lt;&gt;"OK",M154=""),"",IF(M154&lt;=$A$19,$D$19,IF(M154&gt;=INDEX($A$19:$A$218,$E$12),INDEX($D$19:$D$218,$E$12),INDEX($D$19:$D$218,MATCH(M154,$A$19:INDEX($A$19:$A$218,$E$12),1))+(M154-INDEX($A$19:$A$218,MATCH(M154,$A$19:INDEX($A$19:$A$218,$E$12),1)))*(INDEX($D$19:$D$218,MATCH(M154,$A$19:INDEX($A$19:$A$218,$E$12),1)+1)-INDEX($D$19:$D$218,MATCH(M154,$A$19:INDEX($A$19:$A$218,$E$12),1)))/(INDEX($A$19:$A$218,MATCH(M154,$A$19:INDEX($A$19:$A$218,$E$12),1)+1)-INDEX($A$19:$A$218,MATCH(M154,$A$19:INDEX($A$19:$A$218,$E$12),1))))))</f>
        <v/>
      </c>
      <c r="Y154">
        <f>IF(X154="","",X154*1000/$B$4)</f>
        <v/>
      </c>
    </row>
    <row r="155">
      <c r="A155" s="10" t="n"/>
      <c r="B155" s="10" t="n"/>
      <c r="C155" s="11">
        <f>IF(A155="","",$B$5*TAN(RADIANS(A155)))</f>
        <v/>
      </c>
      <c r="D155" s="11">
        <f>IF(C155="","",C155*(1+B155/100))</f>
        <v/>
      </c>
      <c r="E155" s="11">
        <f>IF(A155="","",$B$6*TAN(RADIANS(A155)))</f>
        <v/>
      </c>
      <c r="G155" s="12">
        <f>IF(U155="","",T155)</f>
        <v/>
      </c>
      <c r="H155" s="12">
        <f>IF(U155="","",$E$4+V155*COS(RADIANS($E$8))-W155*SIN(RADIANS($E$8)))</f>
        <v/>
      </c>
      <c r="I155" s="12">
        <f>IF(U155="","",$E$5+V155*SIN(RADIANS($E$8))+W155*COS(RADIANS($E$8)))</f>
        <v/>
      </c>
      <c r="J155" s="12">
        <f>IF(H155="","",H155-$B$7)</f>
        <v/>
      </c>
      <c r="K155" s="12">
        <f>IF(I155="","",I155-$B$8)</f>
        <v/>
      </c>
      <c r="L155" s="12">
        <f>IFERROR(SQRT(J155^2+K155^2)*$B$4/1000,"")</f>
        <v/>
      </c>
      <c r="M155" s="12">
        <f>IF(OR($E$13&lt;&gt;"OK",L155=""),"",IF(L155&lt;=$D$19,$A$19,IF(L155&gt;=INDEX($D$19:$D$218,$E$12),INDEX($A$19:$A$218,$E$12),INDEX($A$19:$A$218,MATCH(L155,$D$19:INDEX($D$19:$D$218,$E$12),1))+(L155-INDEX($D$19:$D$218,MATCH(L155,$D$19:INDEX($D$19:$D$218,$E$12),1)))*(INDEX($A$19:$A$218,MATCH(L155,$D$19:INDEX($D$19:$D$218,$E$12),1)+1)-INDEX($A$19:$A$218,MATCH(L155,$D$19:INDEX($D$19:$D$218,$E$12),1)))/(INDEX($D$19:$D$218,MATCH(L155,$D$19:INDEX($D$19:$D$218,$E$12),1)+1)-INDEX($D$19:$D$218,MATCH(L155,$D$19:INDEX($D$19:$D$218,$E$12),1))))))</f>
        <v/>
      </c>
      <c r="N155" s="12">
        <f>IF(M155="","",$B$6*TAN(RADIANS(M155)))</f>
        <v/>
      </c>
      <c r="O155" s="12">
        <f>IF(N155="","",IF(L155=0,0,-N155*J155/SQRT(J155^2+K155^2)))</f>
        <v/>
      </c>
      <c r="P155" s="12">
        <f>IF(N155="","",IF(L155=0,0,N155*K155/SQRT(J155^2+K155^2)))</f>
        <v/>
      </c>
      <c r="Q155" s="12">
        <f>IF(N155="","",IF(N155=0,$B$7,$B$7-Y155*O155/N155))</f>
        <v/>
      </c>
      <c r="R155" s="12">
        <f>IF(N155="","",IF(N155=0,$B$8,$B$8+Y155*P155/N155))</f>
        <v/>
      </c>
      <c r="S155" s="12">
        <f>IFERROR(SQRT((Q155-H155)^2+(R155-I155)^2),"")</f>
        <v/>
      </c>
      <c r="T155">
        <f>128</f>
        <v/>
      </c>
      <c r="U155">
        <f>IF(T155&gt;4*$E$9,"",MIN(INT(T155/$E$9)+1,4))</f>
        <v/>
      </c>
      <c r="V155">
        <f>IF(T155=4*$E$9,-$E$6/2,IF(U155="","",CHOOSE(U155,-$E$6/2+MOD(T155,$E$9)/$E$9*$E$6,$E$6/2,$E$6/2-MOD(T155,$E$9)/$E$9*$E$6,-$E$6/2)))</f>
        <v/>
      </c>
      <c r="W155">
        <f>IF(T155=4*$E$9,-$E$7/2,IF(U155="","",CHOOSE(U155,-$E$7/2,-$E$7/2+MOD(T155,$E$9)/$E$9*$E$7,$E$7/2,$E$7/2-MOD(T155,$E$9)/$E$9*$E$7)))</f>
        <v/>
      </c>
      <c r="X155">
        <f>IF(OR($E$13&lt;&gt;"OK",M155=""),"",IF(M155&lt;=$A$19,$D$19,IF(M155&gt;=INDEX($A$19:$A$218,$E$12),INDEX($D$19:$D$218,$E$12),INDEX($D$19:$D$218,MATCH(M155,$A$19:INDEX($A$19:$A$218,$E$12),1))+(M155-INDEX($A$19:$A$218,MATCH(M155,$A$19:INDEX($A$19:$A$218,$E$12),1)))*(INDEX($D$19:$D$218,MATCH(M155,$A$19:INDEX($A$19:$A$218,$E$12),1)+1)-INDEX($D$19:$D$218,MATCH(M155,$A$19:INDEX($A$19:$A$218,$E$12),1)))/(INDEX($A$19:$A$218,MATCH(M155,$A$19:INDEX($A$19:$A$218,$E$12),1)+1)-INDEX($A$19:$A$218,MATCH(M155,$A$19:INDEX($A$19:$A$218,$E$12),1))))))</f>
        <v/>
      </c>
      <c r="Y155">
        <f>IF(X155="","",X155*1000/$B$4)</f>
        <v/>
      </c>
    </row>
    <row r="156">
      <c r="A156" s="10" t="n"/>
      <c r="B156" s="10" t="n"/>
      <c r="C156" s="11">
        <f>IF(A156="","",$B$5*TAN(RADIANS(A156)))</f>
        <v/>
      </c>
      <c r="D156" s="11">
        <f>IF(C156="","",C156*(1+B156/100))</f>
        <v/>
      </c>
      <c r="E156" s="11">
        <f>IF(A156="","",$B$6*TAN(RADIANS(A156)))</f>
        <v/>
      </c>
      <c r="G156" s="12">
        <f>IF(U156="","",T156)</f>
        <v/>
      </c>
      <c r="H156" s="12">
        <f>IF(U156="","",$E$4+V156*COS(RADIANS($E$8))-W156*SIN(RADIANS($E$8)))</f>
        <v/>
      </c>
      <c r="I156" s="12">
        <f>IF(U156="","",$E$5+V156*SIN(RADIANS($E$8))+W156*COS(RADIANS($E$8)))</f>
        <v/>
      </c>
      <c r="J156" s="12">
        <f>IF(H156="","",H156-$B$7)</f>
        <v/>
      </c>
      <c r="K156" s="12">
        <f>IF(I156="","",I156-$B$8)</f>
        <v/>
      </c>
      <c r="L156" s="12">
        <f>IFERROR(SQRT(J156^2+K156^2)*$B$4/1000,"")</f>
        <v/>
      </c>
      <c r="M156" s="12">
        <f>IF(OR($E$13&lt;&gt;"OK",L156=""),"",IF(L156&lt;=$D$19,$A$19,IF(L156&gt;=INDEX($D$19:$D$218,$E$12),INDEX($A$19:$A$218,$E$12),INDEX($A$19:$A$218,MATCH(L156,$D$19:INDEX($D$19:$D$218,$E$12),1))+(L156-INDEX($D$19:$D$218,MATCH(L156,$D$19:INDEX($D$19:$D$218,$E$12),1)))*(INDEX($A$19:$A$218,MATCH(L156,$D$19:INDEX($D$19:$D$218,$E$12),1)+1)-INDEX($A$19:$A$218,MATCH(L156,$D$19:INDEX($D$19:$D$218,$E$12),1)))/(INDEX($D$19:$D$218,MATCH(L156,$D$19:INDEX($D$19:$D$218,$E$12),1)+1)-INDEX($D$19:$D$218,MATCH(L156,$D$19:INDEX($D$19:$D$218,$E$12),1))))))</f>
        <v/>
      </c>
      <c r="N156" s="12">
        <f>IF(M156="","",$B$6*TAN(RADIANS(M156)))</f>
        <v/>
      </c>
      <c r="O156" s="12">
        <f>IF(N156="","",IF(L156=0,0,-N156*J156/SQRT(J156^2+K156^2)))</f>
        <v/>
      </c>
      <c r="P156" s="12">
        <f>IF(N156="","",IF(L156=0,0,N156*K156/SQRT(J156^2+K156^2)))</f>
        <v/>
      </c>
      <c r="Q156" s="12">
        <f>IF(N156="","",IF(N156=0,$B$7,$B$7-Y156*O156/N156))</f>
        <v/>
      </c>
      <c r="R156" s="12">
        <f>IF(N156="","",IF(N156=0,$B$8,$B$8+Y156*P156/N156))</f>
        <v/>
      </c>
      <c r="S156" s="12">
        <f>IFERROR(SQRT((Q156-H156)^2+(R156-I156)^2),"")</f>
        <v/>
      </c>
      <c r="T156">
        <f>129</f>
        <v/>
      </c>
      <c r="U156">
        <f>IF(T156&gt;4*$E$9,"",MIN(INT(T156/$E$9)+1,4))</f>
        <v/>
      </c>
      <c r="V156">
        <f>IF(T156=4*$E$9,-$E$6/2,IF(U156="","",CHOOSE(U156,-$E$6/2+MOD(T156,$E$9)/$E$9*$E$6,$E$6/2,$E$6/2-MOD(T156,$E$9)/$E$9*$E$6,-$E$6/2)))</f>
        <v/>
      </c>
      <c r="W156">
        <f>IF(T156=4*$E$9,-$E$7/2,IF(U156="","",CHOOSE(U156,-$E$7/2,-$E$7/2+MOD(T156,$E$9)/$E$9*$E$7,$E$7/2,$E$7/2-MOD(T156,$E$9)/$E$9*$E$7)))</f>
        <v/>
      </c>
      <c r="X156">
        <f>IF(OR($E$13&lt;&gt;"OK",M156=""),"",IF(M156&lt;=$A$19,$D$19,IF(M156&gt;=INDEX($A$19:$A$218,$E$12),INDEX($D$19:$D$218,$E$12),INDEX($D$19:$D$218,MATCH(M156,$A$19:INDEX($A$19:$A$218,$E$12),1))+(M156-INDEX($A$19:$A$218,MATCH(M156,$A$19:INDEX($A$19:$A$218,$E$12),1)))*(INDEX($D$19:$D$218,MATCH(M156,$A$19:INDEX($A$19:$A$218,$E$12),1)+1)-INDEX($D$19:$D$218,MATCH(M156,$A$19:INDEX($A$19:$A$218,$E$12),1)))/(INDEX($A$19:$A$218,MATCH(M156,$A$19:INDEX($A$19:$A$218,$E$12),1)+1)-INDEX($A$19:$A$218,MATCH(M156,$A$19:INDEX($A$19:$A$218,$E$12),1))))))</f>
        <v/>
      </c>
      <c r="Y156">
        <f>IF(X156="","",X156*1000/$B$4)</f>
        <v/>
      </c>
    </row>
    <row r="157">
      <c r="A157" s="10" t="n"/>
      <c r="B157" s="10" t="n"/>
      <c r="C157" s="11">
        <f>IF(A157="","",$B$5*TAN(RADIANS(A157)))</f>
        <v/>
      </c>
      <c r="D157" s="11">
        <f>IF(C157="","",C157*(1+B157/100))</f>
        <v/>
      </c>
      <c r="E157" s="11">
        <f>IF(A157="","",$B$6*TAN(RADIANS(A157)))</f>
        <v/>
      </c>
      <c r="G157" s="12">
        <f>IF(U157="","",T157)</f>
        <v/>
      </c>
      <c r="H157" s="12">
        <f>IF(U157="","",$E$4+V157*COS(RADIANS($E$8))-W157*SIN(RADIANS($E$8)))</f>
        <v/>
      </c>
      <c r="I157" s="12">
        <f>IF(U157="","",$E$5+V157*SIN(RADIANS($E$8))+W157*COS(RADIANS($E$8)))</f>
        <v/>
      </c>
      <c r="J157" s="12">
        <f>IF(H157="","",H157-$B$7)</f>
        <v/>
      </c>
      <c r="K157" s="12">
        <f>IF(I157="","",I157-$B$8)</f>
        <v/>
      </c>
      <c r="L157" s="12">
        <f>IFERROR(SQRT(J157^2+K157^2)*$B$4/1000,"")</f>
        <v/>
      </c>
      <c r="M157" s="12">
        <f>IF(OR($E$13&lt;&gt;"OK",L157=""),"",IF(L157&lt;=$D$19,$A$19,IF(L157&gt;=INDEX($D$19:$D$218,$E$12),INDEX($A$19:$A$218,$E$12),INDEX($A$19:$A$218,MATCH(L157,$D$19:INDEX($D$19:$D$218,$E$12),1))+(L157-INDEX($D$19:$D$218,MATCH(L157,$D$19:INDEX($D$19:$D$218,$E$12),1)))*(INDEX($A$19:$A$218,MATCH(L157,$D$19:INDEX($D$19:$D$218,$E$12),1)+1)-INDEX($A$19:$A$218,MATCH(L157,$D$19:INDEX($D$19:$D$218,$E$12),1)))/(INDEX($D$19:$D$218,MATCH(L157,$D$19:INDEX($D$19:$D$218,$E$12),1)+1)-INDEX($D$19:$D$218,MATCH(L157,$D$19:INDEX($D$19:$D$218,$E$12),1))))))</f>
        <v/>
      </c>
      <c r="N157" s="12">
        <f>IF(M157="","",$B$6*TAN(RADIANS(M157)))</f>
        <v/>
      </c>
      <c r="O157" s="12">
        <f>IF(N157="","",IF(L157=0,0,-N157*J157/SQRT(J157^2+K157^2)))</f>
        <v/>
      </c>
      <c r="P157" s="12">
        <f>IF(N157="","",IF(L157=0,0,N157*K157/SQRT(J157^2+K157^2)))</f>
        <v/>
      </c>
      <c r="Q157" s="12">
        <f>IF(N157="","",IF(N157=0,$B$7,$B$7-Y157*O157/N157))</f>
        <v/>
      </c>
      <c r="R157" s="12">
        <f>IF(N157="","",IF(N157=0,$B$8,$B$8+Y157*P157/N157))</f>
        <v/>
      </c>
      <c r="S157" s="12">
        <f>IFERROR(SQRT((Q157-H157)^2+(R157-I157)^2),"")</f>
        <v/>
      </c>
      <c r="T157">
        <f>130</f>
        <v/>
      </c>
      <c r="U157">
        <f>IF(T157&gt;4*$E$9,"",MIN(INT(T157/$E$9)+1,4))</f>
        <v/>
      </c>
      <c r="V157">
        <f>IF(T157=4*$E$9,-$E$6/2,IF(U157="","",CHOOSE(U157,-$E$6/2+MOD(T157,$E$9)/$E$9*$E$6,$E$6/2,$E$6/2-MOD(T157,$E$9)/$E$9*$E$6,-$E$6/2)))</f>
        <v/>
      </c>
      <c r="W157">
        <f>IF(T157=4*$E$9,-$E$7/2,IF(U157="","",CHOOSE(U157,-$E$7/2,-$E$7/2+MOD(T157,$E$9)/$E$9*$E$7,$E$7/2,$E$7/2-MOD(T157,$E$9)/$E$9*$E$7)))</f>
        <v/>
      </c>
      <c r="X157">
        <f>IF(OR($E$13&lt;&gt;"OK",M157=""),"",IF(M157&lt;=$A$19,$D$19,IF(M157&gt;=INDEX($A$19:$A$218,$E$12),INDEX($D$19:$D$218,$E$12),INDEX($D$19:$D$218,MATCH(M157,$A$19:INDEX($A$19:$A$218,$E$12),1))+(M157-INDEX($A$19:$A$218,MATCH(M157,$A$19:INDEX($A$19:$A$218,$E$12),1)))*(INDEX($D$19:$D$218,MATCH(M157,$A$19:INDEX($A$19:$A$218,$E$12),1)+1)-INDEX($D$19:$D$218,MATCH(M157,$A$19:INDEX($A$19:$A$218,$E$12),1)))/(INDEX($A$19:$A$218,MATCH(M157,$A$19:INDEX($A$19:$A$218,$E$12),1)+1)-INDEX($A$19:$A$218,MATCH(M157,$A$19:INDEX($A$19:$A$218,$E$12),1))))))</f>
        <v/>
      </c>
      <c r="Y157">
        <f>IF(X157="","",X157*1000/$B$4)</f>
        <v/>
      </c>
    </row>
    <row r="158">
      <c r="A158" s="10" t="n"/>
      <c r="B158" s="10" t="n"/>
      <c r="C158" s="11">
        <f>IF(A158="","",$B$5*TAN(RADIANS(A158)))</f>
        <v/>
      </c>
      <c r="D158" s="11">
        <f>IF(C158="","",C158*(1+B158/100))</f>
        <v/>
      </c>
      <c r="E158" s="11">
        <f>IF(A158="","",$B$6*TAN(RADIANS(A158)))</f>
        <v/>
      </c>
      <c r="G158" s="12">
        <f>IF(U158="","",T158)</f>
        <v/>
      </c>
      <c r="H158" s="12">
        <f>IF(U158="","",$E$4+V158*COS(RADIANS($E$8))-W158*SIN(RADIANS($E$8)))</f>
        <v/>
      </c>
      <c r="I158" s="12">
        <f>IF(U158="","",$E$5+V158*SIN(RADIANS($E$8))+W158*COS(RADIANS($E$8)))</f>
        <v/>
      </c>
      <c r="J158" s="12">
        <f>IF(H158="","",H158-$B$7)</f>
        <v/>
      </c>
      <c r="K158" s="12">
        <f>IF(I158="","",I158-$B$8)</f>
        <v/>
      </c>
      <c r="L158" s="12">
        <f>IFERROR(SQRT(J158^2+K158^2)*$B$4/1000,"")</f>
        <v/>
      </c>
      <c r="M158" s="12">
        <f>IF(OR($E$13&lt;&gt;"OK",L158=""),"",IF(L158&lt;=$D$19,$A$19,IF(L158&gt;=INDEX($D$19:$D$218,$E$12),INDEX($A$19:$A$218,$E$12),INDEX($A$19:$A$218,MATCH(L158,$D$19:INDEX($D$19:$D$218,$E$12),1))+(L158-INDEX($D$19:$D$218,MATCH(L158,$D$19:INDEX($D$19:$D$218,$E$12),1)))*(INDEX($A$19:$A$218,MATCH(L158,$D$19:INDEX($D$19:$D$218,$E$12),1)+1)-INDEX($A$19:$A$218,MATCH(L158,$D$19:INDEX($D$19:$D$218,$E$12),1)))/(INDEX($D$19:$D$218,MATCH(L158,$D$19:INDEX($D$19:$D$218,$E$12),1)+1)-INDEX($D$19:$D$218,MATCH(L158,$D$19:INDEX($D$19:$D$218,$E$12),1))))))</f>
        <v/>
      </c>
      <c r="N158" s="12">
        <f>IF(M158="","",$B$6*TAN(RADIANS(M158)))</f>
        <v/>
      </c>
      <c r="O158" s="12">
        <f>IF(N158="","",IF(L158=0,0,-N158*J158/SQRT(J158^2+K158^2)))</f>
        <v/>
      </c>
      <c r="P158" s="12">
        <f>IF(N158="","",IF(L158=0,0,N158*K158/SQRT(J158^2+K158^2)))</f>
        <v/>
      </c>
      <c r="Q158" s="12">
        <f>IF(N158="","",IF(N158=0,$B$7,$B$7-Y158*O158/N158))</f>
        <v/>
      </c>
      <c r="R158" s="12">
        <f>IF(N158="","",IF(N158=0,$B$8,$B$8+Y158*P158/N158))</f>
        <v/>
      </c>
      <c r="S158" s="12">
        <f>IFERROR(SQRT((Q158-H158)^2+(R158-I158)^2),"")</f>
        <v/>
      </c>
      <c r="T158">
        <f>131</f>
        <v/>
      </c>
      <c r="U158">
        <f>IF(T158&gt;4*$E$9,"",MIN(INT(T158/$E$9)+1,4))</f>
        <v/>
      </c>
      <c r="V158">
        <f>IF(T158=4*$E$9,-$E$6/2,IF(U158="","",CHOOSE(U158,-$E$6/2+MOD(T158,$E$9)/$E$9*$E$6,$E$6/2,$E$6/2-MOD(T158,$E$9)/$E$9*$E$6,-$E$6/2)))</f>
        <v/>
      </c>
      <c r="W158">
        <f>IF(T158=4*$E$9,-$E$7/2,IF(U158="","",CHOOSE(U158,-$E$7/2,-$E$7/2+MOD(T158,$E$9)/$E$9*$E$7,$E$7/2,$E$7/2-MOD(T158,$E$9)/$E$9*$E$7)))</f>
        <v/>
      </c>
      <c r="X158">
        <f>IF(OR($E$13&lt;&gt;"OK",M158=""),"",IF(M158&lt;=$A$19,$D$19,IF(M158&gt;=INDEX($A$19:$A$218,$E$12),INDEX($D$19:$D$218,$E$12),INDEX($D$19:$D$218,MATCH(M158,$A$19:INDEX($A$19:$A$218,$E$12),1))+(M158-INDEX($A$19:$A$218,MATCH(M158,$A$19:INDEX($A$19:$A$218,$E$12),1)))*(INDEX($D$19:$D$218,MATCH(M158,$A$19:INDEX($A$19:$A$218,$E$12),1)+1)-INDEX($D$19:$D$218,MATCH(M158,$A$19:INDEX($A$19:$A$218,$E$12),1)))/(INDEX($A$19:$A$218,MATCH(M158,$A$19:INDEX($A$19:$A$218,$E$12),1)+1)-INDEX($A$19:$A$218,MATCH(M158,$A$19:INDEX($A$19:$A$218,$E$12),1))))))</f>
        <v/>
      </c>
      <c r="Y158">
        <f>IF(X158="","",X158*1000/$B$4)</f>
        <v/>
      </c>
    </row>
    <row r="159">
      <c r="A159" s="10" t="n"/>
      <c r="B159" s="10" t="n"/>
      <c r="C159" s="11">
        <f>IF(A159="","",$B$5*TAN(RADIANS(A159)))</f>
        <v/>
      </c>
      <c r="D159" s="11">
        <f>IF(C159="","",C159*(1+B159/100))</f>
        <v/>
      </c>
      <c r="E159" s="11">
        <f>IF(A159="","",$B$6*TAN(RADIANS(A159)))</f>
        <v/>
      </c>
      <c r="G159" s="12">
        <f>IF(U159="","",T159)</f>
        <v/>
      </c>
      <c r="H159" s="12">
        <f>IF(U159="","",$E$4+V159*COS(RADIANS($E$8))-W159*SIN(RADIANS($E$8)))</f>
        <v/>
      </c>
      <c r="I159" s="12">
        <f>IF(U159="","",$E$5+V159*SIN(RADIANS($E$8))+W159*COS(RADIANS($E$8)))</f>
        <v/>
      </c>
      <c r="J159" s="12">
        <f>IF(H159="","",H159-$B$7)</f>
        <v/>
      </c>
      <c r="K159" s="12">
        <f>IF(I159="","",I159-$B$8)</f>
        <v/>
      </c>
      <c r="L159" s="12">
        <f>IFERROR(SQRT(J159^2+K159^2)*$B$4/1000,"")</f>
        <v/>
      </c>
      <c r="M159" s="12">
        <f>IF(OR($E$13&lt;&gt;"OK",L159=""),"",IF(L159&lt;=$D$19,$A$19,IF(L159&gt;=INDEX($D$19:$D$218,$E$12),INDEX($A$19:$A$218,$E$12),INDEX($A$19:$A$218,MATCH(L159,$D$19:INDEX($D$19:$D$218,$E$12),1))+(L159-INDEX($D$19:$D$218,MATCH(L159,$D$19:INDEX($D$19:$D$218,$E$12),1)))*(INDEX($A$19:$A$218,MATCH(L159,$D$19:INDEX($D$19:$D$218,$E$12),1)+1)-INDEX($A$19:$A$218,MATCH(L159,$D$19:INDEX($D$19:$D$218,$E$12),1)))/(INDEX($D$19:$D$218,MATCH(L159,$D$19:INDEX($D$19:$D$218,$E$12),1)+1)-INDEX($D$19:$D$218,MATCH(L159,$D$19:INDEX($D$19:$D$218,$E$12),1))))))</f>
        <v/>
      </c>
      <c r="N159" s="12">
        <f>IF(M159="","",$B$6*TAN(RADIANS(M159)))</f>
        <v/>
      </c>
      <c r="O159" s="12">
        <f>IF(N159="","",IF(L159=0,0,-N159*J159/SQRT(J159^2+K159^2)))</f>
        <v/>
      </c>
      <c r="P159" s="12">
        <f>IF(N159="","",IF(L159=0,0,N159*K159/SQRT(J159^2+K159^2)))</f>
        <v/>
      </c>
      <c r="Q159" s="12">
        <f>IF(N159="","",IF(N159=0,$B$7,$B$7-Y159*O159/N159))</f>
        <v/>
      </c>
      <c r="R159" s="12">
        <f>IF(N159="","",IF(N159=0,$B$8,$B$8+Y159*P159/N159))</f>
        <v/>
      </c>
      <c r="S159" s="12">
        <f>IFERROR(SQRT((Q159-H159)^2+(R159-I159)^2),"")</f>
        <v/>
      </c>
      <c r="T159">
        <f>132</f>
        <v/>
      </c>
      <c r="U159">
        <f>IF(T159&gt;4*$E$9,"",MIN(INT(T159/$E$9)+1,4))</f>
        <v/>
      </c>
      <c r="V159">
        <f>IF(T159=4*$E$9,-$E$6/2,IF(U159="","",CHOOSE(U159,-$E$6/2+MOD(T159,$E$9)/$E$9*$E$6,$E$6/2,$E$6/2-MOD(T159,$E$9)/$E$9*$E$6,-$E$6/2)))</f>
        <v/>
      </c>
      <c r="W159">
        <f>IF(T159=4*$E$9,-$E$7/2,IF(U159="","",CHOOSE(U159,-$E$7/2,-$E$7/2+MOD(T159,$E$9)/$E$9*$E$7,$E$7/2,$E$7/2-MOD(T159,$E$9)/$E$9*$E$7)))</f>
        <v/>
      </c>
      <c r="X159">
        <f>IF(OR($E$13&lt;&gt;"OK",M159=""),"",IF(M159&lt;=$A$19,$D$19,IF(M159&gt;=INDEX($A$19:$A$218,$E$12),INDEX($D$19:$D$218,$E$12),INDEX($D$19:$D$218,MATCH(M159,$A$19:INDEX($A$19:$A$218,$E$12),1))+(M159-INDEX($A$19:$A$218,MATCH(M159,$A$19:INDEX($A$19:$A$218,$E$12),1)))*(INDEX($D$19:$D$218,MATCH(M159,$A$19:INDEX($A$19:$A$218,$E$12),1)+1)-INDEX($D$19:$D$218,MATCH(M159,$A$19:INDEX($A$19:$A$218,$E$12),1)))/(INDEX($A$19:$A$218,MATCH(M159,$A$19:INDEX($A$19:$A$218,$E$12),1)+1)-INDEX($A$19:$A$218,MATCH(M159,$A$19:INDEX($A$19:$A$218,$E$12),1))))))</f>
        <v/>
      </c>
      <c r="Y159">
        <f>IF(X159="","",X159*1000/$B$4)</f>
        <v/>
      </c>
    </row>
    <row r="160">
      <c r="A160" s="10" t="n"/>
      <c r="B160" s="10" t="n"/>
      <c r="C160" s="11">
        <f>IF(A160="","",$B$5*TAN(RADIANS(A160)))</f>
        <v/>
      </c>
      <c r="D160" s="11">
        <f>IF(C160="","",C160*(1+B160/100))</f>
        <v/>
      </c>
      <c r="E160" s="11">
        <f>IF(A160="","",$B$6*TAN(RADIANS(A160)))</f>
        <v/>
      </c>
      <c r="G160" s="12">
        <f>IF(U160="","",T160)</f>
        <v/>
      </c>
      <c r="H160" s="12">
        <f>IF(U160="","",$E$4+V160*COS(RADIANS($E$8))-W160*SIN(RADIANS($E$8)))</f>
        <v/>
      </c>
      <c r="I160" s="12">
        <f>IF(U160="","",$E$5+V160*SIN(RADIANS($E$8))+W160*COS(RADIANS($E$8)))</f>
        <v/>
      </c>
      <c r="J160" s="12">
        <f>IF(H160="","",H160-$B$7)</f>
        <v/>
      </c>
      <c r="K160" s="12">
        <f>IF(I160="","",I160-$B$8)</f>
        <v/>
      </c>
      <c r="L160" s="12">
        <f>IFERROR(SQRT(J160^2+K160^2)*$B$4/1000,"")</f>
        <v/>
      </c>
      <c r="M160" s="12">
        <f>IF(OR($E$13&lt;&gt;"OK",L160=""),"",IF(L160&lt;=$D$19,$A$19,IF(L160&gt;=INDEX($D$19:$D$218,$E$12),INDEX($A$19:$A$218,$E$12),INDEX($A$19:$A$218,MATCH(L160,$D$19:INDEX($D$19:$D$218,$E$12),1))+(L160-INDEX($D$19:$D$218,MATCH(L160,$D$19:INDEX($D$19:$D$218,$E$12),1)))*(INDEX($A$19:$A$218,MATCH(L160,$D$19:INDEX($D$19:$D$218,$E$12),1)+1)-INDEX($A$19:$A$218,MATCH(L160,$D$19:INDEX($D$19:$D$218,$E$12),1)))/(INDEX($D$19:$D$218,MATCH(L160,$D$19:INDEX($D$19:$D$218,$E$12),1)+1)-INDEX($D$19:$D$218,MATCH(L160,$D$19:INDEX($D$19:$D$218,$E$12),1))))))</f>
        <v/>
      </c>
      <c r="N160" s="12">
        <f>IF(M160="","",$B$6*TAN(RADIANS(M160)))</f>
        <v/>
      </c>
      <c r="O160" s="12">
        <f>IF(N160="","",IF(L160=0,0,-N160*J160/SQRT(J160^2+K160^2)))</f>
        <v/>
      </c>
      <c r="P160" s="12">
        <f>IF(N160="","",IF(L160=0,0,N160*K160/SQRT(J160^2+K160^2)))</f>
        <v/>
      </c>
      <c r="Q160" s="12">
        <f>IF(N160="","",IF(N160=0,$B$7,$B$7-Y160*O160/N160))</f>
        <v/>
      </c>
      <c r="R160" s="12">
        <f>IF(N160="","",IF(N160=0,$B$8,$B$8+Y160*P160/N160))</f>
        <v/>
      </c>
      <c r="S160" s="12">
        <f>IFERROR(SQRT((Q160-H160)^2+(R160-I160)^2),"")</f>
        <v/>
      </c>
      <c r="T160">
        <f>133</f>
        <v/>
      </c>
      <c r="U160">
        <f>IF(T160&gt;4*$E$9,"",MIN(INT(T160/$E$9)+1,4))</f>
        <v/>
      </c>
      <c r="V160">
        <f>IF(T160=4*$E$9,-$E$6/2,IF(U160="","",CHOOSE(U160,-$E$6/2+MOD(T160,$E$9)/$E$9*$E$6,$E$6/2,$E$6/2-MOD(T160,$E$9)/$E$9*$E$6,-$E$6/2)))</f>
        <v/>
      </c>
      <c r="W160">
        <f>IF(T160=4*$E$9,-$E$7/2,IF(U160="","",CHOOSE(U160,-$E$7/2,-$E$7/2+MOD(T160,$E$9)/$E$9*$E$7,$E$7/2,$E$7/2-MOD(T160,$E$9)/$E$9*$E$7)))</f>
        <v/>
      </c>
      <c r="X160">
        <f>IF(OR($E$13&lt;&gt;"OK",M160=""),"",IF(M160&lt;=$A$19,$D$19,IF(M160&gt;=INDEX($A$19:$A$218,$E$12),INDEX($D$19:$D$218,$E$12),INDEX($D$19:$D$218,MATCH(M160,$A$19:INDEX($A$19:$A$218,$E$12),1))+(M160-INDEX($A$19:$A$218,MATCH(M160,$A$19:INDEX($A$19:$A$218,$E$12),1)))*(INDEX($D$19:$D$218,MATCH(M160,$A$19:INDEX($A$19:$A$218,$E$12),1)+1)-INDEX($D$19:$D$218,MATCH(M160,$A$19:INDEX($A$19:$A$218,$E$12),1)))/(INDEX($A$19:$A$218,MATCH(M160,$A$19:INDEX($A$19:$A$218,$E$12),1)+1)-INDEX($A$19:$A$218,MATCH(M160,$A$19:INDEX($A$19:$A$218,$E$12),1))))))</f>
        <v/>
      </c>
      <c r="Y160">
        <f>IF(X160="","",X160*1000/$B$4)</f>
        <v/>
      </c>
    </row>
    <row r="161">
      <c r="A161" s="10" t="n"/>
      <c r="B161" s="10" t="n"/>
      <c r="C161" s="11">
        <f>IF(A161="","",$B$5*TAN(RADIANS(A161)))</f>
        <v/>
      </c>
      <c r="D161" s="11">
        <f>IF(C161="","",C161*(1+B161/100))</f>
        <v/>
      </c>
      <c r="E161" s="11">
        <f>IF(A161="","",$B$6*TAN(RADIANS(A161)))</f>
        <v/>
      </c>
      <c r="G161" s="12">
        <f>IF(U161="","",T161)</f>
        <v/>
      </c>
      <c r="H161" s="12">
        <f>IF(U161="","",$E$4+V161*COS(RADIANS($E$8))-W161*SIN(RADIANS($E$8)))</f>
        <v/>
      </c>
      <c r="I161" s="12">
        <f>IF(U161="","",$E$5+V161*SIN(RADIANS($E$8))+W161*COS(RADIANS($E$8)))</f>
        <v/>
      </c>
      <c r="J161" s="12">
        <f>IF(H161="","",H161-$B$7)</f>
        <v/>
      </c>
      <c r="K161" s="12">
        <f>IF(I161="","",I161-$B$8)</f>
        <v/>
      </c>
      <c r="L161" s="12">
        <f>IFERROR(SQRT(J161^2+K161^2)*$B$4/1000,"")</f>
        <v/>
      </c>
      <c r="M161" s="12">
        <f>IF(OR($E$13&lt;&gt;"OK",L161=""),"",IF(L161&lt;=$D$19,$A$19,IF(L161&gt;=INDEX($D$19:$D$218,$E$12),INDEX($A$19:$A$218,$E$12),INDEX($A$19:$A$218,MATCH(L161,$D$19:INDEX($D$19:$D$218,$E$12),1))+(L161-INDEX($D$19:$D$218,MATCH(L161,$D$19:INDEX($D$19:$D$218,$E$12),1)))*(INDEX($A$19:$A$218,MATCH(L161,$D$19:INDEX($D$19:$D$218,$E$12),1)+1)-INDEX($A$19:$A$218,MATCH(L161,$D$19:INDEX($D$19:$D$218,$E$12),1)))/(INDEX($D$19:$D$218,MATCH(L161,$D$19:INDEX($D$19:$D$218,$E$12),1)+1)-INDEX($D$19:$D$218,MATCH(L161,$D$19:INDEX($D$19:$D$218,$E$12),1))))))</f>
        <v/>
      </c>
      <c r="N161" s="12">
        <f>IF(M161="","",$B$6*TAN(RADIANS(M161)))</f>
        <v/>
      </c>
      <c r="O161" s="12">
        <f>IF(N161="","",IF(L161=0,0,-N161*J161/SQRT(J161^2+K161^2)))</f>
        <v/>
      </c>
      <c r="P161" s="12">
        <f>IF(N161="","",IF(L161=0,0,N161*K161/SQRT(J161^2+K161^2)))</f>
        <v/>
      </c>
      <c r="Q161" s="12">
        <f>IF(N161="","",IF(N161=0,$B$7,$B$7-Y161*O161/N161))</f>
        <v/>
      </c>
      <c r="R161" s="12">
        <f>IF(N161="","",IF(N161=0,$B$8,$B$8+Y161*P161/N161))</f>
        <v/>
      </c>
      <c r="S161" s="12">
        <f>IFERROR(SQRT((Q161-H161)^2+(R161-I161)^2),"")</f>
        <v/>
      </c>
      <c r="T161">
        <f>134</f>
        <v/>
      </c>
      <c r="U161">
        <f>IF(T161&gt;4*$E$9,"",MIN(INT(T161/$E$9)+1,4))</f>
        <v/>
      </c>
      <c r="V161">
        <f>IF(T161=4*$E$9,-$E$6/2,IF(U161="","",CHOOSE(U161,-$E$6/2+MOD(T161,$E$9)/$E$9*$E$6,$E$6/2,$E$6/2-MOD(T161,$E$9)/$E$9*$E$6,-$E$6/2)))</f>
        <v/>
      </c>
      <c r="W161">
        <f>IF(T161=4*$E$9,-$E$7/2,IF(U161="","",CHOOSE(U161,-$E$7/2,-$E$7/2+MOD(T161,$E$9)/$E$9*$E$7,$E$7/2,$E$7/2-MOD(T161,$E$9)/$E$9*$E$7)))</f>
        <v/>
      </c>
      <c r="X161">
        <f>IF(OR($E$13&lt;&gt;"OK",M161=""),"",IF(M161&lt;=$A$19,$D$19,IF(M161&gt;=INDEX($A$19:$A$218,$E$12),INDEX($D$19:$D$218,$E$12),INDEX($D$19:$D$218,MATCH(M161,$A$19:INDEX($A$19:$A$218,$E$12),1))+(M161-INDEX($A$19:$A$218,MATCH(M161,$A$19:INDEX($A$19:$A$218,$E$12),1)))*(INDEX($D$19:$D$218,MATCH(M161,$A$19:INDEX($A$19:$A$218,$E$12),1)+1)-INDEX($D$19:$D$218,MATCH(M161,$A$19:INDEX($A$19:$A$218,$E$12),1)))/(INDEX($A$19:$A$218,MATCH(M161,$A$19:INDEX($A$19:$A$218,$E$12),1)+1)-INDEX($A$19:$A$218,MATCH(M161,$A$19:INDEX($A$19:$A$218,$E$12),1))))))</f>
        <v/>
      </c>
      <c r="Y161">
        <f>IF(X161="","",X161*1000/$B$4)</f>
        <v/>
      </c>
    </row>
    <row r="162">
      <c r="A162" s="10" t="n"/>
      <c r="B162" s="10" t="n"/>
      <c r="C162" s="11">
        <f>IF(A162="","",$B$5*TAN(RADIANS(A162)))</f>
        <v/>
      </c>
      <c r="D162" s="11">
        <f>IF(C162="","",C162*(1+B162/100))</f>
        <v/>
      </c>
      <c r="E162" s="11">
        <f>IF(A162="","",$B$6*TAN(RADIANS(A162)))</f>
        <v/>
      </c>
      <c r="G162" s="12">
        <f>IF(U162="","",T162)</f>
        <v/>
      </c>
      <c r="H162" s="12">
        <f>IF(U162="","",$E$4+V162*COS(RADIANS($E$8))-W162*SIN(RADIANS($E$8)))</f>
        <v/>
      </c>
      <c r="I162" s="12">
        <f>IF(U162="","",$E$5+V162*SIN(RADIANS($E$8))+W162*COS(RADIANS($E$8)))</f>
        <v/>
      </c>
      <c r="J162" s="12">
        <f>IF(H162="","",H162-$B$7)</f>
        <v/>
      </c>
      <c r="K162" s="12">
        <f>IF(I162="","",I162-$B$8)</f>
        <v/>
      </c>
      <c r="L162" s="12">
        <f>IFERROR(SQRT(J162^2+K162^2)*$B$4/1000,"")</f>
        <v/>
      </c>
      <c r="M162" s="12">
        <f>IF(OR($E$13&lt;&gt;"OK",L162=""),"",IF(L162&lt;=$D$19,$A$19,IF(L162&gt;=INDEX($D$19:$D$218,$E$12),INDEX($A$19:$A$218,$E$12),INDEX($A$19:$A$218,MATCH(L162,$D$19:INDEX($D$19:$D$218,$E$12),1))+(L162-INDEX($D$19:$D$218,MATCH(L162,$D$19:INDEX($D$19:$D$218,$E$12),1)))*(INDEX($A$19:$A$218,MATCH(L162,$D$19:INDEX($D$19:$D$218,$E$12),1)+1)-INDEX($A$19:$A$218,MATCH(L162,$D$19:INDEX($D$19:$D$218,$E$12),1)))/(INDEX($D$19:$D$218,MATCH(L162,$D$19:INDEX($D$19:$D$218,$E$12),1)+1)-INDEX($D$19:$D$218,MATCH(L162,$D$19:INDEX($D$19:$D$218,$E$12),1))))))</f>
        <v/>
      </c>
      <c r="N162" s="12">
        <f>IF(M162="","",$B$6*TAN(RADIANS(M162)))</f>
        <v/>
      </c>
      <c r="O162" s="12">
        <f>IF(N162="","",IF(L162=0,0,-N162*J162/SQRT(J162^2+K162^2)))</f>
        <v/>
      </c>
      <c r="P162" s="12">
        <f>IF(N162="","",IF(L162=0,0,N162*K162/SQRT(J162^2+K162^2)))</f>
        <v/>
      </c>
      <c r="Q162" s="12">
        <f>IF(N162="","",IF(N162=0,$B$7,$B$7-Y162*O162/N162))</f>
        <v/>
      </c>
      <c r="R162" s="12">
        <f>IF(N162="","",IF(N162=0,$B$8,$B$8+Y162*P162/N162))</f>
        <v/>
      </c>
      <c r="S162" s="12">
        <f>IFERROR(SQRT((Q162-H162)^2+(R162-I162)^2),"")</f>
        <v/>
      </c>
      <c r="T162">
        <f>135</f>
        <v/>
      </c>
      <c r="U162">
        <f>IF(T162&gt;4*$E$9,"",MIN(INT(T162/$E$9)+1,4))</f>
        <v/>
      </c>
      <c r="V162">
        <f>IF(T162=4*$E$9,-$E$6/2,IF(U162="","",CHOOSE(U162,-$E$6/2+MOD(T162,$E$9)/$E$9*$E$6,$E$6/2,$E$6/2-MOD(T162,$E$9)/$E$9*$E$6,-$E$6/2)))</f>
        <v/>
      </c>
      <c r="W162">
        <f>IF(T162=4*$E$9,-$E$7/2,IF(U162="","",CHOOSE(U162,-$E$7/2,-$E$7/2+MOD(T162,$E$9)/$E$9*$E$7,$E$7/2,$E$7/2-MOD(T162,$E$9)/$E$9*$E$7)))</f>
        <v/>
      </c>
      <c r="X162">
        <f>IF(OR($E$13&lt;&gt;"OK",M162=""),"",IF(M162&lt;=$A$19,$D$19,IF(M162&gt;=INDEX($A$19:$A$218,$E$12),INDEX($D$19:$D$218,$E$12),INDEX($D$19:$D$218,MATCH(M162,$A$19:INDEX($A$19:$A$218,$E$12),1))+(M162-INDEX($A$19:$A$218,MATCH(M162,$A$19:INDEX($A$19:$A$218,$E$12),1)))*(INDEX($D$19:$D$218,MATCH(M162,$A$19:INDEX($A$19:$A$218,$E$12),1)+1)-INDEX($D$19:$D$218,MATCH(M162,$A$19:INDEX($A$19:$A$218,$E$12),1)))/(INDEX($A$19:$A$218,MATCH(M162,$A$19:INDEX($A$19:$A$218,$E$12),1)+1)-INDEX($A$19:$A$218,MATCH(M162,$A$19:INDEX($A$19:$A$218,$E$12),1))))))</f>
        <v/>
      </c>
      <c r="Y162">
        <f>IF(X162="","",X162*1000/$B$4)</f>
        <v/>
      </c>
    </row>
    <row r="163">
      <c r="A163" s="10" t="n"/>
      <c r="B163" s="10" t="n"/>
      <c r="C163" s="11">
        <f>IF(A163="","",$B$5*TAN(RADIANS(A163)))</f>
        <v/>
      </c>
      <c r="D163" s="11">
        <f>IF(C163="","",C163*(1+B163/100))</f>
        <v/>
      </c>
      <c r="E163" s="11">
        <f>IF(A163="","",$B$6*TAN(RADIANS(A163)))</f>
        <v/>
      </c>
      <c r="G163" s="12">
        <f>IF(U163="","",T163)</f>
        <v/>
      </c>
      <c r="H163" s="12">
        <f>IF(U163="","",$E$4+V163*COS(RADIANS($E$8))-W163*SIN(RADIANS($E$8)))</f>
        <v/>
      </c>
      <c r="I163" s="12">
        <f>IF(U163="","",$E$5+V163*SIN(RADIANS($E$8))+W163*COS(RADIANS($E$8)))</f>
        <v/>
      </c>
      <c r="J163" s="12">
        <f>IF(H163="","",H163-$B$7)</f>
        <v/>
      </c>
      <c r="K163" s="12">
        <f>IF(I163="","",I163-$B$8)</f>
        <v/>
      </c>
      <c r="L163" s="12">
        <f>IFERROR(SQRT(J163^2+K163^2)*$B$4/1000,"")</f>
        <v/>
      </c>
      <c r="M163" s="12">
        <f>IF(OR($E$13&lt;&gt;"OK",L163=""),"",IF(L163&lt;=$D$19,$A$19,IF(L163&gt;=INDEX($D$19:$D$218,$E$12),INDEX($A$19:$A$218,$E$12),INDEX($A$19:$A$218,MATCH(L163,$D$19:INDEX($D$19:$D$218,$E$12),1))+(L163-INDEX($D$19:$D$218,MATCH(L163,$D$19:INDEX($D$19:$D$218,$E$12),1)))*(INDEX($A$19:$A$218,MATCH(L163,$D$19:INDEX($D$19:$D$218,$E$12),1)+1)-INDEX($A$19:$A$218,MATCH(L163,$D$19:INDEX($D$19:$D$218,$E$12),1)))/(INDEX($D$19:$D$218,MATCH(L163,$D$19:INDEX($D$19:$D$218,$E$12),1)+1)-INDEX($D$19:$D$218,MATCH(L163,$D$19:INDEX($D$19:$D$218,$E$12),1))))))</f>
        <v/>
      </c>
      <c r="N163" s="12">
        <f>IF(M163="","",$B$6*TAN(RADIANS(M163)))</f>
        <v/>
      </c>
      <c r="O163" s="12">
        <f>IF(N163="","",IF(L163=0,0,-N163*J163/SQRT(J163^2+K163^2)))</f>
        <v/>
      </c>
      <c r="P163" s="12">
        <f>IF(N163="","",IF(L163=0,0,N163*K163/SQRT(J163^2+K163^2)))</f>
        <v/>
      </c>
      <c r="Q163" s="12">
        <f>IF(N163="","",IF(N163=0,$B$7,$B$7-Y163*O163/N163))</f>
        <v/>
      </c>
      <c r="R163" s="12">
        <f>IF(N163="","",IF(N163=0,$B$8,$B$8+Y163*P163/N163))</f>
        <v/>
      </c>
      <c r="S163" s="12">
        <f>IFERROR(SQRT((Q163-H163)^2+(R163-I163)^2),"")</f>
        <v/>
      </c>
      <c r="T163">
        <f>136</f>
        <v/>
      </c>
      <c r="U163">
        <f>IF(T163&gt;4*$E$9,"",MIN(INT(T163/$E$9)+1,4))</f>
        <v/>
      </c>
      <c r="V163">
        <f>IF(T163=4*$E$9,-$E$6/2,IF(U163="","",CHOOSE(U163,-$E$6/2+MOD(T163,$E$9)/$E$9*$E$6,$E$6/2,$E$6/2-MOD(T163,$E$9)/$E$9*$E$6,-$E$6/2)))</f>
        <v/>
      </c>
      <c r="W163">
        <f>IF(T163=4*$E$9,-$E$7/2,IF(U163="","",CHOOSE(U163,-$E$7/2,-$E$7/2+MOD(T163,$E$9)/$E$9*$E$7,$E$7/2,$E$7/2-MOD(T163,$E$9)/$E$9*$E$7)))</f>
        <v/>
      </c>
      <c r="X163">
        <f>IF(OR($E$13&lt;&gt;"OK",M163=""),"",IF(M163&lt;=$A$19,$D$19,IF(M163&gt;=INDEX($A$19:$A$218,$E$12),INDEX($D$19:$D$218,$E$12),INDEX($D$19:$D$218,MATCH(M163,$A$19:INDEX($A$19:$A$218,$E$12),1))+(M163-INDEX($A$19:$A$218,MATCH(M163,$A$19:INDEX($A$19:$A$218,$E$12),1)))*(INDEX($D$19:$D$218,MATCH(M163,$A$19:INDEX($A$19:$A$218,$E$12),1)+1)-INDEX($D$19:$D$218,MATCH(M163,$A$19:INDEX($A$19:$A$218,$E$12),1)))/(INDEX($A$19:$A$218,MATCH(M163,$A$19:INDEX($A$19:$A$218,$E$12),1)+1)-INDEX($A$19:$A$218,MATCH(M163,$A$19:INDEX($A$19:$A$218,$E$12),1))))))</f>
        <v/>
      </c>
      <c r="Y163">
        <f>IF(X163="","",X163*1000/$B$4)</f>
        <v/>
      </c>
    </row>
    <row r="164">
      <c r="A164" s="10" t="n"/>
      <c r="B164" s="10" t="n"/>
      <c r="C164" s="11">
        <f>IF(A164="","",$B$5*TAN(RADIANS(A164)))</f>
        <v/>
      </c>
      <c r="D164" s="11">
        <f>IF(C164="","",C164*(1+B164/100))</f>
        <v/>
      </c>
      <c r="E164" s="11">
        <f>IF(A164="","",$B$6*TAN(RADIANS(A164)))</f>
        <v/>
      </c>
      <c r="G164" s="12">
        <f>IF(U164="","",T164)</f>
        <v/>
      </c>
      <c r="H164" s="12">
        <f>IF(U164="","",$E$4+V164*COS(RADIANS($E$8))-W164*SIN(RADIANS($E$8)))</f>
        <v/>
      </c>
      <c r="I164" s="12">
        <f>IF(U164="","",$E$5+V164*SIN(RADIANS($E$8))+W164*COS(RADIANS($E$8)))</f>
        <v/>
      </c>
      <c r="J164" s="12">
        <f>IF(H164="","",H164-$B$7)</f>
        <v/>
      </c>
      <c r="K164" s="12">
        <f>IF(I164="","",I164-$B$8)</f>
        <v/>
      </c>
      <c r="L164" s="12">
        <f>IFERROR(SQRT(J164^2+K164^2)*$B$4/1000,"")</f>
        <v/>
      </c>
      <c r="M164" s="12">
        <f>IF(OR($E$13&lt;&gt;"OK",L164=""),"",IF(L164&lt;=$D$19,$A$19,IF(L164&gt;=INDEX($D$19:$D$218,$E$12),INDEX($A$19:$A$218,$E$12),INDEX($A$19:$A$218,MATCH(L164,$D$19:INDEX($D$19:$D$218,$E$12),1))+(L164-INDEX($D$19:$D$218,MATCH(L164,$D$19:INDEX($D$19:$D$218,$E$12),1)))*(INDEX($A$19:$A$218,MATCH(L164,$D$19:INDEX($D$19:$D$218,$E$12),1)+1)-INDEX($A$19:$A$218,MATCH(L164,$D$19:INDEX($D$19:$D$218,$E$12),1)))/(INDEX($D$19:$D$218,MATCH(L164,$D$19:INDEX($D$19:$D$218,$E$12),1)+1)-INDEX($D$19:$D$218,MATCH(L164,$D$19:INDEX($D$19:$D$218,$E$12),1))))))</f>
        <v/>
      </c>
      <c r="N164" s="12">
        <f>IF(M164="","",$B$6*TAN(RADIANS(M164)))</f>
        <v/>
      </c>
      <c r="O164" s="12">
        <f>IF(N164="","",IF(L164=0,0,-N164*J164/SQRT(J164^2+K164^2)))</f>
        <v/>
      </c>
      <c r="P164" s="12">
        <f>IF(N164="","",IF(L164=0,0,N164*K164/SQRT(J164^2+K164^2)))</f>
        <v/>
      </c>
      <c r="Q164" s="12">
        <f>IF(N164="","",IF(N164=0,$B$7,$B$7-Y164*O164/N164))</f>
        <v/>
      </c>
      <c r="R164" s="12">
        <f>IF(N164="","",IF(N164=0,$B$8,$B$8+Y164*P164/N164))</f>
        <v/>
      </c>
      <c r="S164" s="12">
        <f>IFERROR(SQRT((Q164-H164)^2+(R164-I164)^2),"")</f>
        <v/>
      </c>
      <c r="T164">
        <f>137</f>
        <v/>
      </c>
      <c r="U164">
        <f>IF(T164&gt;4*$E$9,"",MIN(INT(T164/$E$9)+1,4))</f>
        <v/>
      </c>
      <c r="V164">
        <f>IF(T164=4*$E$9,-$E$6/2,IF(U164="","",CHOOSE(U164,-$E$6/2+MOD(T164,$E$9)/$E$9*$E$6,$E$6/2,$E$6/2-MOD(T164,$E$9)/$E$9*$E$6,-$E$6/2)))</f>
        <v/>
      </c>
      <c r="W164">
        <f>IF(T164=4*$E$9,-$E$7/2,IF(U164="","",CHOOSE(U164,-$E$7/2,-$E$7/2+MOD(T164,$E$9)/$E$9*$E$7,$E$7/2,$E$7/2-MOD(T164,$E$9)/$E$9*$E$7)))</f>
        <v/>
      </c>
      <c r="X164">
        <f>IF(OR($E$13&lt;&gt;"OK",M164=""),"",IF(M164&lt;=$A$19,$D$19,IF(M164&gt;=INDEX($A$19:$A$218,$E$12),INDEX($D$19:$D$218,$E$12),INDEX($D$19:$D$218,MATCH(M164,$A$19:INDEX($A$19:$A$218,$E$12),1))+(M164-INDEX($A$19:$A$218,MATCH(M164,$A$19:INDEX($A$19:$A$218,$E$12),1)))*(INDEX($D$19:$D$218,MATCH(M164,$A$19:INDEX($A$19:$A$218,$E$12),1)+1)-INDEX($D$19:$D$218,MATCH(M164,$A$19:INDEX($A$19:$A$218,$E$12),1)))/(INDEX($A$19:$A$218,MATCH(M164,$A$19:INDEX($A$19:$A$218,$E$12),1)+1)-INDEX($A$19:$A$218,MATCH(M164,$A$19:INDEX($A$19:$A$218,$E$12),1))))))</f>
        <v/>
      </c>
      <c r="Y164">
        <f>IF(X164="","",X164*1000/$B$4)</f>
        <v/>
      </c>
    </row>
    <row r="165">
      <c r="A165" s="10" t="n"/>
      <c r="B165" s="10" t="n"/>
      <c r="C165" s="11">
        <f>IF(A165="","",$B$5*TAN(RADIANS(A165)))</f>
        <v/>
      </c>
      <c r="D165" s="11">
        <f>IF(C165="","",C165*(1+B165/100))</f>
        <v/>
      </c>
      <c r="E165" s="11">
        <f>IF(A165="","",$B$6*TAN(RADIANS(A165)))</f>
        <v/>
      </c>
      <c r="G165" s="12">
        <f>IF(U165="","",T165)</f>
        <v/>
      </c>
      <c r="H165" s="12">
        <f>IF(U165="","",$E$4+V165*COS(RADIANS($E$8))-W165*SIN(RADIANS($E$8)))</f>
        <v/>
      </c>
      <c r="I165" s="12">
        <f>IF(U165="","",$E$5+V165*SIN(RADIANS($E$8))+W165*COS(RADIANS($E$8)))</f>
        <v/>
      </c>
      <c r="J165" s="12">
        <f>IF(H165="","",H165-$B$7)</f>
        <v/>
      </c>
      <c r="K165" s="12">
        <f>IF(I165="","",I165-$B$8)</f>
        <v/>
      </c>
      <c r="L165" s="12">
        <f>IFERROR(SQRT(J165^2+K165^2)*$B$4/1000,"")</f>
        <v/>
      </c>
      <c r="M165" s="12">
        <f>IF(OR($E$13&lt;&gt;"OK",L165=""),"",IF(L165&lt;=$D$19,$A$19,IF(L165&gt;=INDEX($D$19:$D$218,$E$12),INDEX($A$19:$A$218,$E$12),INDEX($A$19:$A$218,MATCH(L165,$D$19:INDEX($D$19:$D$218,$E$12),1))+(L165-INDEX($D$19:$D$218,MATCH(L165,$D$19:INDEX($D$19:$D$218,$E$12),1)))*(INDEX($A$19:$A$218,MATCH(L165,$D$19:INDEX($D$19:$D$218,$E$12),1)+1)-INDEX($A$19:$A$218,MATCH(L165,$D$19:INDEX($D$19:$D$218,$E$12),1)))/(INDEX($D$19:$D$218,MATCH(L165,$D$19:INDEX($D$19:$D$218,$E$12),1)+1)-INDEX($D$19:$D$218,MATCH(L165,$D$19:INDEX($D$19:$D$218,$E$12),1))))))</f>
        <v/>
      </c>
      <c r="N165" s="12">
        <f>IF(M165="","",$B$6*TAN(RADIANS(M165)))</f>
        <v/>
      </c>
      <c r="O165" s="12">
        <f>IF(N165="","",IF(L165=0,0,-N165*J165/SQRT(J165^2+K165^2)))</f>
        <v/>
      </c>
      <c r="P165" s="12">
        <f>IF(N165="","",IF(L165=0,0,N165*K165/SQRT(J165^2+K165^2)))</f>
        <v/>
      </c>
      <c r="Q165" s="12">
        <f>IF(N165="","",IF(N165=0,$B$7,$B$7-Y165*O165/N165))</f>
        <v/>
      </c>
      <c r="R165" s="12">
        <f>IF(N165="","",IF(N165=0,$B$8,$B$8+Y165*P165/N165))</f>
        <v/>
      </c>
      <c r="S165" s="12">
        <f>IFERROR(SQRT((Q165-H165)^2+(R165-I165)^2),"")</f>
        <v/>
      </c>
      <c r="T165">
        <f>138</f>
        <v/>
      </c>
      <c r="U165">
        <f>IF(T165&gt;4*$E$9,"",MIN(INT(T165/$E$9)+1,4))</f>
        <v/>
      </c>
      <c r="V165">
        <f>IF(T165=4*$E$9,-$E$6/2,IF(U165="","",CHOOSE(U165,-$E$6/2+MOD(T165,$E$9)/$E$9*$E$6,$E$6/2,$E$6/2-MOD(T165,$E$9)/$E$9*$E$6,-$E$6/2)))</f>
        <v/>
      </c>
      <c r="W165">
        <f>IF(T165=4*$E$9,-$E$7/2,IF(U165="","",CHOOSE(U165,-$E$7/2,-$E$7/2+MOD(T165,$E$9)/$E$9*$E$7,$E$7/2,$E$7/2-MOD(T165,$E$9)/$E$9*$E$7)))</f>
        <v/>
      </c>
      <c r="X165">
        <f>IF(OR($E$13&lt;&gt;"OK",M165=""),"",IF(M165&lt;=$A$19,$D$19,IF(M165&gt;=INDEX($A$19:$A$218,$E$12),INDEX($D$19:$D$218,$E$12),INDEX($D$19:$D$218,MATCH(M165,$A$19:INDEX($A$19:$A$218,$E$12),1))+(M165-INDEX($A$19:$A$218,MATCH(M165,$A$19:INDEX($A$19:$A$218,$E$12),1)))*(INDEX($D$19:$D$218,MATCH(M165,$A$19:INDEX($A$19:$A$218,$E$12),1)+1)-INDEX($D$19:$D$218,MATCH(M165,$A$19:INDEX($A$19:$A$218,$E$12),1)))/(INDEX($A$19:$A$218,MATCH(M165,$A$19:INDEX($A$19:$A$218,$E$12),1)+1)-INDEX($A$19:$A$218,MATCH(M165,$A$19:INDEX($A$19:$A$218,$E$12),1))))))</f>
        <v/>
      </c>
      <c r="Y165">
        <f>IF(X165="","",X165*1000/$B$4)</f>
        <v/>
      </c>
    </row>
    <row r="166">
      <c r="A166" s="10" t="n"/>
      <c r="B166" s="10" t="n"/>
      <c r="C166" s="11">
        <f>IF(A166="","",$B$5*TAN(RADIANS(A166)))</f>
        <v/>
      </c>
      <c r="D166" s="11">
        <f>IF(C166="","",C166*(1+B166/100))</f>
        <v/>
      </c>
      <c r="E166" s="11">
        <f>IF(A166="","",$B$6*TAN(RADIANS(A166)))</f>
        <v/>
      </c>
      <c r="G166" s="12">
        <f>IF(U166="","",T166)</f>
        <v/>
      </c>
      <c r="H166" s="12">
        <f>IF(U166="","",$E$4+V166*COS(RADIANS($E$8))-W166*SIN(RADIANS($E$8)))</f>
        <v/>
      </c>
      <c r="I166" s="12">
        <f>IF(U166="","",$E$5+V166*SIN(RADIANS($E$8))+W166*COS(RADIANS($E$8)))</f>
        <v/>
      </c>
      <c r="J166" s="12">
        <f>IF(H166="","",H166-$B$7)</f>
        <v/>
      </c>
      <c r="K166" s="12">
        <f>IF(I166="","",I166-$B$8)</f>
        <v/>
      </c>
      <c r="L166" s="12">
        <f>IFERROR(SQRT(J166^2+K166^2)*$B$4/1000,"")</f>
        <v/>
      </c>
      <c r="M166" s="12">
        <f>IF(OR($E$13&lt;&gt;"OK",L166=""),"",IF(L166&lt;=$D$19,$A$19,IF(L166&gt;=INDEX($D$19:$D$218,$E$12),INDEX($A$19:$A$218,$E$12),INDEX($A$19:$A$218,MATCH(L166,$D$19:INDEX($D$19:$D$218,$E$12),1))+(L166-INDEX($D$19:$D$218,MATCH(L166,$D$19:INDEX($D$19:$D$218,$E$12),1)))*(INDEX($A$19:$A$218,MATCH(L166,$D$19:INDEX($D$19:$D$218,$E$12),1)+1)-INDEX($A$19:$A$218,MATCH(L166,$D$19:INDEX($D$19:$D$218,$E$12),1)))/(INDEX($D$19:$D$218,MATCH(L166,$D$19:INDEX($D$19:$D$218,$E$12),1)+1)-INDEX($D$19:$D$218,MATCH(L166,$D$19:INDEX($D$19:$D$218,$E$12),1))))))</f>
        <v/>
      </c>
      <c r="N166" s="12">
        <f>IF(M166="","",$B$6*TAN(RADIANS(M166)))</f>
        <v/>
      </c>
      <c r="O166" s="12">
        <f>IF(N166="","",IF(L166=0,0,-N166*J166/SQRT(J166^2+K166^2)))</f>
        <v/>
      </c>
      <c r="P166" s="12">
        <f>IF(N166="","",IF(L166=0,0,N166*K166/SQRT(J166^2+K166^2)))</f>
        <v/>
      </c>
      <c r="Q166" s="12">
        <f>IF(N166="","",IF(N166=0,$B$7,$B$7-Y166*O166/N166))</f>
        <v/>
      </c>
      <c r="R166" s="12">
        <f>IF(N166="","",IF(N166=0,$B$8,$B$8+Y166*P166/N166))</f>
        <v/>
      </c>
      <c r="S166" s="12">
        <f>IFERROR(SQRT((Q166-H166)^2+(R166-I166)^2),"")</f>
        <v/>
      </c>
      <c r="T166">
        <f>139</f>
        <v/>
      </c>
      <c r="U166">
        <f>IF(T166&gt;4*$E$9,"",MIN(INT(T166/$E$9)+1,4))</f>
        <v/>
      </c>
      <c r="V166">
        <f>IF(T166=4*$E$9,-$E$6/2,IF(U166="","",CHOOSE(U166,-$E$6/2+MOD(T166,$E$9)/$E$9*$E$6,$E$6/2,$E$6/2-MOD(T166,$E$9)/$E$9*$E$6,-$E$6/2)))</f>
        <v/>
      </c>
      <c r="W166">
        <f>IF(T166=4*$E$9,-$E$7/2,IF(U166="","",CHOOSE(U166,-$E$7/2,-$E$7/2+MOD(T166,$E$9)/$E$9*$E$7,$E$7/2,$E$7/2-MOD(T166,$E$9)/$E$9*$E$7)))</f>
        <v/>
      </c>
      <c r="X166">
        <f>IF(OR($E$13&lt;&gt;"OK",M166=""),"",IF(M166&lt;=$A$19,$D$19,IF(M166&gt;=INDEX($A$19:$A$218,$E$12),INDEX($D$19:$D$218,$E$12),INDEX($D$19:$D$218,MATCH(M166,$A$19:INDEX($A$19:$A$218,$E$12),1))+(M166-INDEX($A$19:$A$218,MATCH(M166,$A$19:INDEX($A$19:$A$218,$E$12),1)))*(INDEX($D$19:$D$218,MATCH(M166,$A$19:INDEX($A$19:$A$218,$E$12),1)+1)-INDEX($D$19:$D$218,MATCH(M166,$A$19:INDEX($A$19:$A$218,$E$12),1)))/(INDEX($A$19:$A$218,MATCH(M166,$A$19:INDEX($A$19:$A$218,$E$12),1)+1)-INDEX($A$19:$A$218,MATCH(M166,$A$19:INDEX($A$19:$A$218,$E$12),1))))))</f>
        <v/>
      </c>
      <c r="Y166">
        <f>IF(X166="","",X166*1000/$B$4)</f>
        <v/>
      </c>
    </row>
    <row r="167">
      <c r="A167" s="10" t="n"/>
      <c r="B167" s="10" t="n"/>
      <c r="C167" s="11">
        <f>IF(A167="","",$B$5*TAN(RADIANS(A167)))</f>
        <v/>
      </c>
      <c r="D167" s="11">
        <f>IF(C167="","",C167*(1+B167/100))</f>
        <v/>
      </c>
      <c r="E167" s="11">
        <f>IF(A167="","",$B$6*TAN(RADIANS(A167)))</f>
        <v/>
      </c>
      <c r="G167" s="12">
        <f>IF(U167="","",T167)</f>
        <v/>
      </c>
      <c r="H167" s="12">
        <f>IF(U167="","",$E$4+V167*COS(RADIANS($E$8))-W167*SIN(RADIANS($E$8)))</f>
        <v/>
      </c>
      <c r="I167" s="12">
        <f>IF(U167="","",$E$5+V167*SIN(RADIANS($E$8))+W167*COS(RADIANS($E$8)))</f>
        <v/>
      </c>
      <c r="J167" s="12">
        <f>IF(H167="","",H167-$B$7)</f>
        <v/>
      </c>
      <c r="K167" s="12">
        <f>IF(I167="","",I167-$B$8)</f>
        <v/>
      </c>
      <c r="L167" s="12">
        <f>IFERROR(SQRT(J167^2+K167^2)*$B$4/1000,"")</f>
        <v/>
      </c>
      <c r="M167" s="12">
        <f>IF(OR($E$13&lt;&gt;"OK",L167=""),"",IF(L167&lt;=$D$19,$A$19,IF(L167&gt;=INDEX($D$19:$D$218,$E$12),INDEX($A$19:$A$218,$E$12),INDEX($A$19:$A$218,MATCH(L167,$D$19:INDEX($D$19:$D$218,$E$12),1))+(L167-INDEX($D$19:$D$218,MATCH(L167,$D$19:INDEX($D$19:$D$218,$E$12),1)))*(INDEX($A$19:$A$218,MATCH(L167,$D$19:INDEX($D$19:$D$218,$E$12),1)+1)-INDEX($A$19:$A$218,MATCH(L167,$D$19:INDEX($D$19:$D$218,$E$12),1)))/(INDEX($D$19:$D$218,MATCH(L167,$D$19:INDEX($D$19:$D$218,$E$12),1)+1)-INDEX($D$19:$D$218,MATCH(L167,$D$19:INDEX($D$19:$D$218,$E$12),1))))))</f>
        <v/>
      </c>
      <c r="N167" s="12">
        <f>IF(M167="","",$B$6*TAN(RADIANS(M167)))</f>
        <v/>
      </c>
      <c r="O167" s="12">
        <f>IF(N167="","",IF(L167=0,0,-N167*J167/SQRT(J167^2+K167^2)))</f>
        <v/>
      </c>
      <c r="P167" s="12">
        <f>IF(N167="","",IF(L167=0,0,N167*K167/SQRT(J167^2+K167^2)))</f>
        <v/>
      </c>
      <c r="Q167" s="12">
        <f>IF(N167="","",IF(N167=0,$B$7,$B$7-Y167*O167/N167))</f>
        <v/>
      </c>
      <c r="R167" s="12">
        <f>IF(N167="","",IF(N167=0,$B$8,$B$8+Y167*P167/N167))</f>
        <v/>
      </c>
      <c r="S167" s="12">
        <f>IFERROR(SQRT((Q167-H167)^2+(R167-I167)^2),"")</f>
        <v/>
      </c>
      <c r="T167">
        <f>140</f>
        <v/>
      </c>
      <c r="U167">
        <f>IF(T167&gt;4*$E$9,"",MIN(INT(T167/$E$9)+1,4))</f>
        <v/>
      </c>
      <c r="V167">
        <f>IF(T167=4*$E$9,-$E$6/2,IF(U167="","",CHOOSE(U167,-$E$6/2+MOD(T167,$E$9)/$E$9*$E$6,$E$6/2,$E$6/2-MOD(T167,$E$9)/$E$9*$E$6,-$E$6/2)))</f>
        <v/>
      </c>
      <c r="W167">
        <f>IF(T167=4*$E$9,-$E$7/2,IF(U167="","",CHOOSE(U167,-$E$7/2,-$E$7/2+MOD(T167,$E$9)/$E$9*$E$7,$E$7/2,$E$7/2-MOD(T167,$E$9)/$E$9*$E$7)))</f>
        <v/>
      </c>
      <c r="X167">
        <f>IF(OR($E$13&lt;&gt;"OK",M167=""),"",IF(M167&lt;=$A$19,$D$19,IF(M167&gt;=INDEX($A$19:$A$218,$E$12),INDEX($D$19:$D$218,$E$12),INDEX($D$19:$D$218,MATCH(M167,$A$19:INDEX($A$19:$A$218,$E$12),1))+(M167-INDEX($A$19:$A$218,MATCH(M167,$A$19:INDEX($A$19:$A$218,$E$12),1)))*(INDEX($D$19:$D$218,MATCH(M167,$A$19:INDEX($A$19:$A$218,$E$12),1)+1)-INDEX($D$19:$D$218,MATCH(M167,$A$19:INDEX($A$19:$A$218,$E$12),1)))/(INDEX($A$19:$A$218,MATCH(M167,$A$19:INDEX($A$19:$A$218,$E$12),1)+1)-INDEX($A$19:$A$218,MATCH(M167,$A$19:INDEX($A$19:$A$218,$E$12),1))))))</f>
        <v/>
      </c>
      <c r="Y167">
        <f>IF(X167="","",X167*1000/$B$4)</f>
        <v/>
      </c>
    </row>
    <row r="168">
      <c r="A168" s="10" t="n"/>
      <c r="B168" s="10" t="n"/>
      <c r="C168" s="11">
        <f>IF(A168="","",$B$5*TAN(RADIANS(A168)))</f>
        <v/>
      </c>
      <c r="D168" s="11">
        <f>IF(C168="","",C168*(1+B168/100))</f>
        <v/>
      </c>
      <c r="E168" s="11">
        <f>IF(A168="","",$B$6*TAN(RADIANS(A168)))</f>
        <v/>
      </c>
      <c r="G168" s="12">
        <f>IF(U168="","",T168)</f>
        <v/>
      </c>
      <c r="H168" s="12">
        <f>IF(U168="","",$E$4+V168*COS(RADIANS($E$8))-W168*SIN(RADIANS($E$8)))</f>
        <v/>
      </c>
      <c r="I168" s="12">
        <f>IF(U168="","",$E$5+V168*SIN(RADIANS($E$8))+W168*COS(RADIANS($E$8)))</f>
        <v/>
      </c>
      <c r="J168" s="12">
        <f>IF(H168="","",H168-$B$7)</f>
        <v/>
      </c>
      <c r="K168" s="12">
        <f>IF(I168="","",I168-$B$8)</f>
        <v/>
      </c>
      <c r="L168" s="12">
        <f>IFERROR(SQRT(J168^2+K168^2)*$B$4/1000,"")</f>
        <v/>
      </c>
      <c r="M168" s="12">
        <f>IF(OR($E$13&lt;&gt;"OK",L168=""),"",IF(L168&lt;=$D$19,$A$19,IF(L168&gt;=INDEX($D$19:$D$218,$E$12),INDEX($A$19:$A$218,$E$12),INDEX($A$19:$A$218,MATCH(L168,$D$19:INDEX($D$19:$D$218,$E$12),1))+(L168-INDEX($D$19:$D$218,MATCH(L168,$D$19:INDEX($D$19:$D$218,$E$12),1)))*(INDEX($A$19:$A$218,MATCH(L168,$D$19:INDEX($D$19:$D$218,$E$12),1)+1)-INDEX($A$19:$A$218,MATCH(L168,$D$19:INDEX($D$19:$D$218,$E$12),1)))/(INDEX($D$19:$D$218,MATCH(L168,$D$19:INDEX($D$19:$D$218,$E$12),1)+1)-INDEX($D$19:$D$218,MATCH(L168,$D$19:INDEX($D$19:$D$218,$E$12),1))))))</f>
        <v/>
      </c>
      <c r="N168" s="12">
        <f>IF(M168="","",$B$6*TAN(RADIANS(M168)))</f>
        <v/>
      </c>
      <c r="O168" s="12">
        <f>IF(N168="","",IF(L168=0,0,-N168*J168/SQRT(J168^2+K168^2)))</f>
        <v/>
      </c>
      <c r="P168" s="12">
        <f>IF(N168="","",IF(L168=0,0,N168*K168/SQRT(J168^2+K168^2)))</f>
        <v/>
      </c>
      <c r="Q168" s="12">
        <f>IF(N168="","",IF(N168=0,$B$7,$B$7-Y168*O168/N168))</f>
        <v/>
      </c>
      <c r="R168" s="12">
        <f>IF(N168="","",IF(N168=0,$B$8,$B$8+Y168*P168/N168))</f>
        <v/>
      </c>
      <c r="S168" s="12">
        <f>IFERROR(SQRT((Q168-H168)^2+(R168-I168)^2),"")</f>
        <v/>
      </c>
      <c r="T168">
        <f>141</f>
        <v/>
      </c>
      <c r="U168">
        <f>IF(T168&gt;4*$E$9,"",MIN(INT(T168/$E$9)+1,4))</f>
        <v/>
      </c>
      <c r="V168">
        <f>IF(T168=4*$E$9,-$E$6/2,IF(U168="","",CHOOSE(U168,-$E$6/2+MOD(T168,$E$9)/$E$9*$E$6,$E$6/2,$E$6/2-MOD(T168,$E$9)/$E$9*$E$6,-$E$6/2)))</f>
        <v/>
      </c>
      <c r="W168">
        <f>IF(T168=4*$E$9,-$E$7/2,IF(U168="","",CHOOSE(U168,-$E$7/2,-$E$7/2+MOD(T168,$E$9)/$E$9*$E$7,$E$7/2,$E$7/2-MOD(T168,$E$9)/$E$9*$E$7)))</f>
        <v/>
      </c>
      <c r="X168">
        <f>IF(OR($E$13&lt;&gt;"OK",M168=""),"",IF(M168&lt;=$A$19,$D$19,IF(M168&gt;=INDEX($A$19:$A$218,$E$12),INDEX($D$19:$D$218,$E$12),INDEX($D$19:$D$218,MATCH(M168,$A$19:INDEX($A$19:$A$218,$E$12),1))+(M168-INDEX($A$19:$A$218,MATCH(M168,$A$19:INDEX($A$19:$A$218,$E$12),1)))*(INDEX($D$19:$D$218,MATCH(M168,$A$19:INDEX($A$19:$A$218,$E$12),1)+1)-INDEX($D$19:$D$218,MATCH(M168,$A$19:INDEX($A$19:$A$218,$E$12),1)))/(INDEX($A$19:$A$218,MATCH(M168,$A$19:INDEX($A$19:$A$218,$E$12),1)+1)-INDEX($A$19:$A$218,MATCH(M168,$A$19:INDEX($A$19:$A$218,$E$12),1))))))</f>
        <v/>
      </c>
      <c r="Y168">
        <f>IF(X168="","",X168*1000/$B$4)</f>
        <v/>
      </c>
    </row>
    <row r="169">
      <c r="A169" s="10" t="n"/>
      <c r="B169" s="10" t="n"/>
      <c r="C169" s="11">
        <f>IF(A169="","",$B$5*TAN(RADIANS(A169)))</f>
        <v/>
      </c>
      <c r="D169" s="11">
        <f>IF(C169="","",C169*(1+B169/100))</f>
        <v/>
      </c>
      <c r="E169" s="11">
        <f>IF(A169="","",$B$6*TAN(RADIANS(A169)))</f>
        <v/>
      </c>
      <c r="G169" s="12">
        <f>IF(U169="","",T169)</f>
        <v/>
      </c>
      <c r="H169" s="12">
        <f>IF(U169="","",$E$4+V169*COS(RADIANS($E$8))-W169*SIN(RADIANS($E$8)))</f>
        <v/>
      </c>
      <c r="I169" s="12">
        <f>IF(U169="","",$E$5+V169*SIN(RADIANS($E$8))+W169*COS(RADIANS($E$8)))</f>
        <v/>
      </c>
      <c r="J169" s="12">
        <f>IF(H169="","",H169-$B$7)</f>
        <v/>
      </c>
      <c r="K169" s="12">
        <f>IF(I169="","",I169-$B$8)</f>
        <v/>
      </c>
      <c r="L169" s="12">
        <f>IFERROR(SQRT(J169^2+K169^2)*$B$4/1000,"")</f>
        <v/>
      </c>
      <c r="M169" s="12">
        <f>IF(OR($E$13&lt;&gt;"OK",L169=""),"",IF(L169&lt;=$D$19,$A$19,IF(L169&gt;=INDEX($D$19:$D$218,$E$12),INDEX($A$19:$A$218,$E$12),INDEX($A$19:$A$218,MATCH(L169,$D$19:INDEX($D$19:$D$218,$E$12),1))+(L169-INDEX($D$19:$D$218,MATCH(L169,$D$19:INDEX($D$19:$D$218,$E$12),1)))*(INDEX($A$19:$A$218,MATCH(L169,$D$19:INDEX($D$19:$D$218,$E$12),1)+1)-INDEX($A$19:$A$218,MATCH(L169,$D$19:INDEX($D$19:$D$218,$E$12),1)))/(INDEX($D$19:$D$218,MATCH(L169,$D$19:INDEX($D$19:$D$218,$E$12),1)+1)-INDEX($D$19:$D$218,MATCH(L169,$D$19:INDEX($D$19:$D$218,$E$12),1))))))</f>
        <v/>
      </c>
      <c r="N169" s="12">
        <f>IF(M169="","",$B$6*TAN(RADIANS(M169)))</f>
        <v/>
      </c>
      <c r="O169" s="12">
        <f>IF(N169="","",IF(L169=0,0,-N169*J169/SQRT(J169^2+K169^2)))</f>
        <v/>
      </c>
      <c r="P169" s="12">
        <f>IF(N169="","",IF(L169=0,0,N169*K169/SQRT(J169^2+K169^2)))</f>
        <v/>
      </c>
      <c r="Q169" s="12">
        <f>IF(N169="","",IF(N169=0,$B$7,$B$7-Y169*O169/N169))</f>
        <v/>
      </c>
      <c r="R169" s="12">
        <f>IF(N169="","",IF(N169=0,$B$8,$B$8+Y169*P169/N169))</f>
        <v/>
      </c>
      <c r="S169" s="12">
        <f>IFERROR(SQRT((Q169-H169)^2+(R169-I169)^2),"")</f>
        <v/>
      </c>
      <c r="T169">
        <f>142</f>
        <v/>
      </c>
      <c r="U169">
        <f>IF(T169&gt;4*$E$9,"",MIN(INT(T169/$E$9)+1,4))</f>
        <v/>
      </c>
      <c r="V169">
        <f>IF(T169=4*$E$9,-$E$6/2,IF(U169="","",CHOOSE(U169,-$E$6/2+MOD(T169,$E$9)/$E$9*$E$6,$E$6/2,$E$6/2-MOD(T169,$E$9)/$E$9*$E$6,-$E$6/2)))</f>
        <v/>
      </c>
      <c r="W169">
        <f>IF(T169=4*$E$9,-$E$7/2,IF(U169="","",CHOOSE(U169,-$E$7/2,-$E$7/2+MOD(T169,$E$9)/$E$9*$E$7,$E$7/2,$E$7/2-MOD(T169,$E$9)/$E$9*$E$7)))</f>
        <v/>
      </c>
      <c r="X169">
        <f>IF(OR($E$13&lt;&gt;"OK",M169=""),"",IF(M169&lt;=$A$19,$D$19,IF(M169&gt;=INDEX($A$19:$A$218,$E$12),INDEX($D$19:$D$218,$E$12),INDEX($D$19:$D$218,MATCH(M169,$A$19:INDEX($A$19:$A$218,$E$12),1))+(M169-INDEX($A$19:$A$218,MATCH(M169,$A$19:INDEX($A$19:$A$218,$E$12),1)))*(INDEX($D$19:$D$218,MATCH(M169,$A$19:INDEX($A$19:$A$218,$E$12),1)+1)-INDEX($D$19:$D$218,MATCH(M169,$A$19:INDEX($A$19:$A$218,$E$12),1)))/(INDEX($A$19:$A$218,MATCH(M169,$A$19:INDEX($A$19:$A$218,$E$12),1)+1)-INDEX($A$19:$A$218,MATCH(M169,$A$19:INDEX($A$19:$A$218,$E$12),1))))))</f>
        <v/>
      </c>
      <c r="Y169">
        <f>IF(X169="","",X169*1000/$B$4)</f>
        <v/>
      </c>
    </row>
    <row r="170">
      <c r="A170" s="10" t="n"/>
      <c r="B170" s="10" t="n"/>
      <c r="C170" s="11">
        <f>IF(A170="","",$B$5*TAN(RADIANS(A170)))</f>
        <v/>
      </c>
      <c r="D170" s="11">
        <f>IF(C170="","",C170*(1+B170/100))</f>
        <v/>
      </c>
      <c r="E170" s="11">
        <f>IF(A170="","",$B$6*TAN(RADIANS(A170)))</f>
        <v/>
      </c>
      <c r="G170" s="12">
        <f>IF(U170="","",T170)</f>
        <v/>
      </c>
      <c r="H170" s="12">
        <f>IF(U170="","",$E$4+V170*COS(RADIANS($E$8))-W170*SIN(RADIANS($E$8)))</f>
        <v/>
      </c>
      <c r="I170" s="12">
        <f>IF(U170="","",$E$5+V170*SIN(RADIANS($E$8))+W170*COS(RADIANS($E$8)))</f>
        <v/>
      </c>
      <c r="J170" s="12">
        <f>IF(H170="","",H170-$B$7)</f>
        <v/>
      </c>
      <c r="K170" s="12">
        <f>IF(I170="","",I170-$B$8)</f>
        <v/>
      </c>
      <c r="L170" s="12">
        <f>IFERROR(SQRT(J170^2+K170^2)*$B$4/1000,"")</f>
        <v/>
      </c>
      <c r="M170" s="12">
        <f>IF(OR($E$13&lt;&gt;"OK",L170=""),"",IF(L170&lt;=$D$19,$A$19,IF(L170&gt;=INDEX($D$19:$D$218,$E$12),INDEX($A$19:$A$218,$E$12),INDEX($A$19:$A$218,MATCH(L170,$D$19:INDEX($D$19:$D$218,$E$12),1))+(L170-INDEX($D$19:$D$218,MATCH(L170,$D$19:INDEX($D$19:$D$218,$E$12),1)))*(INDEX($A$19:$A$218,MATCH(L170,$D$19:INDEX($D$19:$D$218,$E$12),1)+1)-INDEX($A$19:$A$218,MATCH(L170,$D$19:INDEX($D$19:$D$218,$E$12),1)))/(INDEX($D$19:$D$218,MATCH(L170,$D$19:INDEX($D$19:$D$218,$E$12),1)+1)-INDEX($D$19:$D$218,MATCH(L170,$D$19:INDEX($D$19:$D$218,$E$12),1))))))</f>
        <v/>
      </c>
      <c r="N170" s="12">
        <f>IF(M170="","",$B$6*TAN(RADIANS(M170)))</f>
        <v/>
      </c>
      <c r="O170" s="12">
        <f>IF(N170="","",IF(L170=0,0,-N170*J170/SQRT(J170^2+K170^2)))</f>
        <v/>
      </c>
      <c r="P170" s="12">
        <f>IF(N170="","",IF(L170=0,0,N170*K170/SQRT(J170^2+K170^2)))</f>
        <v/>
      </c>
      <c r="Q170" s="12">
        <f>IF(N170="","",IF(N170=0,$B$7,$B$7-Y170*O170/N170))</f>
        <v/>
      </c>
      <c r="R170" s="12">
        <f>IF(N170="","",IF(N170=0,$B$8,$B$8+Y170*P170/N170))</f>
        <v/>
      </c>
      <c r="S170" s="12">
        <f>IFERROR(SQRT((Q170-H170)^2+(R170-I170)^2),"")</f>
        <v/>
      </c>
      <c r="T170">
        <f>143</f>
        <v/>
      </c>
      <c r="U170">
        <f>IF(T170&gt;4*$E$9,"",MIN(INT(T170/$E$9)+1,4))</f>
        <v/>
      </c>
      <c r="V170">
        <f>IF(T170=4*$E$9,-$E$6/2,IF(U170="","",CHOOSE(U170,-$E$6/2+MOD(T170,$E$9)/$E$9*$E$6,$E$6/2,$E$6/2-MOD(T170,$E$9)/$E$9*$E$6,-$E$6/2)))</f>
        <v/>
      </c>
      <c r="W170">
        <f>IF(T170=4*$E$9,-$E$7/2,IF(U170="","",CHOOSE(U170,-$E$7/2,-$E$7/2+MOD(T170,$E$9)/$E$9*$E$7,$E$7/2,$E$7/2-MOD(T170,$E$9)/$E$9*$E$7)))</f>
        <v/>
      </c>
      <c r="X170">
        <f>IF(OR($E$13&lt;&gt;"OK",M170=""),"",IF(M170&lt;=$A$19,$D$19,IF(M170&gt;=INDEX($A$19:$A$218,$E$12),INDEX($D$19:$D$218,$E$12),INDEX($D$19:$D$218,MATCH(M170,$A$19:INDEX($A$19:$A$218,$E$12),1))+(M170-INDEX($A$19:$A$218,MATCH(M170,$A$19:INDEX($A$19:$A$218,$E$12),1)))*(INDEX($D$19:$D$218,MATCH(M170,$A$19:INDEX($A$19:$A$218,$E$12),1)+1)-INDEX($D$19:$D$218,MATCH(M170,$A$19:INDEX($A$19:$A$218,$E$12),1)))/(INDEX($A$19:$A$218,MATCH(M170,$A$19:INDEX($A$19:$A$218,$E$12),1)+1)-INDEX($A$19:$A$218,MATCH(M170,$A$19:INDEX($A$19:$A$218,$E$12),1))))))</f>
        <v/>
      </c>
      <c r="Y170">
        <f>IF(X170="","",X170*1000/$B$4)</f>
        <v/>
      </c>
    </row>
    <row r="171">
      <c r="A171" s="10" t="n"/>
      <c r="B171" s="10" t="n"/>
      <c r="C171" s="11">
        <f>IF(A171="","",$B$5*TAN(RADIANS(A171)))</f>
        <v/>
      </c>
      <c r="D171" s="11">
        <f>IF(C171="","",C171*(1+B171/100))</f>
        <v/>
      </c>
      <c r="E171" s="11">
        <f>IF(A171="","",$B$6*TAN(RADIANS(A171)))</f>
        <v/>
      </c>
      <c r="G171" s="12">
        <f>IF(U171="","",T171)</f>
        <v/>
      </c>
      <c r="H171" s="12">
        <f>IF(U171="","",$E$4+V171*COS(RADIANS($E$8))-W171*SIN(RADIANS($E$8)))</f>
        <v/>
      </c>
      <c r="I171" s="12">
        <f>IF(U171="","",$E$5+V171*SIN(RADIANS($E$8))+W171*COS(RADIANS($E$8)))</f>
        <v/>
      </c>
      <c r="J171" s="12">
        <f>IF(H171="","",H171-$B$7)</f>
        <v/>
      </c>
      <c r="K171" s="12">
        <f>IF(I171="","",I171-$B$8)</f>
        <v/>
      </c>
      <c r="L171" s="12">
        <f>IFERROR(SQRT(J171^2+K171^2)*$B$4/1000,"")</f>
        <v/>
      </c>
      <c r="M171" s="12">
        <f>IF(OR($E$13&lt;&gt;"OK",L171=""),"",IF(L171&lt;=$D$19,$A$19,IF(L171&gt;=INDEX($D$19:$D$218,$E$12),INDEX($A$19:$A$218,$E$12),INDEX($A$19:$A$218,MATCH(L171,$D$19:INDEX($D$19:$D$218,$E$12),1))+(L171-INDEX($D$19:$D$218,MATCH(L171,$D$19:INDEX($D$19:$D$218,$E$12),1)))*(INDEX($A$19:$A$218,MATCH(L171,$D$19:INDEX($D$19:$D$218,$E$12),1)+1)-INDEX($A$19:$A$218,MATCH(L171,$D$19:INDEX($D$19:$D$218,$E$12),1)))/(INDEX($D$19:$D$218,MATCH(L171,$D$19:INDEX($D$19:$D$218,$E$12),1)+1)-INDEX($D$19:$D$218,MATCH(L171,$D$19:INDEX($D$19:$D$218,$E$12),1))))))</f>
        <v/>
      </c>
      <c r="N171" s="12">
        <f>IF(M171="","",$B$6*TAN(RADIANS(M171)))</f>
        <v/>
      </c>
      <c r="O171" s="12">
        <f>IF(N171="","",IF(L171=0,0,-N171*J171/SQRT(J171^2+K171^2)))</f>
        <v/>
      </c>
      <c r="P171" s="12">
        <f>IF(N171="","",IF(L171=0,0,N171*K171/SQRT(J171^2+K171^2)))</f>
        <v/>
      </c>
      <c r="Q171" s="12">
        <f>IF(N171="","",IF(N171=0,$B$7,$B$7-Y171*O171/N171))</f>
        <v/>
      </c>
      <c r="R171" s="12">
        <f>IF(N171="","",IF(N171=0,$B$8,$B$8+Y171*P171/N171))</f>
        <v/>
      </c>
      <c r="S171" s="12">
        <f>IFERROR(SQRT((Q171-H171)^2+(R171-I171)^2),"")</f>
        <v/>
      </c>
      <c r="T171">
        <f>144</f>
        <v/>
      </c>
      <c r="U171">
        <f>IF(T171&gt;4*$E$9,"",MIN(INT(T171/$E$9)+1,4))</f>
        <v/>
      </c>
      <c r="V171">
        <f>IF(T171=4*$E$9,-$E$6/2,IF(U171="","",CHOOSE(U171,-$E$6/2+MOD(T171,$E$9)/$E$9*$E$6,$E$6/2,$E$6/2-MOD(T171,$E$9)/$E$9*$E$6,-$E$6/2)))</f>
        <v/>
      </c>
      <c r="W171">
        <f>IF(T171=4*$E$9,-$E$7/2,IF(U171="","",CHOOSE(U171,-$E$7/2,-$E$7/2+MOD(T171,$E$9)/$E$9*$E$7,$E$7/2,$E$7/2-MOD(T171,$E$9)/$E$9*$E$7)))</f>
        <v/>
      </c>
      <c r="X171">
        <f>IF(OR($E$13&lt;&gt;"OK",M171=""),"",IF(M171&lt;=$A$19,$D$19,IF(M171&gt;=INDEX($A$19:$A$218,$E$12),INDEX($D$19:$D$218,$E$12),INDEX($D$19:$D$218,MATCH(M171,$A$19:INDEX($A$19:$A$218,$E$12),1))+(M171-INDEX($A$19:$A$218,MATCH(M171,$A$19:INDEX($A$19:$A$218,$E$12),1)))*(INDEX($D$19:$D$218,MATCH(M171,$A$19:INDEX($A$19:$A$218,$E$12),1)+1)-INDEX($D$19:$D$218,MATCH(M171,$A$19:INDEX($A$19:$A$218,$E$12),1)))/(INDEX($A$19:$A$218,MATCH(M171,$A$19:INDEX($A$19:$A$218,$E$12),1)+1)-INDEX($A$19:$A$218,MATCH(M171,$A$19:INDEX($A$19:$A$218,$E$12),1))))))</f>
        <v/>
      </c>
      <c r="Y171">
        <f>IF(X171="","",X171*1000/$B$4)</f>
        <v/>
      </c>
    </row>
    <row r="172">
      <c r="A172" s="10" t="n"/>
      <c r="B172" s="10" t="n"/>
      <c r="C172" s="11">
        <f>IF(A172="","",$B$5*TAN(RADIANS(A172)))</f>
        <v/>
      </c>
      <c r="D172" s="11">
        <f>IF(C172="","",C172*(1+B172/100))</f>
        <v/>
      </c>
      <c r="E172" s="11">
        <f>IF(A172="","",$B$6*TAN(RADIANS(A172)))</f>
        <v/>
      </c>
      <c r="G172" s="12">
        <f>IF(U172="","",T172)</f>
        <v/>
      </c>
      <c r="H172" s="12">
        <f>IF(U172="","",$E$4+V172*COS(RADIANS($E$8))-W172*SIN(RADIANS($E$8)))</f>
        <v/>
      </c>
      <c r="I172" s="12">
        <f>IF(U172="","",$E$5+V172*SIN(RADIANS($E$8))+W172*COS(RADIANS($E$8)))</f>
        <v/>
      </c>
      <c r="J172" s="12">
        <f>IF(H172="","",H172-$B$7)</f>
        <v/>
      </c>
      <c r="K172" s="12">
        <f>IF(I172="","",I172-$B$8)</f>
        <v/>
      </c>
      <c r="L172" s="12">
        <f>IFERROR(SQRT(J172^2+K172^2)*$B$4/1000,"")</f>
        <v/>
      </c>
      <c r="M172" s="12">
        <f>IF(OR($E$13&lt;&gt;"OK",L172=""),"",IF(L172&lt;=$D$19,$A$19,IF(L172&gt;=INDEX($D$19:$D$218,$E$12),INDEX($A$19:$A$218,$E$12),INDEX($A$19:$A$218,MATCH(L172,$D$19:INDEX($D$19:$D$218,$E$12),1))+(L172-INDEX($D$19:$D$218,MATCH(L172,$D$19:INDEX($D$19:$D$218,$E$12),1)))*(INDEX($A$19:$A$218,MATCH(L172,$D$19:INDEX($D$19:$D$218,$E$12),1)+1)-INDEX($A$19:$A$218,MATCH(L172,$D$19:INDEX($D$19:$D$218,$E$12),1)))/(INDEX($D$19:$D$218,MATCH(L172,$D$19:INDEX($D$19:$D$218,$E$12),1)+1)-INDEX($D$19:$D$218,MATCH(L172,$D$19:INDEX($D$19:$D$218,$E$12),1))))))</f>
        <v/>
      </c>
      <c r="N172" s="12">
        <f>IF(M172="","",$B$6*TAN(RADIANS(M172)))</f>
        <v/>
      </c>
      <c r="O172" s="12">
        <f>IF(N172="","",IF(L172=0,0,-N172*J172/SQRT(J172^2+K172^2)))</f>
        <v/>
      </c>
      <c r="P172" s="12">
        <f>IF(N172="","",IF(L172=0,0,N172*K172/SQRT(J172^2+K172^2)))</f>
        <v/>
      </c>
      <c r="Q172" s="12">
        <f>IF(N172="","",IF(N172=0,$B$7,$B$7-Y172*O172/N172))</f>
        <v/>
      </c>
      <c r="R172" s="12">
        <f>IF(N172="","",IF(N172=0,$B$8,$B$8+Y172*P172/N172))</f>
        <v/>
      </c>
      <c r="S172" s="12">
        <f>IFERROR(SQRT((Q172-H172)^2+(R172-I172)^2),"")</f>
        <v/>
      </c>
      <c r="T172">
        <f>145</f>
        <v/>
      </c>
      <c r="U172">
        <f>IF(T172&gt;4*$E$9,"",MIN(INT(T172/$E$9)+1,4))</f>
        <v/>
      </c>
      <c r="V172">
        <f>IF(T172=4*$E$9,-$E$6/2,IF(U172="","",CHOOSE(U172,-$E$6/2+MOD(T172,$E$9)/$E$9*$E$6,$E$6/2,$E$6/2-MOD(T172,$E$9)/$E$9*$E$6,-$E$6/2)))</f>
        <v/>
      </c>
      <c r="W172">
        <f>IF(T172=4*$E$9,-$E$7/2,IF(U172="","",CHOOSE(U172,-$E$7/2,-$E$7/2+MOD(T172,$E$9)/$E$9*$E$7,$E$7/2,$E$7/2-MOD(T172,$E$9)/$E$9*$E$7)))</f>
        <v/>
      </c>
      <c r="X172">
        <f>IF(OR($E$13&lt;&gt;"OK",M172=""),"",IF(M172&lt;=$A$19,$D$19,IF(M172&gt;=INDEX($A$19:$A$218,$E$12),INDEX($D$19:$D$218,$E$12),INDEX($D$19:$D$218,MATCH(M172,$A$19:INDEX($A$19:$A$218,$E$12),1))+(M172-INDEX($A$19:$A$218,MATCH(M172,$A$19:INDEX($A$19:$A$218,$E$12),1)))*(INDEX($D$19:$D$218,MATCH(M172,$A$19:INDEX($A$19:$A$218,$E$12),1)+1)-INDEX($D$19:$D$218,MATCH(M172,$A$19:INDEX($A$19:$A$218,$E$12),1)))/(INDEX($A$19:$A$218,MATCH(M172,$A$19:INDEX($A$19:$A$218,$E$12),1)+1)-INDEX($A$19:$A$218,MATCH(M172,$A$19:INDEX($A$19:$A$218,$E$12),1))))))</f>
        <v/>
      </c>
      <c r="Y172">
        <f>IF(X172="","",X172*1000/$B$4)</f>
        <v/>
      </c>
    </row>
    <row r="173">
      <c r="A173" s="10" t="n"/>
      <c r="B173" s="10" t="n"/>
      <c r="C173" s="11">
        <f>IF(A173="","",$B$5*TAN(RADIANS(A173)))</f>
        <v/>
      </c>
      <c r="D173" s="11">
        <f>IF(C173="","",C173*(1+B173/100))</f>
        <v/>
      </c>
      <c r="E173" s="11">
        <f>IF(A173="","",$B$6*TAN(RADIANS(A173)))</f>
        <v/>
      </c>
      <c r="G173" s="12">
        <f>IF(U173="","",T173)</f>
        <v/>
      </c>
      <c r="H173" s="12">
        <f>IF(U173="","",$E$4+V173*COS(RADIANS($E$8))-W173*SIN(RADIANS($E$8)))</f>
        <v/>
      </c>
      <c r="I173" s="12">
        <f>IF(U173="","",$E$5+V173*SIN(RADIANS($E$8))+W173*COS(RADIANS($E$8)))</f>
        <v/>
      </c>
      <c r="J173" s="12">
        <f>IF(H173="","",H173-$B$7)</f>
        <v/>
      </c>
      <c r="K173" s="12">
        <f>IF(I173="","",I173-$B$8)</f>
        <v/>
      </c>
      <c r="L173" s="12">
        <f>IFERROR(SQRT(J173^2+K173^2)*$B$4/1000,"")</f>
        <v/>
      </c>
      <c r="M173" s="12">
        <f>IF(OR($E$13&lt;&gt;"OK",L173=""),"",IF(L173&lt;=$D$19,$A$19,IF(L173&gt;=INDEX($D$19:$D$218,$E$12),INDEX($A$19:$A$218,$E$12),INDEX($A$19:$A$218,MATCH(L173,$D$19:INDEX($D$19:$D$218,$E$12),1))+(L173-INDEX($D$19:$D$218,MATCH(L173,$D$19:INDEX($D$19:$D$218,$E$12),1)))*(INDEX($A$19:$A$218,MATCH(L173,$D$19:INDEX($D$19:$D$218,$E$12),1)+1)-INDEX($A$19:$A$218,MATCH(L173,$D$19:INDEX($D$19:$D$218,$E$12),1)))/(INDEX($D$19:$D$218,MATCH(L173,$D$19:INDEX($D$19:$D$218,$E$12),1)+1)-INDEX($D$19:$D$218,MATCH(L173,$D$19:INDEX($D$19:$D$218,$E$12),1))))))</f>
        <v/>
      </c>
      <c r="N173" s="12">
        <f>IF(M173="","",$B$6*TAN(RADIANS(M173)))</f>
        <v/>
      </c>
      <c r="O173" s="12">
        <f>IF(N173="","",IF(L173=0,0,-N173*J173/SQRT(J173^2+K173^2)))</f>
        <v/>
      </c>
      <c r="P173" s="12">
        <f>IF(N173="","",IF(L173=0,0,N173*K173/SQRT(J173^2+K173^2)))</f>
        <v/>
      </c>
      <c r="Q173" s="12">
        <f>IF(N173="","",IF(N173=0,$B$7,$B$7-Y173*O173/N173))</f>
        <v/>
      </c>
      <c r="R173" s="12">
        <f>IF(N173="","",IF(N173=0,$B$8,$B$8+Y173*P173/N173))</f>
        <v/>
      </c>
      <c r="S173" s="12">
        <f>IFERROR(SQRT((Q173-H173)^2+(R173-I173)^2),"")</f>
        <v/>
      </c>
      <c r="T173">
        <f>146</f>
        <v/>
      </c>
      <c r="U173">
        <f>IF(T173&gt;4*$E$9,"",MIN(INT(T173/$E$9)+1,4))</f>
        <v/>
      </c>
      <c r="V173">
        <f>IF(T173=4*$E$9,-$E$6/2,IF(U173="","",CHOOSE(U173,-$E$6/2+MOD(T173,$E$9)/$E$9*$E$6,$E$6/2,$E$6/2-MOD(T173,$E$9)/$E$9*$E$6,-$E$6/2)))</f>
        <v/>
      </c>
      <c r="W173">
        <f>IF(T173=4*$E$9,-$E$7/2,IF(U173="","",CHOOSE(U173,-$E$7/2,-$E$7/2+MOD(T173,$E$9)/$E$9*$E$7,$E$7/2,$E$7/2-MOD(T173,$E$9)/$E$9*$E$7)))</f>
        <v/>
      </c>
      <c r="X173">
        <f>IF(OR($E$13&lt;&gt;"OK",M173=""),"",IF(M173&lt;=$A$19,$D$19,IF(M173&gt;=INDEX($A$19:$A$218,$E$12),INDEX($D$19:$D$218,$E$12),INDEX($D$19:$D$218,MATCH(M173,$A$19:INDEX($A$19:$A$218,$E$12),1))+(M173-INDEX($A$19:$A$218,MATCH(M173,$A$19:INDEX($A$19:$A$218,$E$12),1)))*(INDEX($D$19:$D$218,MATCH(M173,$A$19:INDEX($A$19:$A$218,$E$12),1)+1)-INDEX($D$19:$D$218,MATCH(M173,$A$19:INDEX($A$19:$A$218,$E$12),1)))/(INDEX($A$19:$A$218,MATCH(M173,$A$19:INDEX($A$19:$A$218,$E$12),1)+1)-INDEX($A$19:$A$218,MATCH(M173,$A$19:INDEX($A$19:$A$218,$E$12),1))))))</f>
        <v/>
      </c>
      <c r="Y173">
        <f>IF(X173="","",X173*1000/$B$4)</f>
        <v/>
      </c>
    </row>
    <row r="174">
      <c r="A174" s="10" t="n"/>
      <c r="B174" s="10" t="n"/>
      <c r="C174" s="11">
        <f>IF(A174="","",$B$5*TAN(RADIANS(A174)))</f>
        <v/>
      </c>
      <c r="D174" s="11">
        <f>IF(C174="","",C174*(1+B174/100))</f>
        <v/>
      </c>
      <c r="E174" s="11">
        <f>IF(A174="","",$B$6*TAN(RADIANS(A174)))</f>
        <v/>
      </c>
      <c r="G174" s="12">
        <f>IF(U174="","",T174)</f>
        <v/>
      </c>
      <c r="H174" s="12">
        <f>IF(U174="","",$E$4+V174*COS(RADIANS($E$8))-W174*SIN(RADIANS($E$8)))</f>
        <v/>
      </c>
      <c r="I174" s="12">
        <f>IF(U174="","",$E$5+V174*SIN(RADIANS($E$8))+W174*COS(RADIANS($E$8)))</f>
        <v/>
      </c>
      <c r="J174" s="12">
        <f>IF(H174="","",H174-$B$7)</f>
        <v/>
      </c>
      <c r="K174" s="12">
        <f>IF(I174="","",I174-$B$8)</f>
        <v/>
      </c>
      <c r="L174" s="12">
        <f>IFERROR(SQRT(J174^2+K174^2)*$B$4/1000,"")</f>
        <v/>
      </c>
      <c r="M174" s="12">
        <f>IF(OR($E$13&lt;&gt;"OK",L174=""),"",IF(L174&lt;=$D$19,$A$19,IF(L174&gt;=INDEX($D$19:$D$218,$E$12),INDEX($A$19:$A$218,$E$12),INDEX($A$19:$A$218,MATCH(L174,$D$19:INDEX($D$19:$D$218,$E$12),1))+(L174-INDEX($D$19:$D$218,MATCH(L174,$D$19:INDEX($D$19:$D$218,$E$12),1)))*(INDEX($A$19:$A$218,MATCH(L174,$D$19:INDEX($D$19:$D$218,$E$12),1)+1)-INDEX($A$19:$A$218,MATCH(L174,$D$19:INDEX($D$19:$D$218,$E$12),1)))/(INDEX($D$19:$D$218,MATCH(L174,$D$19:INDEX($D$19:$D$218,$E$12),1)+1)-INDEX($D$19:$D$218,MATCH(L174,$D$19:INDEX($D$19:$D$218,$E$12),1))))))</f>
        <v/>
      </c>
      <c r="N174" s="12">
        <f>IF(M174="","",$B$6*TAN(RADIANS(M174)))</f>
        <v/>
      </c>
      <c r="O174" s="12">
        <f>IF(N174="","",IF(L174=0,0,-N174*J174/SQRT(J174^2+K174^2)))</f>
        <v/>
      </c>
      <c r="P174" s="12">
        <f>IF(N174="","",IF(L174=0,0,N174*K174/SQRT(J174^2+K174^2)))</f>
        <v/>
      </c>
      <c r="Q174" s="12">
        <f>IF(N174="","",IF(N174=0,$B$7,$B$7-Y174*O174/N174))</f>
        <v/>
      </c>
      <c r="R174" s="12">
        <f>IF(N174="","",IF(N174=0,$B$8,$B$8+Y174*P174/N174))</f>
        <v/>
      </c>
      <c r="S174" s="12">
        <f>IFERROR(SQRT((Q174-H174)^2+(R174-I174)^2),"")</f>
        <v/>
      </c>
      <c r="T174">
        <f>147</f>
        <v/>
      </c>
      <c r="U174">
        <f>IF(T174&gt;4*$E$9,"",MIN(INT(T174/$E$9)+1,4))</f>
        <v/>
      </c>
      <c r="V174">
        <f>IF(T174=4*$E$9,-$E$6/2,IF(U174="","",CHOOSE(U174,-$E$6/2+MOD(T174,$E$9)/$E$9*$E$6,$E$6/2,$E$6/2-MOD(T174,$E$9)/$E$9*$E$6,-$E$6/2)))</f>
        <v/>
      </c>
      <c r="W174">
        <f>IF(T174=4*$E$9,-$E$7/2,IF(U174="","",CHOOSE(U174,-$E$7/2,-$E$7/2+MOD(T174,$E$9)/$E$9*$E$7,$E$7/2,$E$7/2-MOD(T174,$E$9)/$E$9*$E$7)))</f>
        <v/>
      </c>
      <c r="X174">
        <f>IF(OR($E$13&lt;&gt;"OK",M174=""),"",IF(M174&lt;=$A$19,$D$19,IF(M174&gt;=INDEX($A$19:$A$218,$E$12),INDEX($D$19:$D$218,$E$12),INDEX($D$19:$D$218,MATCH(M174,$A$19:INDEX($A$19:$A$218,$E$12),1))+(M174-INDEX($A$19:$A$218,MATCH(M174,$A$19:INDEX($A$19:$A$218,$E$12),1)))*(INDEX($D$19:$D$218,MATCH(M174,$A$19:INDEX($A$19:$A$218,$E$12),1)+1)-INDEX($D$19:$D$218,MATCH(M174,$A$19:INDEX($A$19:$A$218,$E$12),1)))/(INDEX($A$19:$A$218,MATCH(M174,$A$19:INDEX($A$19:$A$218,$E$12),1)+1)-INDEX($A$19:$A$218,MATCH(M174,$A$19:INDEX($A$19:$A$218,$E$12),1))))))</f>
        <v/>
      </c>
      <c r="Y174">
        <f>IF(X174="","",X174*1000/$B$4)</f>
        <v/>
      </c>
    </row>
    <row r="175">
      <c r="A175" s="10" t="n"/>
      <c r="B175" s="10" t="n"/>
      <c r="C175" s="11">
        <f>IF(A175="","",$B$5*TAN(RADIANS(A175)))</f>
        <v/>
      </c>
      <c r="D175" s="11">
        <f>IF(C175="","",C175*(1+B175/100))</f>
        <v/>
      </c>
      <c r="E175" s="11">
        <f>IF(A175="","",$B$6*TAN(RADIANS(A175)))</f>
        <v/>
      </c>
      <c r="G175" s="12">
        <f>IF(U175="","",T175)</f>
        <v/>
      </c>
      <c r="H175" s="12">
        <f>IF(U175="","",$E$4+V175*COS(RADIANS($E$8))-W175*SIN(RADIANS($E$8)))</f>
        <v/>
      </c>
      <c r="I175" s="12">
        <f>IF(U175="","",$E$5+V175*SIN(RADIANS($E$8))+W175*COS(RADIANS($E$8)))</f>
        <v/>
      </c>
      <c r="J175" s="12">
        <f>IF(H175="","",H175-$B$7)</f>
        <v/>
      </c>
      <c r="K175" s="12">
        <f>IF(I175="","",I175-$B$8)</f>
        <v/>
      </c>
      <c r="L175" s="12">
        <f>IFERROR(SQRT(J175^2+K175^2)*$B$4/1000,"")</f>
        <v/>
      </c>
      <c r="M175" s="12">
        <f>IF(OR($E$13&lt;&gt;"OK",L175=""),"",IF(L175&lt;=$D$19,$A$19,IF(L175&gt;=INDEX($D$19:$D$218,$E$12),INDEX($A$19:$A$218,$E$12),INDEX($A$19:$A$218,MATCH(L175,$D$19:INDEX($D$19:$D$218,$E$12),1))+(L175-INDEX($D$19:$D$218,MATCH(L175,$D$19:INDEX($D$19:$D$218,$E$12),1)))*(INDEX($A$19:$A$218,MATCH(L175,$D$19:INDEX($D$19:$D$218,$E$12),1)+1)-INDEX($A$19:$A$218,MATCH(L175,$D$19:INDEX($D$19:$D$218,$E$12),1)))/(INDEX($D$19:$D$218,MATCH(L175,$D$19:INDEX($D$19:$D$218,$E$12),1)+1)-INDEX($D$19:$D$218,MATCH(L175,$D$19:INDEX($D$19:$D$218,$E$12),1))))))</f>
        <v/>
      </c>
      <c r="N175" s="12">
        <f>IF(M175="","",$B$6*TAN(RADIANS(M175)))</f>
        <v/>
      </c>
      <c r="O175" s="12">
        <f>IF(N175="","",IF(L175=0,0,-N175*J175/SQRT(J175^2+K175^2)))</f>
        <v/>
      </c>
      <c r="P175" s="12">
        <f>IF(N175="","",IF(L175=0,0,N175*K175/SQRT(J175^2+K175^2)))</f>
        <v/>
      </c>
      <c r="Q175" s="12">
        <f>IF(N175="","",IF(N175=0,$B$7,$B$7-Y175*O175/N175))</f>
        <v/>
      </c>
      <c r="R175" s="12">
        <f>IF(N175="","",IF(N175=0,$B$8,$B$8+Y175*P175/N175))</f>
        <v/>
      </c>
      <c r="S175" s="12">
        <f>IFERROR(SQRT((Q175-H175)^2+(R175-I175)^2),"")</f>
        <v/>
      </c>
      <c r="T175">
        <f>148</f>
        <v/>
      </c>
      <c r="U175">
        <f>IF(T175&gt;4*$E$9,"",MIN(INT(T175/$E$9)+1,4))</f>
        <v/>
      </c>
      <c r="V175">
        <f>IF(T175=4*$E$9,-$E$6/2,IF(U175="","",CHOOSE(U175,-$E$6/2+MOD(T175,$E$9)/$E$9*$E$6,$E$6/2,$E$6/2-MOD(T175,$E$9)/$E$9*$E$6,-$E$6/2)))</f>
        <v/>
      </c>
      <c r="W175">
        <f>IF(T175=4*$E$9,-$E$7/2,IF(U175="","",CHOOSE(U175,-$E$7/2,-$E$7/2+MOD(T175,$E$9)/$E$9*$E$7,$E$7/2,$E$7/2-MOD(T175,$E$9)/$E$9*$E$7)))</f>
        <v/>
      </c>
      <c r="X175">
        <f>IF(OR($E$13&lt;&gt;"OK",M175=""),"",IF(M175&lt;=$A$19,$D$19,IF(M175&gt;=INDEX($A$19:$A$218,$E$12),INDEX($D$19:$D$218,$E$12),INDEX($D$19:$D$218,MATCH(M175,$A$19:INDEX($A$19:$A$218,$E$12),1))+(M175-INDEX($A$19:$A$218,MATCH(M175,$A$19:INDEX($A$19:$A$218,$E$12),1)))*(INDEX($D$19:$D$218,MATCH(M175,$A$19:INDEX($A$19:$A$218,$E$12),1)+1)-INDEX($D$19:$D$218,MATCH(M175,$A$19:INDEX($A$19:$A$218,$E$12),1)))/(INDEX($A$19:$A$218,MATCH(M175,$A$19:INDEX($A$19:$A$218,$E$12),1)+1)-INDEX($A$19:$A$218,MATCH(M175,$A$19:INDEX($A$19:$A$218,$E$12),1))))))</f>
        <v/>
      </c>
      <c r="Y175">
        <f>IF(X175="","",X175*1000/$B$4)</f>
        <v/>
      </c>
    </row>
    <row r="176">
      <c r="A176" s="10" t="n"/>
      <c r="B176" s="10" t="n"/>
      <c r="C176" s="11">
        <f>IF(A176="","",$B$5*TAN(RADIANS(A176)))</f>
        <v/>
      </c>
      <c r="D176" s="11">
        <f>IF(C176="","",C176*(1+B176/100))</f>
        <v/>
      </c>
      <c r="E176" s="11">
        <f>IF(A176="","",$B$6*TAN(RADIANS(A176)))</f>
        <v/>
      </c>
      <c r="G176" s="12">
        <f>IF(U176="","",T176)</f>
        <v/>
      </c>
      <c r="H176" s="12">
        <f>IF(U176="","",$E$4+V176*COS(RADIANS($E$8))-W176*SIN(RADIANS($E$8)))</f>
        <v/>
      </c>
      <c r="I176" s="12">
        <f>IF(U176="","",$E$5+V176*SIN(RADIANS($E$8))+W176*COS(RADIANS($E$8)))</f>
        <v/>
      </c>
      <c r="J176" s="12">
        <f>IF(H176="","",H176-$B$7)</f>
        <v/>
      </c>
      <c r="K176" s="12">
        <f>IF(I176="","",I176-$B$8)</f>
        <v/>
      </c>
      <c r="L176" s="12">
        <f>IFERROR(SQRT(J176^2+K176^2)*$B$4/1000,"")</f>
        <v/>
      </c>
      <c r="M176" s="12">
        <f>IF(OR($E$13&lt;&gt;"OK",L176=""),"",IF(L176&lt;=$D$19,$A$19,IF(L176&gt;=INDEX($D$19:$D$218,$E$12),INDEX($A$19:$A$218,$E$12),INDEX($A$19:$A$218,MATCH(L176,$D$19:INDEX($D$19:$D$218,$E$12),1))+(L176-INDEX($D$19:$D$218,MATCH(L176,$D$19:INDEX($D$19:$D$218,$E$12),1)))*(INDEX($A$19:$A$218,MATCH(L176,$D$19:INDEX($D$19:$D$218,$E$12),1)+1)-INDEX($A$19:$A$218,MATCH(L176,$D$19:INDEX($D$19:$D$218,$E$12),1)))/(INDEX($D$19:$D$218,MATCH(L176,$D$19:INDEX($D$19:$D$218,$E$12),1)+1)-INDEX($D$19:$D$218,MATCH(L176,$D$19:INDEX($D$19:$D$218,$E$12),1))))))</f>
        <v/>
      </c>
      <c r="N176" s="12">
        <f>IF(M176="","",$B$6*TAN(RADIANS(M176)))</f>
        <v/>
      </c>
      <c r="O176" s="12">
        <f>IF(N176="","",IF(L176=0,0,-N176*J176/SQRT(J176^2+K176^2)))</f>
        <v/>
      </c>
      <c r="P176" s="12">
        <f>IF(N176="","",IF(L176=0,0,N176*K176/SQRT(J176^2+K176^2)))</f>
        <v/>
      </c>
      <c r="Q176" s="12">
        <f>IF(N176="","",IF(N176=0,$B$7,$B$7-Y176*O176/N176))</f>
        <v/>
      </c>
      <c r="R176" s="12">
        <f>IF(N176="","",IF(N176=0,$B$8,$B$8+Y176*P176/N176))</f>
        <v/>
      </c>
      <c r="S176" s="12">
        <f>IFERROR(SQRT((Q176-H176)^2+(R176-I176)^2),"")</f>
        <v/>
      </c>
      <c r="T176">
        <f>149</f>
        <v/>
      </c>
      <c r="U176">
        <f>IF(T176&gt;4*$E$9,"",MIN(INT(T176/$E$9)+1,4))</f>
        <v/>
      </c>
      <c r="V176">
        <f>IF(T176=4*$E$9,-$E$6/2,IF(U176="","",CHOOSE(U176,-$E$6/2+MOD(T176,$E$9)/$E$9*$E$6,$E$6/2,$E$6/2-MOD(T176,$E$9)/$E$9*$E$6,-$E$6/2)))</f>
        <v/>
      </c>
      <c r="W176">
        <f>IF(T176=4*$E$9,-$E$7/2,IF(U176="","",CHOOSE(U176,-$E$7/2,-$E$7/2+MOD(T176,$E$9)/$E$9*$E$7,$E$7/2,$E$7/2-MOD(T176,$E$9)/$E$9*$E$7)))</f>
        <v/>
      </c>
      <c r="X176">
        <f>IF(OR($E$13&lt;&gt;"OK",M176=""),"",IF(M176&lt;=$A$19,$D$19,IF(M176&gt;=INDEX($A$19:$A$218,$E$12),INDEX($D$19:$D$218,$E$12),INDEX($D$19:$D$218,MATCH(M176,$A$19:INDEX($A$19:$A$218,$E$12),1))+(M176-INDEX($A$19:$A$218,MATCH(M176,$A$19:INDEX($A$19:$A$218,$E$12),1)))*(INDEX($D$19:$D$218,MATCH(M176,$A$19:INDEX($A$19:$A$218,$E$12),1)+1)-INDEX($D$19:$D$218,MATCH(M176,$A$19:INDEX($A$19:$A$218,$E$12),1)))/(INDEX($A$19:$A$218,MATCH(M176,$A$19:INDEX($A$19:$A$218,$E$12),1)+1)-INDEX($A$19:$A$218,MATCH(M176,$A$19:INDEX($A$19:$A$218,$E$12),1))))))</f>
        <v/>
      </c>
      <c r="Y176">
        <f>IF(X176="","",X176*1000/$B$4)</f>
        <v/>
      </c>
    </row>
    <row r="177">
      <c r="A177" s="10" t="n"/>
      <c r="B177" s="10" t="n"/>
      <c r="C177" s="11">
        <f>IF(A177="","",$B$5*TAN(RADIANS(A177)))</f>
        <v/>
      </c>
      <c r="D177" s="11">
        <f>IF(C177="","",C177*(1+B177/100))</f>
        <v/>
      </c>
      <c r="E177" s="11">
        <f>IF(A177="","",$B$6*TAN(RADIANS(A177)))</f>
        <v/>
      </c>
      <c r="G177" s="12">
        <f>IF(U177="","",T177)</f>
        <v/>
      </c>
      <c r="H177" s="12">
        <f>IF(U177="","",$E$4+V177*COS(RADIANS($E$8))-W177*SIN(RADIANS($E$8)))</f>
        <v/>
      </c>
      <c r="I177" s="12">
        <f>IF(U177="","",$E$5+V177*SIN(RADIANS($E$8))+W177*COS(RADIANS($E$8)))</f>
        <v/>
      </c>
      <c r="J177" s="12">
        <f>IF(H177="","",H177-$B$7)</f>
        <v/>
      </c>
      <c r="K177" s="12">
        <f>IF(I177="","",I177-$B$8)</f>
        <v/>
      </c>
      <c r="L177" s="12">
        <f>IFERROR(SQRT(J177^2+K177^2)*$B$4/1000,"")</f>
        <v/>
      </c>
      <c r="M177" s="12">
        <f>IF(OR($E$13&lt;&gt;"OK",L177=""),"",IF(L177&lt;=$D$19,$A$19,IF(L177&gt;=INDEX($D$19:$D$218,$E$12),INDEX($A$19:$A$218,$E$12),INDEX($A$19:$A$218,MATCH(L177,$D$19:INDEX($D$19:$D$218,$E$12),1))+(L177-INDEX($D$19:$D$218,MATCH(L177,$D$19:INDEX($D$19:$D$218,$E$12),1)))*(INDEX($A$19:$A$218,MATCH(L177,$D$19:INDEX($D$19:$D$218,$E$12),1)+1)-INDEX($A$19:$A$218,MATCH(L177,$D$19:INDEX($D$19:$D$218,$E$12),1)))/(INDEX($D$19:$D$218,MATCH(L177,$D$19:INDEX($D$19:$D$218,$E$12),1)+1)-INDEX($D$19:$D$218,MATCH(L177,$D$19:INDEX($D$19:$D$218,$E$12),1))))))</f>
        <v/>
      </c>
      <c r="N177" s="12">
        <f>IF(M177="","",$B$6*TAN(RADIANS(M177)))</f>
        <v/>
      </c>
      <c r="O177" s="12">
        <f>IF(N177="","",IF(L177=0,0,-N177*J177/SQRT(J177^2+K177^2)))</f>
        <v/>
      </c>
      <c r="P177" s="12">
        <f>IF(N177="","",IF(L177=0,0,N177*K177/SQRT(J177^2+K177^2)))</f>
        <v/>
      </c>
      <c r="Q177" s="12">
        <f>IF(N177="","",IF(N177=0,$B$7,$B$7-Y177*O177/N177))</f>
        <v/>
      </c>
      <c r="R177" s="12">
        <f>IF(N177="","",IF(N177=0,$B$8,$B$8+Y177*P177/N177))</f>
        <v/>
      </c>
      <c r="S177" s="12">
        <f>IFERROR(SQRT((Q177-H177)^2+(R177-I177)^2),"")</f>
        <v/>
      </c>
      <c r="T177">
        <f>150</f>
        <v/>
      </c>
      <c r="U177">
        <f>IF(T177&gt;4*$E$9,"",MIN(INT(T177/$E$9)+1,4))</f>
        <v/>
      </c>
      <c r="V177">
        <f>IF(T177=4*$E$9,-$E$6/2,IF(U177="","",CHOOSE(U177,-$E$6/2+MOD(T177,$E$9)/$E$9*$E$6,$E$6/2,$E$6/2-MOD(T177,$E$9)/$E$9*$E$6,-$E$6/2)))</f>
        <v/>
      </c>
      <c r="W177">
        <f>IF(T177=4*$E$9,-$E$7/2,IF(U177="","",CHOOSE(U177,-$E$7/2,-$E$7/2+MOD(T177,$E$9)/$E$9*$E$7,$E$7/2,$E$7/2-MOD(T177,$E$9)/$E$9*$E$7)))</f>
        <v/>
      </c>
      <c r="X177">
        <f>IF(OR($E$13&lt;&gt;"OK",M177=""),"",IF(M177&lt;=$A$19,$D$19,IF(M177&gt;=INDEX($A$19:$A$218,$E$12),INDEX($D$19:$D$218,$E$12),INDEX($D$19:$D$218,MATCH(M177,$A$19:INDEX($A$19:$A$218,$E$12),1))+(M177-INDEX($A$19:$A$218,MATCH(M177,$A$19:INDEX($A$19:$A$218,$E$12),1)))*(INDEX($D$19:$D$218,MATCH(M177,$A$19:INDEX($A$19:$A$218,$E$12),1)+1)-INDEX($D$19:$D$218,MATCH(M177,$A$19:INDEX($A$19:$A$218,$E$12),1)))/(INDEX($A$19:$A$218,MATCH(M177,$A$19:INDEX($A$19:$A$218,$E$12),1)+1)-INDEX($A$19:$A$218,MATCH(M177,$A$19:INDEX($A$19:$A$218,$E$12),1))))))</f>
        <v/>
      </c>
      <c r="Y177">
        <f>IF(X177="","",X177*1000/$B$4)</f>
        <v/>
      </c>
    </row>
    <row r="178">
      <c r="A178" s="10" t="n"/>
      <c r="B178" s="10" t="n"/>
      <c r="C178" s="11">
        <f>IF(A178="","",$B$5*TAN(RADIANS(A178)))</f>
        <v/>
      </c>
      <c r="D178" s="11">
        <f>IF(C178="","",C178*(1+B178/100))</f>
        <v/>
      </c>
      <c r="E178" s="11">
        <f>IF(A178="","",$B$6*TAN(RADIANS(A178)))</f>
        <v/>
      </c>
      <c r="G178" s="12">
        <f>IF(U178="","",T178)</f>
        <v/>
      </c>
      <c r="H178" s="12">
        <f>IF(U178="","",$E$4+V178*COS(RADIANS($E$8))-W178*SIN(RADIANS($E$8)))</f>
        <v/>
      </c>
      <c r="I178" s="12">
        <f>IF(U178="","",$E$5+V178*SIN(RADIANS($E$8))+W178*COS(RADIANS($E$8)))</f>
        <v/>
      </c>
      <c r="J178" s="12">
        <f>IF(H178="","",H178-$B$7)</f>
        <v/>
      </c>
      <c r="K178" s="12">
        <f>IF(I178="","",I178-$B$8)</f>
        <v/>
      </c>
      <c r="L178" s="12">
        <f>IFERROR(SQRT(J178^2+K178^2)*$B$4/1000,"")</f>
        <v/>
      </c>
      <c r="M178" s="12">
        <f>IF(OR($E$13&lt;&gt;"OK",L178=""),"",IF(L178&lt;=$D$19,$A$19,IF(L178&gt;=INDEX($D$19:$D$218,$E$12),INDEX($A$19:$A$218,$E$12),INDEX($A$19:$A$218,MATCH(L178,$D$19:INDEX($D$19:$D$218,$E$12),1))+(L178-INDEX($D$19:$D$218,MATCH(L178,$D$19:INDEX($D$19:$D$218,$E$12),1)))*(INDEX($A$19:$A$218,MATCH(L178,$D$19:INDEX($D$19:$D$218,$E$12),1)+1)-INDEX($A$19:$A$218,MATCH(L178,$D$19:INDEX($D$19:$D$218,$E$12),1)))/(INDEX($D$19:$D$218,MATCH(L178,$D$19:INDEX($D$19:$D$218,$E$12),1)+1)-INDEX($D$19:$D$218,MATCH(L178,$D$19:INDEX($D$19:$D$218,$E$12),1))))))</f>
        <v/>
      </c>
      <c r="N178" s="12">
        <f>IF(M178="","",$B$6*TAN(RADIANS(M178)))</f>
        <v/>
      </c>
      <c r="O178" s="12">
        <f>IF(N178="","",IF(L178=0,0,-N178*J178/SQRT(J178^2+K178^2)))</f>
        <v/>
      </c>
      <c r="P178" s="12">
        <f>IF(N178="","",IF(L178=0,0,N178*K178/SQRT(J178^2+K178^2)))</f>
        <v/>
      </c>
      <c r="Q178" s="12">
        <f>IF(N178="","",IF(N178=0,$B$7,$B$7-Y178*O178/N178))</f>
        <v/>
      </c>
      <c r="R178" s="12">
        <f>IF(N178="","",IF(N178=0,$B$8,$B$8+Y178*P178/N178))</f>
        <v/>
      </c>
      <c r="S178" s="12">
        <f>IFERROR(SQRT((Q178-H178)^2+(R178-I178)^2),"")</f>
        <v/>
      </c>
      <c r="T178">
        <f>151</f>
        <v/>
      </c>
      <c r="U178">
        <f>IF(T178&gt;4*$E$9,"",MIN(INT(T178/$E$9)+1,4))</f>
        <v/>
      </c>
      <c r="V178">
        <f>IF(T178=4*$E$9,-$E$6/2,IF(U178="","",CHOOSE(U178,-$E$6/2+MOD(T178,$E$9)/$E$9*$E$6,$E$6/2,$E$6/2-MOD(T178,$E$9)/$E$9*$E$6,-$E$6/2)))</f>
        <v/>
      </c>
      <c r="W178">
        <f>IF(T178=4*$E$9,-$E$7/2,IF(U178="","",CHOOSE(U178,-$E$7/2,-$E$7/2+MOD(T178,$E$9)/$E$9*$E$7,$E$7/2,$E$7/2-MOD(T178,$E$9)/$E$9*$E$7)))</f>
        <v/>
      </c>
      <c r="X178">
        <f>IF(OR($E$13&lt;&gt;"OK",M178=""),"",IF(M178&lt;=$A$19,$D$19,IF(M178&gt;=INDEX($A$19:$A$218,$E$12),INDEX($D$19:$D$218,$E$12),INDEX($D$19:$D$218,MATCH(M178,$A$19:INDEX($A$19:$A$218,$E$12),1))+(M178-INDEX($A$19:$A$218,MATCH(M178,$A$19:INDEX($A$19:$A$218,$E$12),1)))*(INDEX($D$19:$D$218,MATCH(M178,$A$19:INDEX($A$19:$A$218,$E$12),1)+1)-INDEX($D$19:$D$218,MATCH(M178,$A$19:INDEX($A$19:$A$218,$E$12),1)))/(INDEX($A$19:$A$218,MATCH(M178,$A$19:INDEX($A$19:$A$218,$E$12),1)+1)-INDEX($A$19:$A$218,MATCH(M178,$A$19:INDEX($A$19:$A$218,$E$12),1))))))</f>
        <v/>
      </c>
      <c r="Y178">
        <f>IF(X178="","",X178*1000/$B$4)</f>
        <v/>
      </c>
    </row>
    <row r="179">
      <c r="A179" s="10" t="n"/>
      <c r="B179" s="10" t="n"/>
      <c r="C179" s="11">
        <f>IF(A179="","",$B$5*TAN(RADIANS(A179)))</f>
        <v/>
      </c>
      <c r="D179" s="11">
        <f>IF(C179="","",C179*(1+B179/100))</f>
        <v/>
      </c>
      <c r="E179" s="11">
        <f>IF(A179="","",$B$6*TAN(RADIANS(A179)))</f>
        <v/>
      </c>
      <c r="G179" s="12">
        <f>IF(U179="","",T179)</f>
        <v/>
      </c>
      <c r="H179" s="12">
        <f>IF(U179="","",$E$4+V179*COS(RADIANS($E$8))-W179*SIN(RADIANS($E$8)))</f>
        <v/>
      </c>
      <c r="I179" s="12">
        <f>IF(U179="","",$E$5+V179*SIN(RADIANS($E$8))+W179*COS(RADIANS($E$8)))</f>
        <v/>
      </c>
      <c r="J179" s="12">
        <f>IF(H179="","",H179-$B$7)</f>
        <v/>
      </c>
      <c r="K179" s="12">
        <f>IF(I179="","",I179-$B$8)</f>
        <v/>
      </c>
      <c r="L179" s="12">
        <f>IFERROR(SQRT(J179^2+K179^2)*$B$4/1000,"")</f>
        <v/>
      </c>
      <c r="M179" s="12">
        <f>IF(OR($E$13&lt;&gt;"OK",L179=""),"",IF(L179&lt;=$D$19,$A$19,IF(L179&gt;=INDEX($D$19:$D$218,$E$12),INDEX($A$19:$A$218,$E$12),INDEX($A$19:$A$218,MATCH(L179,$D$19:INDEX($D$19:$D$218,$E$12),1))+(L179-INDEX($D$19:$D$218,MATCH(L179,$D$19:INDEX($D$19:$D$218,$E$12),1)))*(INDEX($A$19:$A$218,MATCH(L179,$D$19:INDEX($D$19:$D$218,$E$12),1)+1)-INDEX($A$19:$A$218,MATCH(L179,$D$19:INDEX($D$19:$D$218,$E$12),1)))/(INDEX($D$19:$D$218,MATCH(L179,$D$19:INDEX($D$19:$D$218,$E$12),1)+1)-INDEX($D$19:$D$218,MATCH(L179,$D$19:INDEX($D$19:$D$218,$E$12),1))))))</f>
        <v/>
      </c>
      <c r="N179" s="12">
        <f>IF(M179="","",$B$6*TAN(RADIANS(M179)))</f>
        <v/>
      </c>
      <c r="O179" s="12">
        <f>IF(N179="","",IF(L179=0,0,-N179*J179/SQRT(J179^2+K179^2)))</f>
        <v/>
      </c>
      <c r="P179" s="12">
        <f>IF(N179="","",IF(L179=0,0,N179*K179/SQRT(J179^2+K179^2)))</f>
        <v/>
      </c>
      <c r="Q179" s="12">
        <f>IF(N179="","",IF(N179=0,$B$7,$B$7-Y179*O179/N179))</f>
        <v/>
      </c>
      <c r="R179" s="12">
        <f>IF(N179="","",IF(N179=0,$B$8,$B$8+Y179*P179/N179))</f>
        <v/>
      </c>
      <c r="S179" s="12">
        <f>IFERROR(SQRT((Q179-H179)^2+(R179-I179)^2),"")</f>
        <v/>
      </c>
      <c r="T179">
        <f>152</f>
        <v/>
      </c>
      <c r="U179">
        <f>IF(T179&gt;4*$E$9,"",MIN(INT(T179/$E$9)+1,4))</f>
        <v/>
      </c>
      <c r="V179">
        <f>IF(T179=4*$E$9,-$E$6/2,IF(U179="","",CHOOSE(U179,-$E$6/2+MOD(T179,$E$9)/$E$9*$E$6,$E$6/2,$E$6/2-MOD(T179,$E$9)/$E$9*$E$6,-$E$6/2)))</f>
        <v/>
      </c>
      <c r="W179">
        <f>IF(T179=4*$E$9,-$E$7/2,IF(U179="","",CHOOSE(U179,-$E$7/2,-$E$7/2+MOD(T179,$E$9)/$E$9*$E$7,$E$7/2,$E$7/2-MOD(T179,$E$9)/$E$9*$E$7)))</f>
        <v/>
      </c>
      <c r="X179">
        <f>IF(OR($E$13&lt;&gt;"OK",M179=""),"",IF(M179&lt;=$A$19,$D$19,IF(M179&gt;=INDEX($A$19:$A$218,$E$12),INDEX($D$19:$D$218,$E$12),INDEX($D$19:$D$218,MATCH(M179,$A$19:INDEX($A$19:$A$218,$E$12),1))+(M179-INDEX($A$19:$A$218,MATCH(M179,$A$19:INDEX($A$19:$A$218,$E$12),1)))*(INDEX($D$19:$D$218,MATCH(M179,$A$19:INDEX($A$19:$A$218,$E$12),1)+1)-INDEX($D$19:$D$218,MATCH(M179,$A$19:INDEX($A$19:$A$218,$E$12),1)))/(INDEX($A$19:$A$218,MATCH(M179,$A$19:INDEX($A$19:$A$218,$E$12),1)+1)-INDEX($A$19:$A$218,MATCH(M179,$A$19:INDEX($A$19:$A$218,$E$12),1))))))</f>
        <v/>
      </c>
      <c r="Y179">
        <f>IF(X179="","",X179*1000/$B$4)</f>
        <v/>
      </c>
    </row>
    <row r="180">
      <c r="A180" s="10" t="n"/>
      <c r="B180" s="10" t="n"/>
      <c r="C180" s="11">
        <f>IF(A180="","",$B$5*TAN(RADIANS(A180)))</f>
        <v/>
      </c>
      <c r="D180" s="11">
        <f>IF(C180="","",C180*(1+B180/100))</f>
        <v/>
      </c>
      <c r="E180" s="11">
        <f>IF(A180="","",$B$6*TAN(RADIANS(A180)))</f>
        <v/>
      </c>
      <c r="G180" s="12">
        <f>IF(U180="","",T180)</f>
        <v/>
      </c>
      <c r="H180" s="12">
        <f>IF(U180="","",$E$4+V180*COS(RADIANS($E$8))-W180*SIN(RADIANS($E$8)))</f>
        <v/>
      </c>
      <c r="I180" s="12">
        <f>IF(U180="","",$E$5+V180*SIN(RADIANS($E$8))+W180*COS(RADIANS($E$8)))</f>
        <v/>
      </c>
      <c r="J180" s="12">
        <f>IF(H180="","",H180-$B$7)</f>
        <v/>
      </c>
      <c r="K180" s="12">
        <f>IF(I180="","",I180-$B$8)</f>
        <v/>
      </c>
      <c r="L180" s="12">
        <f>IFERROR(SQRT(J180^2+K180^2)*$B$4/1000,"")</f>
        <v/>
      </c>
      <c r="M180" s="12">
        <f>IF(OR($E$13&lt;&gt;"OK",L180=""),"",IF(L180&lt;=$D$19,$A$19,IF(L180&gt;=INDEX($D$19:$D$218,$E$12),INDEX($A$19:$A$218,$E$12),INDEX($A$19:$A$218,MATCH(L180,$D$19:INDEX($D$19:$D$218,$E$12),1))+(L180-INDEX($D$19:$D$218,MATCH(L180,$D$19:INDEX($D$19:$D$218,$E$12),1)))*(INDEX($A$19:$A$218,MATCH(L180,$D$19:INDEX($D$19:$D$218,$E$12),1)+1)-INDEX($A$19:$A$218,MATCH(L180,$D$19:INDEX($D$19:$D$218,$E$12),1)))/(INDEX($D$19:$D$218,MATCH(L180,$D$19:INDEX($D$19:$D$218,$E$12),1)+1)-INDEX($D$19:$D$218,MATCH(L180,$D$19:INDEX($D$19:$D$218,$E$12),1))))))</f>
        <v/>
      </c>
      <c r="N180" s="12">
        <f>IF(M180="","",$B$6*TAN(RADIANS(M180)))</f>
        <v/>
      </c>
      <c r="O180" s="12">
        <f>IF(N180="","",IF(L180=0,0,-N180*J180/SQRT(J180^2+K180^2)))</f>
        <v/>
      </c>
      <c r="P180" s="12">
        <f>IF(N180="","",IF(L180=0,0,N180*K180/SQRT(J180^2+K180^2)))</f>
        <v/>
      </c>
      <c r="Q180" s="12">
        <f>IF(N180="","",IF(N180=0,$B$7,$B$7-Y180*O180/N180))</f>
        <v/>
      </c>
      <c r="R180" s="12">
        <f>IF(N180="","",IF(N180=0,$B$8,$B$8+Y180*P180/N180))</f>
        <v/>
      </c>
      <c r="S180" s="12">
        <f>IFERROR(SQRT((Q180-H180)^2+(R180-I180)^2),"")</f>
        <v/>
      </c>
      <c r="T180">
        <f>153</f>
        <v/>
      </c>
      <c r="U180">
        <f>IF(T180&gt;4*$E$9,"",MIN(INT(T180/$E$9)+1,4))</f>
        <v/>
      </c>
      <c r="V180">
        <f>IF(T180=4*$E$9,-$E$6/2,IF(U180="","",CHOOSE(U180,-$E$6/2+MOD(T180,$E$9)/$E$9*$E$6,$E$6/2,$E$6/2-MOD(T180,$E$9)/$E$9*$E$6,-$E$6/2)))</f>
        <v/>
      </c>
      <c r="W180">
        <f>IF(T180=4*$E$9,-$E$7/2,IF(U180="","",CHOOSE(U180,-$E$7/2,-$E$7/2+MOD(T180,$E$9)/$E$9*$E$7,$E$7/2,$E$7/2-MOD(T180,$E$9)/$E$9*$E$7)))</f>
        <v/>
      </c>
      <c r="X180">
        <f>IF(OR($E$13&lt;&gt;"OK",M180=""),"",IF(M180&lt;=$A$19,$D$19,IF(M180&gt;=INDEX($A$19:$A$218,$E$12),INDEX($D$19:$D$218,$E$12),INDEX($D$19:$D$218,MATCH(M180,$A$19:INDEX($A$19:$A$218,$E$12),1))+(M180-INDEX($A$19:$A$218,MATCH(M180,$A$19:INDEX($A$19:$A$218,$E$12),1)))*(INDEX($D$19:$D$218,MATCH(M180,$A$19:INDEX($A$19:$A$218,$E$12),1)+1)-INDEX($D$19:$D$218,MATCH(M180,$A$19:INDEX($A$19:$A$218,$E$12),1)))/(INDEX($A$19:$A$218,MATCH(M180,$A$19:INDEX($A$19:$A$218,$E$12),1)+1)-INDEX($A$19:$A$218,MATCH(M180,$A$19:INDEX($A$19:$A$218,$E$12),1))))))</f>
        <v/>
      </c>
      <c r="Y180">
        <f>IF(X180="","",X180*1000/$B$4)</f>
        <v/>
      </c>
    </row>
    <row r="181">
      <c r="A181" s="10" t="n"/>
      <c r="B181" s="10" t="n"/>
      <c r="C181" s="11">
        <f>IF(A181="","",$B$5*TAN(RADIANS(A181)))</f>
        <v/>
      </c>
      <c r="D181" s="11">
        <f>IF(C181="","",C181*(1+B181/100))</f>
        <v/>
      </c>
      <c r="E181" s="11">
        <f>IF(A181="","",$B$6*TAN(RADIANS(A181)))</f>
        <v/>
      </c>
      <c r="G181" s="12">
        <f>IF(U181="","",T181)</f>
        <v/>
      </c>
      <c r="H181" s="12">
        <f>IF(U181="","",$E$4+V181*COS(RADIANS($E$8))-W181*SIN(RADIANS($E$8)))</f>
        <v/>
      </c>
      <c r="I181" s="12">
        <f>IF(U181="","",$E$5+V181*SIN(RADIANS($E$8))+W181*COS(RADIANS($E$8)))</f>
        <v/>
      </c>
      <c r="J181" s="12">
        <f>IF(H181="","",H181-$B$7)</f>
        <v/>
      </c>
      <c r="K181" s="12">
        <f>IF(I181="","",I181-$B$8)</f>
        <v/>
      </c>
      <c r="L181" s="12">
        <f>IFERROR(SQRT(J181^2+K181^2)*$B$4/1000,"")</f>
        <v/>
      </c>
      <c r="M181" s="12">
        <f>IF(OR($E$13&lt;&gt;"OK",L181=""),"",IF(L181&lt;=$D$19,$A$19,IF(L181&gt;=INDEX($D$19:$D$218,$E$12),INDEX($A$19:$A$218,$E$12),INDEX($A$19:$A$218,MATCH(L181,$D$19:INDEX($D$19:$D$218,$E$12),1))+(L181-INDEX($D$19:$D$218,MATCH(L181,$D$19:INDEX($D$19:$D$218,$E$12),1)))*(INDEX($A$19:$A$218,MATCH(L181,$D$19:INDEX($D$19:$D$218,$E$12),1)+1)-INDEX($A$19:$A$218,MATCH(L181,$D$19:INDEX($D$19:$D$218,$E$12),1)))/(INDEX($D$19:$D$218,MATCH(L181,$D$19:INDEX($D$19:$D$218,$E$12),1)+1)-INDEX($D$19:$D$218,MATCH(L181,$D$19:INDEX($D$19:$D$218,$E$12),1))))))</f>
        <v/>
      </c>
      <c r="N181" s="12">
        <f>IF(M181="","",$B$6*TAN(RADIANS(M181)))</f>
        <v/>
      </c>
      <c r="O181" s="12">
        <f>IF(N181="","",IF(L181=0,0,-N181*J181/SQRT(J181^2+K181^2)))</f>
        <v/>
      </c>
      <c r="P181" s="12">
        <f>IF(N181="","",IF(L181=0,0,N181*K181/SQRT(J181^2+K181^2)))</f>
        <v/>
      </c>
      <c r="Q181" s="12">
        <f>IF(N181="","",IF(N181=0,$B$7,$B$7-Y181*O181/N181))</f>
        <v/>
      </c>
      <c r="R181" s="12">
        <f>IF(N181="","",IF(N181=0,$B$8,$B$8+Y181*P181/N181))</f>
        <v/>
      </c>
      <c r="S181" s="12">
        <f>IFERROR(SQRT((Q181-H181)^2+(R181-I181)^2),"")</f>
        <v/>
      </c>
      <c r="T181">
        <f>154</f>
        <v/>
      </c>
      <c r="U181">
        <f>IF(T181&gt;4*$E$9,"",MIN(INT(T181/$E$9)+1,4))</f>
        <v/>
      </c>
      <c r="V181">
        <f>IF(T181=4*$E$9,-$E$6/2,IF(U181="","",CHOOSE(U181,-$E$6/2+MOD(T181,$E$9)/$E$9*$E$6,$E$6/2,$E$6/2-MOD(T181,$E$9)/$E$9*$E$6,-$E$6/2)))</f>
        <v/>
      </c>
      <c r="W181">
        <f>IF(T181=4*$E$9,-$E$7/2,IF(U181="","",CHOOSE(U181,-$E$7/2,-$E$7/2+MOD(T181,$E$9)/$E$9*$E$7,$E$7/2,$E$7/2-MOD(T181,$E$9)/$E$9*$E$7)))</f>
        <v/>
      </c>
      <c r="X181">
        <f>IF(OR($E$13&lt;&gt;"OK",M181=""),"",IF(M181&lt;=$A$19,$D$19,IF(M181&gt;=INDEX($A$19:$A$218,$E$12),INDEX($D$19:$D$218,$E$12),INDEX($D$19:$D$218,MATCH(M181,$A$19:INDEX($A$19:$A$218,$E$12),1))+(M181-INDEX($A$19:$A$218,MATCH(M181,$A$19:INDEX($A$19:$A$218,$E$12),1)))*(INDEX($D$19:$D$218,MATCH(M181,$A$19:INDEX($A$19:$A$218,$E$12),1)+1)-INDEX($D$19:$D$218,MATCH(M181,$A$19:INDEX($A$19:$A$218,$E$12),1)))/(INDEX($A$19:$A$218,MATCH(M181,$A$19:INDEX($A$19:$A$218,$E$12),1)+1)-INDEX($A$19:$A$218,MATCH(M181,$A$19:INDEX($A$19:$A$218,$E$12),1))))))</f>
        <v/>
      </c>
      <c r="Y181">
        <f>IF(X181="","",X181*1000/$B$4)</f>
        <v/>
      </c>
    </row>
    <row r="182">
      <c r="A182" s="10" t="n"/>
      <c r="B182" s="10" t="n"/>
      <c r="C182" s="11">
        <f>IF(A182="","",$B$5*TAN(RADIANS(A182)))</f>
        <v/>
      </c>
      <c r="D182" s="11">
        <f>IF(C182="","",C182*(1+B182/100))</f>
        <v/>
      </c>
      <c r="E182" s="11">
        <f>IF(A182="","",$B$6*TAN(RADIANS(A182)))</f>
        <v/>
      </c>
      <c r="G182" s="12">
        <f>IF(U182="","",T182)</f>
        <v/>
      </c>
      <c r="H182" s="12">
        <f>IF(U182="","",$E$4+V182*COS(RADIANS($E$8))-W182*SIN(RADIANS($E$8)))</f>
        <v/>
      </c>
      <c r="I182" s="12">
        <f>IF(U182="","",$E$5+V182*SIN(RADIANS($E$8))+W182*COS(RADIANS($E$8)))</f>
        <v/>
      </c>
      <c r="J182" s="12">
        <f>IF(H182="","",H182-$B$7)</f>
        <v/>
      </c>
      <c r="K182" s="12">
        <f>IF(I182="","",I182-$B$8)</f>
        <v/>
      </c>
      <c r="L182" s="12">
        <f>IFERROR(SQRT(J182^2+K182^2)*$B$4/1000,"")</f>
        <v/>
      </c>
      <c r="M182" s="12">
        <f>IF(OR($E$13&lt;&gt;"OK",L182=""),"",IF(L182&lt;=$D$19,$A$19,IF(L182&gt;=INDEX($D$19:$D$218,$E$12),INDEX($A$19:$A$218,$E$12),INDEX($A$19:$A$218,MATCH(L182,$D$19:INDEX($D$19:$D$218,$E$12),1))+(L182-INDEX($D$19:$D$218,MATCH(L182,$D$19:INDEX($D$19:$D$218,$E$12),1)))*(INDEX($A$19:$A$218,MATCH(L182,$D$19:INDEX($D$19:$D$218,$E$12),1)+1)-INDEX($A$19:$A$218,MATCH(L182,$D$19:INDEX($D$19:$D$218,$E$12),1)))/(INDEX($D$19:$D$218,MATCH(L182,$D$19:INDEX($D$19:$D$218,$E$12),1)+1)-INDEX($D$19:$D$218,MATCH(L182,$D$19:INDEX($D$19:$D$218,$E$12),1))))))</f>
        <v/>
      </c>
      <c r="N182" s="12">
        <f>IF(M182="","",$B$6*TAN(RADIANS(M182)))</f>
        <v/>
      </c>
      <c r="O182" s="12">
        <f>IF(N182="","",IF(L182=0,0,-N182*J182/SQRT(J182^2+K182^2)))</f>
        <v/>
      </c>
      <c r="P182" s="12">
        <f>IF(N182="","",IF(L182=0,0,N182*K182/SQRT(J182^2+K182^2)))</f>
        <v/>
      </c>
      <c r="Q182" s="12">
        <f>IF(N182="","",IF(N182=0,$B$7,$B$7-Y182*O182/N182))</f>
        <v/>
      </c>
      <c r="R182" s="12">
        <f>IF(N182="","",IF(N182=0,$B$8,$B$8+Y182*P182/N182))</f>
        <v/>
      </c>
      <c r="S182" s="12">
        <f>IFERROR(SQRT((Q182-H182)^2+(R182-I182)^2),"")</f>
        <v/>
      </c>
      <c r="T182">
        <f>155</f>
        <v/>
      </c>
      <c r="U182">
        <f>IF(T182&gt;4*$E$9,"",MIN(INT(T182/$E$9)+1,4))</f>
        <v/>
      </c>
      <c r="V182">
        <f>IF(T182=4*$E$9,-$E$6/2,IF(U182="","",CHOOSE(U182,-$E$6/2+MOD(T182,$E$9)/$E$9*$E$6,$E$6/2,$E$6/2-MOD(T182,$E$9)/$E$9*$E$6,-$E$6/2)))</f>
        <v/>
      </c>
      <c r="W182">
        <f>IF(T182=4*$E$9,-$E$7/2,IF(U182="","",CHOOSE(U182,-$E$7/2,-$E$7/2+MOD(T182,$E$9)/$E$9*$E$7,$E$7/2,$E$7/2-MOD(T182,$E$9)/$E$9*$E$7)))</f>
        <v/>
      </c>
      <c r="X182">
        <f>IF(OR($E$13&lt;&gt;"OK",M182=""),"",IF(M182&lt;=$A$19,$D$19,IF(M182&gt;=INDEX($A$19:$A$218,$E$12),INDEX($D$19:$D$218,$E$12),INDEX($D$19:$D$218,MATCH(M182,$A$19:INDEX($A$19:$A$218,$E$12),1))+(M182-INDEX($A$19:$A$218,MATCH(M182,$A$19:INDEX($A$19:$A$218,$E$12),1)))*(INDEX($D$19:$D$218,MATCH(M182,$A$19:INDEX($A$19:$A$218,$E$12),1)+1)-INDEX($D$19:$D$218,MATCH(M182,$A$19:INDEX($A$19:$A$218,$E$12),1)))/(INDEX($A$19:$A$218,MATCH(M182,$A$19:INDEX($A$19:$A$218,$E$12),1)+1)-INDEX($A$19:$A$218,MATCH(M182,$A$19:INDEX($A$19:$A$218,$E$12),1))))))</f>
        <v/>
      </c>
      <c r="Y182">
        <f>IF(X182="","",X182*1000/$B$4)</f>
        <v/>
      </c>
    </row>
    <row r="183">
      <c r="A183" s="10" t="n"/>
      <c r="B183" s="10" t="n"/>
      <c r="C183" s="11">
        <f>IF(A183="","",$B$5*TAN(RADIANS(A183)))</f>
        <v/>
      </c>
      <c r="D183" s="11">
        <f>IF(C183="","",C183*(1+B183/100))</f>
        <v/>
      </c>
      <c r="E183" s="11">
        <f>IF(A183="","",$B$6*TAN(RADIANS(A183)))</f>
        <v/>
      </c>
      <c r="G183" s="12">
        <f>IF(U183="","",T183)</f>
        <v/>
      </c>
      <c r="H183" s="12">
        <f>IF(U183="","",$E$4+V183*COS(RADIANS($E$8))-W183*SIN(RADIANS($E$8)))</f>
        <v/>
      </c>
      <c r="I183" s="12">
        <f>IF(U183="","",$E$5+V183*SIN(RADIANS($E$8))+W183*COS(RADIANS($E$8)))</f>
        <v/>
      </c>
      <c r="J183" s="12">
        <f>IF(H183="","",H183-$B$7)</f>
        <v/>
      </c>
      <c r="K183" s="12">
        <f>IF(I183="","",I183-$B$8)</f>
        <v/>
      </c>
      <c r="L183" s="12">
        <f>IFERROR(SQRT(J183^2+K183^2)*$B$4/1000,"")</f>
        <v/>
      </c>
      <c r="M183" s="12">
        <f>IF(OR($E$13&lt;&gt;"OK",L183=""),"",IF(L183&lt;=$D$19,$A$19,IF(L183&gt;=INDEX($D$19:$D$218,$E$12),INDEX($A$19:$A$218,$E$12),INDEX($A$19:$A$218,MATCH(L183,$D$19:INDEX($D$19:$D$218,$E$12),1))+(L183-INDEX($D$19:$D$218,MATCH(L183,$D$19:INDEX($D$19:$D$218,$E$12),1)))*(INDEX($A$19:$A$218,MATCH(L183,$D$19:INDEX($D$19:$D$218,$E$12),1)+1)-INDEX($A$19:$A$218,MATCH(L183,$D$19:INDEX($D$19:$D$218,$E$12),1)))/(INDEX($D$19:$D$218,MATCH(L183,$D$19:INDEX($D$19:$D$218,$E$12),1)+1)-INDEX($D$19:$D$218,MATCH(L183,$D$19:INDEX($D$19:$D$218,$E$12),1))))))</f>
        <v/>
      </c>
      <c r="N183" s="12">
        <f>IF(M183="","",$B$6*TAN(RADIANS(M183)))</f>
        <v/>
      </c>
      <c r="O183" s="12">
        <f>IF(N183="","",IF(L183=0,0,-N183*J183/SQRT(J183^2+K183^2)))</f>
        <v/>
      </c>
      <c r="P183" s="12">
        <f>IF(N183="","",IF(L183=0,0,N183*K183/SQRT(J183^2+K183^2)))</f>
        <v/>
      </c>
      <c r="Q183" s="12">
        <f>IF(N183="","",IF(N183=0,$B$7,$B$7-Y183*O183/N183))</f>
        <v/>
      </c>
      <c r="R183" s="12">
        <f>IF(N183="","",IF(N183=0,$B$8,$B$8+Y183*P183/N183))</f>
        <v/>
      </c>
      <c r="S183" s="12">
        <f>IFERROR(SQRT((Q183-H183)^2+(R183-I183)^2),"")</f>
        <v/>
      </c>
      <c r="T183">
        <f>156</f>
        <v/>
      </c>
      <c r="U183">
        <f>IF(T183&gt;4*$E$9,"",MIN(INT(T183/$E$9)+1,4))</f>
        <v/>
      </c>
      <c r="V183">
        <f>IF(T183=4*$E$9,-$E$6/2,IF(U183="","",CHOOSE(U183,-$E$6/2+MOD(T183,$E$9)/$E$9*$E$6,$E$6/2,$E$6/2-MOD(T183,$E$9)/$E$9*$E$6,-$E$6/2)))</f>
        <v/>
      </c>
      <c r="W183">
        <f>IF(T183=4*$E$9,-$E$7/2,IF(U183="","",CHOOSE(U183,-$E$7/2,-$E$7/2+MOD(T183,$E$9)/$E$9*$E$7,$E$7/2,$E$7/2-MOD(T183,$E$9)/$E$9*$E$7)))</f>
        <v/>
      </c>
      <c r="X183">
        <f>IF(OR($E$13&lt;&gt;"OK",M183=""),"",IF(M183&lt;=$A$19,$D$19,IF(M183&gt;=INDEX($A$19:$A$218,$E$12),INDEX($D$19:$D$218,$E$12),INDEX($D$19:$D$218,MATCH(M183,$A$19:INDEX($A$19:$A$218,$E$12),1))+(M183-INDEX($A$19:$A$218,MATCH(M183,$A$19:INDEX($A$19:$A$218,$E$12),1)))*(INDEX($D$19:$D$218,MATCH(M183,$A$19:INDEX($A$19:$A$218,$E$12),1)+1)-INDEX($D$19:$D$218,MATCH(M183,$A$19:INDEX($A$19:$A$218,$E$12),1)))/(INDEX($A$19:$A$218,MATCH(M183,$A$19:INDEX($A$19:$A$218,$E$12),1)+1)-INDEX($A$19:$A$218,MATCH(M183,$A$19:INDEX($A$19:$A$218,$E$12),1))))))</f>
        <v/>
      </c>
      <c r="Y183">
        <f>IF(X183="","",X183*1000/$B$4)</f>
        <v/>
      </c>
    </row>
    <row r="184">
      <c r="A184" s="10" t="n"/>
      <c r="B184" s="10" t="n"/>
      <c r="C184" s="11">
        <f>IF(A184="","",$B$5*TAN(RADIANS(A184)))</f>
        <v/>
      </c>
      <c r="D184" s="11">
        <f>IF(C184="","",C184*(1+B184/100))</f>
        <v/>
      </c>
      <c r="E184" s="11">
        <f>IF(A184="","",$B$6*TAN(RADIANS(A184)))</f>
        <v/>
      </c>
      <c r="G184" s="12">
        <f>IF(U184="","",T184)</f>
        <v/>
      </c>
      <c r="H184" s="12">
        <f>IF(U184="","",$E$4+V184*COS(RADIANS($E$8))-W184*SIN(RADIANS($E$8)))</f>
        <v/>
      </c>
      <c r="I184" s="12">
        <f>IF(U184="","",$E$5+V184*SIN(RADIANS($E$8))+W184*COS(RADIANS($E$8)))</f>
        <v/>
      </c>
      <c r="J184" s="12">
        <f>IF(H184="","",H184-$B$7)</f>
        <v/>
      </c>
      <c r="K184" s="12">
        <f>IF(I184="","",I184-$B$8)</f>
        <v/>
      </c>
      <c r="L184" s="12">
        <f>IFERROR(SQRT(J184^2+K184^2)*$B$4/1000,"")</f>
        <v/>
      </c>
      <c r="M184" s="12">
        <f>IF(OR($E$13&lt;&gt;"OK",L184=""),"",IF(L184&lt;=$D$19,$A$19,IF(L184&gt;=INDEX($D$19:$D$218,$E$12),INDEX($A$19:$A$218,$E$12),INDEX($A$19:$A$218,MATCH(L184,$D$19:INDEX($D$19:$D$218,$E$12),1))+(L184-INDEX($D$19:$D$218,MATCH(L184,$D$19:INDEX($D$19:$D$218,$E$12),1)))*(INDEX($A$19:$A$218,MATCH(L184,$D$19:INDEX($D$19:$D$218,$E$12),1)+1)-INDEX($A$19:$A$218,MATCH(L184,$D$19:INDEX($D$19:$D$218,$E$12),1)))/(INDEX($D$19:$D$218,MATCH(L184,$D$19:INDEX($D$19:$D$218,$E$12),1)+1)-INDEX($D$19:$D$218,MATCH(L184,$D$19:INDEX($D$19:$D$218,$E$12),1))))))</f>
        <v/>
      </c>
      <c r="N184" s="12">
        <f>IF(M184="","",$B$6*TAN(RADIANS(M184)))</f>
        <v/>
      </c>
      <c r="O184" s="12">
        <f>IF(N184="","",IF(L184=0,0,-N184*J184/SQRT(J184^2+K184^2)))</f>
        <v/>
      </c>
      <c r="P184" s="12">
        <f>IF(N184="","",IF(L184=0,0,N184*K184/SQRT(J184^2+K184^2)))</f>
        <v/>
      </c>
      <c r="Q184" s="12">
        <f>IF(N184="","",IF(N184=0,$B$7,$B$7-Y184*O184/N184))</f>
        <v/>
      </c>
      <c r="R184" s="12">
        <f>IF(N184="","",IF(N184=0,$B$8,$B$8+Y184*P184/N184))</f>
        <v/>
      </c>
      <c r="S184" s="12">
        <f>IFERROR(SQRT((Q184-H184)^2+(R184-I184)^2),"")</f>
        <v/>
      </c>
      <c r="T184">
        <f>157</f>
        <v/>
      </c>
      <c r="U184">
        <f>IF(T184&gt;4*$E$9,"",MIN(INT(T184/$E$9)+1,4))</f>
        <v/>
      </c>
      <c r="V184">
        <f>IF(T184=4*$E$9,-$E$6/2,IF(U184="","",CHOOSE(U184,-$E$6/2+MOD(T184,$E$9)/$E$9*$E$6,$E$6/2,$E$6/2-MOD(T184,$E$9)/$E$9*$E$6,-$E$6/2)))</f>
        <v/>
      </c>
      <c r="W184">
        <f>IF(T184=4*$E$9,-$E$7/2,IF(U184="","",CHOOSE(U184,-$E$7/2,-$E$7/2+MOD(T184,$E$9)/$E$9*$E$7,$E$7/2,$E$7/2-MOD(T184,$E$9)/$E$9*$E$7)))</f>
        <v/>
      </c>
      <c r="X184">
        <f>IF(OR($E$13&lt;&gt;"OK",M184=""),"",IF(M184&lt;=$A$19,$D$19,IF(M184&gt;=INDEX($A$19:$A$218,$E$12),INDEX($D$19:$D$218,$E$12),INDEX($D$19:$D$218,MATCH(M184,$A$19:INDEX($A$19:$A$218,$E$12),1))+(M184-INDEX($A$19:$A$218,MATCH(M184,$A$19:INDEX($A$19:$A$218,$E$12),1)))*(INDEX($D$19:$D$218,MATCH(M184,$A$19:INDEX($A$19:$A$218,$E$12),1)+1)-INDEX($D$19:$D$218,MATCH(M184,$A$19:INDEX($A$19:$A$218,$E$12),1)))/(INDEX($A$19:$A$218,MATCH(M184,$A$19:INDEX($A$19:$A$218,$E$12),1)+1)-INDEX($A$19:$A$218,MATCH(M184,$A$19:INDEX($A$19:$A$218,$E$12),1))))))</f>
        <v/>
      </c>
      <c r="Y184">
        <f>IF(X184="","",X184*1000/$B$4)</f>
        <v/>
      </c>
    </row>
    <row r="185">
      <c r="A185" s="10" t="n"/>
      <c r="B185" s="10" t="n"/>
      <c r="C185" s="11">
        <f>IF(A185="","",$B$5*TAN(RADIANS(A185)))</f>
        <v/>
      </c>
      <c r="D185" s="11">
        <f>IF(C185="","",C185*(1+B185/100))</f>
        <v/>
      </c>
      <c r="E185" s="11">
        <f>IF(A185="","",$B$6*TAN(RADIANS(A185)))</f>
        <v/>
      </c>
      <c r="G185" s="12">
        <f>IF(U185="","",T185)</f>
        <v/>
      </c>
      <c r="H185" s="12">
        <f>IF(U185="","",$E$4+V185*COS(RADIANS($E$8))-W185*SIN(RADIANS($E$8)))</f>
        <v/>
      </c>
      <c r="I185" s="12">
        <f>IF(U185="","",$E$5+V185*SIN(RADIANS($E$8))+W185*COS(RADIANS($E$8)))</f>
        <v/>
      </c>
      <c r="J185" s="12">
        <f>IF(H185="","",H185-$B$7)</f>
        <v/>
      </c>
      <c r="K185" s="12">
        <f>IF(I185="","",I185-$B$8)</f>
        <v/>
      </c>
      <c r="L185" s="12">
        <f>IFERROR(SQRT(J185^2+K185^2)*$B$4/1000,"")</f>
        <v/>
      </c>
      <c r="M185" s="12">
        <f>IF(OR($E$13&lt;&gt;"OK",L185=""),"",IF(L185&lt;=$D$19,$A$19,IF(L185&gt;=INDEX($D$19:$D$218,$E$12),INDEX($A$19:$A$218,$E$12),INDEX($A$19:$A$218,MATCH(L185,$D$19:INDEX($D$19:$D$218,$E$12),1))+(L185-INDEX($D$19:$D$218,MATCH(L185,$D$19:INDEX($D$19:$D$218,$E$12),1)))*(INDEX($A$19:$A$218,MATCH(L185,$D$19:INDEX($D$19:$D$218,$E$12),1)+1)-INDEX($A$19:$A$218,MATCH(L185,$D$19:INDEX($D$19:$D$218,$E$12),1)))/(INDEX($D$19:$D$218,MATCH(L185,$D$19:INDEX($D$19:$D$218,$E$12),1)+1)-INDEX($D$19:$D$218,MATCH(L185,$D$19:INDEX($D$19:$D$218,$E$12),1))))))</f>
        <v/>
      </c>
      <c r="N185" s="12">
        <f>IF(M185="","",$B$6*TAN(RADIANS(M185)))</f>
        <v/>
      </c>
      <c r="O185" s="12">
        <f>IF(N185="","",IF(L185=0,0,-N185*J185/SQRT(J185^2+K185^2)))</f>
        <v/>
      </c>
      <c r="P185" s="12">
        <f>IF(N185="","",IF(L185=0,0,N185*K185/SQRT(J185^2+K185^2)))</f>
        <v/>
      </c>
      <c r="Q185" s="12">
        <f>IF(N185="","",IF(N185=0,$B$7,$B$7-Y185*O185/N185))</f>
        <v/>
      </c>
      <c r="R185" s="12">
        <f>IF(N185="","",IF(N185=0,$B$8,$B$8+Y185*P185/N185))</f>
        <v/>
      </c>
      <c r="S185" s="12">
        <f>IFERROR(SQRT((Q185-H185)^2+(R185-I185)^2),"")</f>
        <v/>
      </c>
      <c r="T185">
        <f>158</f>
        <v/>
      </c>
      <c r="U185">
        <f>IF(T185&gt;4*$E$9,"",MIN(INT(T185/$E$9)+1,4))</f>
        <v/>
      </c>
      <c r="V185">
        <f>IF(T185=4*$E$9,-$E$6/2,IF(U185="","",CHOOSE(U185,-$E$6/2+MOD(T185,$E$9)/$E$9*$E$6,$E$6/2,$E$6/2-MOD(T185,$E$9)/$E$9*$E$6,-$E$6/2)))</f>
        <v/>
      </c>
      <c r="W185">
        <f>IF(T185=4*$E$9,-$E$7/2,IF(U185="","",CHOOSE(U185,-$E$7/2,-$E$7/2+MOD(T185,$E$9)/$E$9*$E$7,$E$7/2,$E$7/2-MOD(T185,$E$9)/$E$9*$E$7)))</f>
        <v/>
      </c>
      <c r="X185">
        <f>IF(OR($E$13&lt;&gt;"OK",M185=""),"",IF(M185&lt;=$A$19,$D$19,IF(M185&gt;=INDEX($A$19:$A$218,$E$12),INDEX($D$19:$D$218,$E$12),INDEX($D$19:$D$218,MATCH(M185,$A$19:INDEX($A$19:$A$218,$E$12),1))+(M185-INDEX($A$19:$A$218,MATCH(M185,$A$19:INDEX($A$19:$A$218,$E$12),1)))*(INDEX($D$19:$D$218,MATCH(M185,$A$19:INDEX($A$19:$A$218,$E$12),1)+1)-INDEX($D$19:$D$218,MATCH(M185,$A$19:INDEX($A$19:$A$218,$E$12),1)))/(INDEX($A$19:$A$218,MATCH(M185,$A$19:INDEX($A$19:$A$218,$E$12),1)+1)-INDEX($A$19:$A$218,MATCH(M185,$A$19:INDEX($A$19:$A$218,$E$12),1))))))</f>
        <v/>
      </c>
      <c r="Y185">
        <f>IF(X185="","",X185*1000/$B$4)</f>
        <v/>
      </c>
    </row>
    <row r="186">
      <c r="A186" s="10" t="n"/>
      <c r="B186" s="10" t="n"/>
      <c r="C186" s="11">
        <f>IF(A186="","",$B$5*TAN(RADIANS(A186)))</f>
        <v/>
      </c>
      <c r="D186" s="11">
        <f>IF(C186="","",C186*(1+B186/100))</f>
        <v/>
      </c>
      <c r="E186" s="11">
        <f>IF(A186="","",$B$6*TAN(RADIANS(A186)))</f>
        <v/>
      </c>
      <c r="G186" s="12">
        <f>IF(U186="","",T186)</f>
        <v/>
      </c>
      <c r="H186" s="12">
        <f>IF(U186="","",$E$4+V186*COS(RADIANS($E$8))-W186*SIN(RADIANS($E$8)))</f>
        <v/>
      </c>
      <c r="I186" s="12">
        <f>IF(U186="","",$E$5+V186*SIN(RADIANS($E$8))+W186*COS(RADIANS($E$8)))</f>
        <v/>
      </c>
      <c r="J186" s="12">
        <f>IF(H186="","",H186-$B$7)</f>
        <v/>
      </c>
      <c r="K186" s="12">
        <f>IF(I186="","",I186-$B$8)</f>
        <v/>
      </c>
      <c r="L186" s="12">
        <f>IFERROR(SQRT(J186^2+K186^2)*$B$4/1000,"")</f>
        <v/>
      </c>
      <c r="M186" s="12">
        <f>IF(OR($E$13&lt;&gt;"OK",L186=""),"",IF(L186&lt;=$D$19,$A$19,IF(L186&gt;=INDEX($D$19:$D$218,$E$12),INDEX($A$19:$A$218,$E$12),INDEX($A$19:$A$218,MATCH(L186,$D$19:INDEX($D$19:$D$218,$E$12),1))+(L186-INDEX($D$19:$D$218,MATCH(L186,$D$19:INDEX($D$19:$D$218,$E$12),1)))*(INDEX($A$19:$A$218,MATCH(L186,$D$19:INDEX($D$19:$D$218,$E$12),1)+1)-INDEX($A$19:$A$218,MATCH(L186,$D$19:INDEX($D$19:$D$218,$E$12),1)))/(INDEX($D$19:$D$218,MATCH(L186,$D$19:INDEX($D$19:$D$218,$E$12),1)+1)-INDEX($D$19:$D$218,MATCH(L186,$D$19:INDEX($D$19:$D$218,$E$12),1))))))</f>
        <v/>
      </c>
      <c r="N186" s="12">
        <f>IF(M186="","",$B$6*TAN(RADIANS(M186)))</f>
        <v/>
      </c>
      <c r="O186" s="12">
        <f>IF(N186="","",IF(L186=0,0,-N186*J186/SQRT(J186^2+K186^2)))</f>
        <v/>
      </c>
      <c r="P186" s="12">
        <f>IF(N186="","",IF(L186=0,0,N186*K186/SQRT(J186^2+K186^2)))</f>
        <v/>
      </c>
      <c r="Q186" s="12">
        <f>IF(N186="","",IF(N186=0,$B$7,$B$7-Y186*O186/N186))</f>
        <v/>
      </c>
      <c r="R186" s="12">
        <f>IF(N186="","",IF(N186=0,$B$8,$B$8+Y186*P186/N186))</f>
        <v/>
      </c>
      <c r="S186" s="12">
        <f>IFERROR(SQRT((Q186-H186)^2+(R186-I186)^2),"")</f>
        <v/>
      </c>
      <c r="T186">
        <f>159</f>
        <v/>
      </c>
      <c r="U186">
        <f>IF(T186&gt;4*$E$9,"",MIN(INT(T186/$E$9)+1,4))</f>
        <v/>
      </c>
      <c r="V186">
        <f>IF(T186=4*$E$9,-$E$6/2,IF(U186="","",CHOOSE(U186,-$E$6/2+MOD(T186,$E$9)/$E$9*$E$6,$E$6/2,$E$6/2-MOD(T186,$E$9)/$E$9*$E$6,-$E$6/2)))</f>
        <v/>
      </c>
      <c r="W186">
        <f>IF(T186=4*$E$9,-$E$7/2,IF(U186="","",CHOOSE(U186,-$E$7/2,-$E$7/2+MOD(T186,$E$9)/$E$9*$E$7,$E$7/2,$E$7/2-MOD(T186,$E$9)/$E$9*$E$7)))</f>
        <v/>
      </c>
      <c r="X186">
        <f>IF(OR($E$13&lt;&gt;"OK",M186=""),"",IF(M186&lt;=$A$19,$D$19,IF(M186&gt;=INDEX($A$19:$A$218,$E$12),INDEX($D$19:$D$218,$E$12),INDEX($D$19:$D$218,MATCH(M186,$A$19:INDEX($A$19:$A$218,$E$12),1))+(M186-INDEX($A$19:$A$218,MATCH(M186,$A$19:INDEX($A$19:$A$218,$E$12),1)))*(INDEX($D$19:$D$218,MATCH(M186,$A$19:INDEX($A$19:$A$218,$E$12),1)+1)-INDEX($D$19:$D$218,MATCH(M186,$A$19:INDEX($A$19:$A$218,$E$12),1)))/(INDEX($A$19:$A$218,MATCH(M186,$A$19:INDEX($A$19:$A$218,$E$12),1)+1)-INDEX($A$19:$A$218,MATCH(M186,$A$19:INDEX($A$19:$A$218,$E$12),1))))))</f>
        <v/>
      </c>
      <c r="Y186">
        <f>IF(X186="","",X186*1000/$B$4)</f>
        <v/>
      </c>
    </row>
    <row r="187">
      <c r="A187" s="10" t="n"/>
      <c r="B187" s="10" t="n"/>
      <c r="C187" s="11">
        <f>IF(A187="","",$B$5*TAN(RADIANS(A187)))</f>
        <v/>
      </c>
      <c r="D187" s="11">
        <f>IF(C187="","",C187*(1+B187/100))</f>
        <v/>
      </c>
      <c r="E187" s="11">
        <f>IF(A187="","",$B$6*TAN(RADIANS(A187)))</f>
        <v/>
      </c>
      <c r="G187" s="12">
        <f>IF(U187="","",T187)</f>
        <v/>
      </c>
      <c r="H187" s="12">
        <f>IF(U187="","",$E$4+V187*COS(RADIANS($E$8))-W187*SIN(RADIANS($E$8)))</f>
        <v/>
      </c>
      <c r="I187" s="12">
        <f>IF(U187="","",$E$5+V187*SIN(RADIANS($E$8))+W187*COS(RADIANS($E$8)))</f>
        <v/>
      </c>
      <c r="J187" s="12">
        <f>IF(H187="","",H187-$B$7)</f>
        <v/>
      </c>
      <c r="K187" s="12">
        <f>IF(I187="","",I187-$B$8)</f>
        <v/>
      </c>
      <c r="L187" s="12">
        <f>IFERROR(SQRT(J187^2+K187^2)*$B$4/1000,"")</f>
        <v/>
      </c>
      <c r="M187" s="12">
        <f>IF(OR($E$13&lt;&gt;"OK",L187=""),"",IF(L187&lt;=$D$19,$A$19,IF(L187&gt;=INDEX($D$19:$D$218,$E$12),INDEX($A$19:$A$218,$E$12),INDEX($A$19:$A$218,MATCH(L187,$D$19:INDEX($D$19:$D$218,$E$12),1))+(L187-INDEX($D$19:$D$218,MATCH(L187,$D$19:INDEX($D$19:$D$218,$E$12),1)))*(INDEX($A$19:$A$218,MATCH(L187,$D$19:INDEX($D$19:$D$218,$E$12),1)+1)-INDEX($A$19:$A$218,MATCH(L187,$D$19:INDEX($D$19:$D$218,$E$12),1)))/(INDEX($D$19:$D$218,MATCH(L187,$D$19:INDEX($D$19:$D$218,$E$12),1)+1)-INDEX($D$19:$D$218,MATCH(L187,$D$19:INDEX($D$19:$D$218,$E$12),1))))))</f>
        <v/>
      </c>
      <c r="N187" s="12">
        <f>IF(M187="","",$B$6*TAN(RADIANS(M187)))</f>
        <v/>
      </c>
      <c r="O187" s="12">
        <f>IF(N187="","",IF(L187=0,0,-N187*J187/SQRT(J187^2+K187^2)))</f>
        <v/>
      </c>
      <c r="P187" s="12">
        <f>IF(N187="","",IF(L187=0,0,N187*K187/SQRT(J187^2+K187^2)))</f>
        <v/>
      </c>
      <c r="Q187" s="12">
        <f>IF(N187="","",IF(N187=0,$B$7,$B$7-Y187*O187/N187))</f>
        <v/>
      </c>
      <c r="R187" s="12">
        <f>IF(N187="","",IF(N187=0,$B$8,$B$8+Y187*P187/N187))</f>
        <v/>
      </c>
      <c r="S187" s="12">
        <f>IFERROR(SQRT((Q187-H187)^2+(R187-I187)^2),"")</f>
        <v/>
      </c>
      <c r="T187">
        <f>160</f>
        <v/>
      </c>
      <c r="U187">
        <f>IF(T187&gt;4*$E$9,"",MIN(INT(T187/$E$9)+1,4))</f>
        <v/>
      </c>
      <c r="V187">
        <f>IF(T187=4*$E$9,-$E$6/2,IF(U187="","",CHOOSE(U187,-$E$6/2+MOD(T187,$E$9)/$E$9*$E$6,$E$6/2,$E$6/2-MOD(T187,$E$9)/$E$9*$E$6,-$E$6/2)))</f>
        <v/>
      </c>
      <c r="W187">
        <f>IF(T187=4*$E$9,-$E$7/2,IF(U187="","",CHOOSE(U187,-$E$7/2,-$E$7/2+MOD(T187,$E$9)/$E$9*$E$7,$E$7/2,$E$7/2-MOD(T187,$E$9)/$E$9*$E$7)))</f>
        <v/>
      </c>
      <c r="X187">
        <f>IF(OR($E$13&lt;&gt;"OK",M187=""),"",IF(M187&lt;=$A$19,$D$19,IF(M187&gt;=INDEX($A$19:$A$218,$E$12),INDEX($D$19:$D$218,$E$12),INDEX($D$19:$D$218,MATCH(M187,$A$19:INDEX($A$19:$A$218,$E$12),1))+(M187-INDEX($A$19:$A$218,MATCH(M187,$A$19:INDEX($A$19:$A$218,$E$12),1)))*(INDEX($D$19:$D$218,MATCH(M187,$A$19:INDEX($A$19:$A$218,$E$12),1)+1)-INDEX($D$19:$D$218,MATCH(M187,$A$19:INDEX($A$19:$A$218,$E$12),1)))/(INDEX($A$19:$A$218,MATCH(M187,$A$19:INDEX($A$19:$A$218,$E$12),1)+1)-INDEX($A$19:$A$218,MATCH(M187,$A$19:INDEX($A$19:$A$218,$E$12),1))))))</f>
        <v/>
      </c>
      <c r="Y187">
        <f>IF(X187="","",X187*1000/$B$4)</f>
        <v/>
      </c>
    </row>
    <row r="188">
      <c r="A188" s="10" t="n"/>
      <c r="B188" s="10" t="n"/>
      <c r="C188" s="11">
        <f>IF(A188="","",$B$5*TAN(RADIANS(A188)))</f>
        <v/>
      </c>
      <c r="D188" s="11">
        <f>IF(C188="","",C188*(1+B188/100))</f>
        <v/>
      </c>
      <c r="E188" s="11">
        <f>IF(A188="","",$B$6*TAN(RADIANS(A188)))</f>
        <v/>
      </c>
      <c r="G188" s="12">
        <f>IF(U188="","",T188)</f>
        <v/>
      </c>
      <c r="H188" s="12">
        <f>IF(U188="","",$E$4+V188*COS(RADIANS($E$8))-W188*SIN(RADIANS($E$8)))</f>
        <v/>
      </c>
      <c r="I188" s="12">
        <f>IF(U188="","",$E$5+V188*SIN(RADIANS($E$8))+W188*COS(RADIANS($E$8)))</f>
        <v/>
      </c>
      <c r="J188" s="12">
        <f>IF(H188="","",H188-$B$7)</f>
        <v/>
      </c>
      <c r="K188" s="12">
        <f>IF(I188="","",I188-$B$8)</f>
        <v/>
      </c>
      <c r="L188" s="12">
        <f>IFERROR(SQRT(J188^2+K188^2)*$B$4/1000,"")</f>
        <v/>
      </c>
      <c r="M188" s="12">
        <f>IF(OR($E$13&lt;&gt;"OK",L188=""),"",IF(L188&lt;=$D$19,$A$19,IF(L188&gt;=INDEX($D$19:$D$218,$E$12),INDEX($A$19:$A$218,$E$12),INDEX($A$19:$A$218,MATCH(L188,$D$19:INDEX($D$19:$D$218,$E$12),1))+(L188-INDEX($D$19:$D$218,MATCH(L188,$D$19:INDEX($D$19:$D$218,$E$12),1)))*(INDEX($A$19:$A$218,MATCH(L188,$D$19:INDEX($D$19:$D$218,$E$12),1)+1)-INDEX($A$19:$A$218,MATCH(L188,$D$19:INDEX($D$19:$D$218,$E$12),1)))/(INDEX($D$19:$D$218,MATCH(L188,$D$19:INDEX($D$19:$D$218,$E$12),1)+1)-INDEX($D$19:$D$218,MATCH(L188,$D$19:INDEX($D$19:$D$218,$E$12),1))))))</f>
        <v/>
      </c>
      <c r="N188" s="12">
        <f>IF(M188="","",$B$6*TAN(RADIANS(M188)))</f>
        <v/>
      </c>
      <c r="O188" s="12">
        <f>IF(N188="","",IF(L188=0,0,-N188*J188/SQRT(J188^2+K188^2)))</f>
        <v/>
      </c>
      <c r="P188" s="12">
        <f>IF(N188="","",IF(L188=0,0,N188*K188/SQRT(J188^2+K188^2)))</f>
        <v/>
      </c>
      <c r="Q188" s="12">
        <f>IF(N188="","",IF(N188=0,$B$7,$B$7-Y188*O188/N188))</f>
        <v/>
      </c>
      <c r="R188" s="12">
        <f>IF(N188="","",IF(N188=0,$B$8,$B$8+Y188*P188/N188))</f>
        <v/>
      </c>
      <c r="S188" s="12">
        <f>IFERROR(SQRT((Q188-H188)^2+(R188-I188)^2),"")</f>
        <v/>
      </c>
      <c r="T188">
        <f>161</f>
        <v/>
      </c>
      <c r="U188">
        <f>IF(T188&gt;4*$E$9,"",MIN(INT(T188/$E$9)+1,4))</f>
        <v/>
      </c>
      <c r="V188">
        <f>IF(T188=4*$E$9,-$E$6/2,IF(U188="","",CHOOSE(U188,-$E$6/2+MOD(T188,$E$9)/$E$9*$E$6,$E$6/2,$E$6/2-MOD(T188,$E$9)/$E$9*$E$6,-$E$6/2)))</f>
        <v/>
      </c>
      <c r="W188">
        <f>IF(T188=4*$E$9,-$E$7/2,IF(U188="","",CHOOSE(U188,-$E$7/2,-$E$7/2+MOD(T188,$E$9)/$E$9*$E$7,$E$7/2,$E$7/2-MOD(T188,$E$9)/$E$9*$E$7)))</f>
        <v/>
      </c>
      <c r="X188">
        <f>IF(OR($E$13&lt;&gt;"OK",M188=""),"",IF(M188&lt;=$A$19,$D$19,IF(M188&gt;=INDEX($A$19:$A$218,$E$12),INDEX($D$19:$D$218,$E$12),INDEX($D$19:$D$218,MATCH(M188,$A$19:INDEX($A$19:$A$218,$E$12),1))+(M188-INDEX($A$19:$A$218,MATCH(M188,$A$19:INDEX($A$19:$A$218,$E$12),1)))*(INDEX($D$19:$D$218,MATCH(M188,$A$19:INDEX($A$19:$A$218,$E$12),1)+1)-INDEX($D$19:$D$218,MATCH(M188,$A$19:INDEX($A$19:$A$218,$E$12),1)))/(INDEX($A$19:$A$218,MATCH(M188,$A$19:INDEX($A$19:$A$218,$E$12),1)+1)-INDEX($A$19:$A$218,MATCH(M188,$A$19:INDEX($A$19:$A$218,$E$12),1))))))</f>
        <v/>
      </c>
      <c r="Y188">
        <f>IF(X188="","",X188*1000/$B$4)</f>
        <v/>
      </c>
    </row>
    <row r="189">
      <c r="A189" s="10" t="n"/>
      <c r="B189" s="10" t="n"/>
      <c r="C189" s="11">
        <f>IF(A189="","",$B$5*TAN(RADIANS(A189)))</f>
        <v/>
      </c>
      <c r="D189" s="11">
        <f>IF(C189="","",C189*(1+B189/100))</f>
        <v/>
      </c>
      <c r="E189" s="11">
        <f>IF(A189="","",$B$6*TAN(RADIANS(A189)))</f>
        <v/>
      </c>
      <c r="G189" s="12">
        <f>IF(U189="","",T189)</f>
        <v/>
      </c>
      <c r="H189" s="12">
        <f>IF(U189="","",$E$4+V189*COS(RADIANS($E$8))-W189*SIN(RADIANS($E$8)))</f>
        <v/>
      </c>
      <c r="I189" s="12">
        <f>IF(U189="","",$E$5+V189*SIN(RADIANS($E$8))+W189*COS(RADIANS($E$8)))</f>
        <v/>
      </c>
      <c r="J189" s="12">
        <f>IF(H189="","",H189-$B$7)</f>
        <v/>
      </c>
      <c r="K189" s="12">
        <f>IF(I189="","",I189-$B$8)</f>
        <v/>
      </c>
      <c r="L189" s="12">
        <f>IFERROR(SQRT(J189^2+K189^2)*$B$4/1000,"")</f>
        <v/>
      </c>
      <c r="M189" s="12">
        <f>IF(OR($E$13&lt;&gt;"OK",L189=""),"",IF(L189&lt;=$D$19,$A$19,IF(L189&gt;=INDEX($D$19:$D$218,$E$12),INDEX($A$19:$A$218,$E$12),INDEX($A$19:$A$218,MATCH(L189,$D$19:INDEX($D$19:$D$218,$E$12),1))+(L189-INDEX($D$19:$D$218,MATCH(L189,$D$19:INDEX($D$19:$D$218,$E$12),1)))*(INDEX($A$19:$A$218,MATCH(L189,$D$19:INDEX($D$19:$D$218,$E$12),1)+1)-INDEX($A$19:$A$218,MATCH(L189,$D$19:INDEX($D$19:$D$218,$E$12),1)))/(INDEX($D$19:$D$218,MATCH(L189,$D$19:INDEX($D$19:$D$218,$E$12),1)+1)-INDEX($D$19:$D$218,MATCH(L189,$D$19:INDEX($D$19:$D$218,$E$12),1))))))</f>
        <v/>
      </c>
      <c r="N189" s="12">
        <f>IF(M189="","",$B$6*TAN(RADIANS(M189)))</f>
        <v/>
      </c>
      <c r="O189" s="12">
        <f>IF(N189="","",IF(L189=0,0,-N189*J189/SQRT(J189^2+K189^2)))</f>
        <v/>
      </c>
      <c r="P189" s="12">
        <f>IF(N189="","",IF(L189=0,0,N189*K189/SQRT(J189^2+K189^2)))</f>
        <v/>
      </c>
      <c r="Q189" s="12">
        <f>IF(N189="","",IF(N189=0,$B$7,$B$7-Y189*O189/N189))</f>
        <v/>
      </c>
      <c r="R189" s="12">
        <f>IF(N189="","",IF(N189=0,$B$8,$B$8+Y189*P189/N189))</f>
        <v/>
      </c>
      <c r="S189" s="12">
        <f>IFERROR(SQRT((Q189-H189)^2+(R189-I189)^2),"")</f>
        <v/>
      </c>
      <c r="T189">
        <f>162</f>
        <v/>
      </c>
      <c r="U189">
        <f>IF(T189&gt;4*$E$9,"",MIN(INT(T189/$E$9)+1,4))</f>
        <v/>
      </c>
      <c r="V189">
        <f>IF(T189=4*$E$9,-$E$6/2,IF(U189="","",CHOOSE(U189,-$E$6/2+MOD(T189,$E$9)/$E$9*$E$6,$E$6/2,$E$6/2-MOD(T189,$E$9)/$E$9*$E$6,-$E$6/2)))</f>
        <v/>
      </c>
      <c r="W189">
        <f>IF(T189=4*$E$9,-$E$7/2,IF(U189="","",CHOOSE(U189,-$E$7/2,-$E$7/2+MOD(T189,$E$9)/$E$9*$E$7,$E$7/2,$E$7/2-MOD(T189,$E$9)/$E$9*$E$7)))</f>
        <v/>
      </c>
      <c r="X189">
        <f>IF(OR($E$13&lt;&gt;"OK",M189=""),"",IF(M189&lt;=$A$19,$D$19,IF(M189&gt;=INDEX($A$19:$A$218,$E$12),INDEX($D$19:$D$218,$E$12),INDEX($D$19:$D$218,MATCH(M189,$A$19:INDEX($A$19:$A$218,$E$12),1))+(M189-INDEX($A$19:$A$218,MATCH(M189,$A$19:INDEX($A$19:$A$218,$E$12),1)))*(INDEX($D$19:$D$218,MATCH(M189,$A$19:INDEX($A$19:$A$218,$E$12),1)+1)-INDEX($D$19:$D$218,MATCH(M189,$A$19:INDEX($A$19:$A$218,$E$12),1)))/(INDEX($A$19:$A$218,MATCH(M189,$A$19:INDEX($A$19:$A$218,$E$12),1)+1)-INDEX($A$19:$A$218,MATCH(M189,$A$19:INDEX($A$19:$A$218,$E$12),1))))))</f>
        <v/>
      </c>
      <c r="Y189">
        <f>IF(X189="","",X189*1000/$B$4)</f>
        <v/>
      </c>
    </row>
    <row r="190">
      <c r="A190" s="10" t="n"/>
      <c r="B190" s="10" t="n"/>
      <c r="C190" s="11">
        <f>IF(A190="","",$B$5*TAN(RADIANS(A190)))</f>
        <v/>
      </c>
      <c r="D190" s="11">
        <f>IF(C190="","",C190*(1+B190/100))</f>
        <v/>
      </c>
      <c r="E190" s="11">
        <f>IF(A190="","",$B$6*TAN(RADIANS(A190)))</f>
        <v/>
      </c>
      <c r="G190" s="12">
        <f>IF(U190="","",T190)</f>
        <v/>
      </c>
      <c r="H190" s="12">
        <f>IF(U190="","",$E$4+V190*COS(RADIANS($E$8))-W190*SIN(RADIANS($E$8)))</f>
        <v/>
      </c>
      <c r="I190" s="12">
        <f>IF(U190="","",$E$5+V190*SIN(RADIANS($E$8))+W190*COS(RADIANS($E$8)))</f>
        <v/>
      </c>
      <c r="J190" s="12">
        <f>IF(H190="","",H190-$B$7)</f>
        <v/>
      </c>
      <c r="K190" s="12">
        <f>IF(I190="","",I190-$B$8)</f>
        <v/>
      </c>
      <c r="L190" s="12">
        <f>IFERROR(SQRT(J190^2+K190^2)*$B$4/1000,"")</f>
        <v/>
      </c>
      <c r="M190" s="12">
        <f>IF(OR($E$13&lt;&gt;"OK",L190=""),"",IF(L190&lt;=$D$19,$A$19,IF(L190&gt;=INDEX($D$19:$D$218,$E$12),INDEX($A$19:$A$218,$E$12),INDEX($A$19:$A$218,MATCH(L190,$D$19:INDEX($D$19:$D$218,$E$12),1))+(L190-INDEX($D$19:$D$218,MATCH(L190,$D$19:INDEX($D$19:$D$218,$E$12),1)))*(INDEX($A$19:$A$218,MATCH(L190,$D$19:INDEX($D$19:$D$218,$E$12),1)+1)-INDEX($A$19:$A$218,MATCH(L190,$D$19:INDEX($D$19:$D$218,$E$12),1)))/(INDEX($D$19:$D$218,MATCH(L190,$D$19:INDEX($D$19:$D$218,$E$12),1)+1)-INDEX($D$19:$D$218,MATCH(L190,$D$19:INDEX($D$19:$D$218,$E$12),1))))))</f>
        <v/>
      </c>
      <c r="N190" s="12">
        <f>IF(M190="","",$B$6*TAN(RADIANS(M190)))</f>
        <v/>
      </c>
      <c r="O190" s="12">
        <f>IF(N190="","",IF(L190=0,0,-N190*J190/SQRT(J190^2+K190^2)))</f>
        <v/>
      </c>
      <c r="P190" s="12">
        <f>IF(N190="","",IF(L190=0,0,N190*K190/SQRT(J190^2+K190^2)))</f>
        <v/>
      </c>
      <c r="Q190" s="12">
        <f>IF(N190="","",IF(N190=0,$B$7,$B$7-Y190*O190/N190))</f>
        <v/>
      </c>
      <c r="R190" s="12">
        <f>IF(N190="","",IF(N190=0,$B$8,$B$8+Y190*P190/N190))</f>
        <v/>
      </c>
      <c r="S190" s="12">
        <f>IFERROR(SQRT((Q190-H190)^2+(R190-I190)^2),"")</f>
        <v/>
      </c>
      <c r="T190">
        <f>163</f>
        <v/>
      </c>
      <c r="U190">
        <f>IF(T190&gt;4*$E$9,"",MIN(INT(T190/$E$9)+1,4))</f>
        <v/>
      </c>
      <c r="V190">
        <f>IF(T190=4*$E$9,-$E$6/2,IF(U190="","",CHOOSE(U190,-$E$6/2+MOD(T190,$E$9)/$E$9*$E$6,$E$6/2,$E$6/2-MOD(T190,$E$9)/$E$9*$E$6,-$E$6/2)))</f>
        <v/>
      </c>
      <c r="W190">
        <f>IF(T190=4*$E$9,-$E$7/2,IF(U190="","",CHOOSE(U190,-$E$7/2,-$E$7/2+MOD(T190,$E$9)/$E$9*$E$7,$E$7/2,$E$7/2-MOD(T190,$E$9)/$E$9*$E$7)))</f>
        <v/>
      </c>
      <c r="X190">
        <f>IF(OR($E$13&lt;&gt;"OK",M190=""),"",IF(M190&lt;=$A$19,$D$19,IF(M190&gt;=INDEX($A$19:$A$218,$E$12),INDEX($D$19:$D$218,$E$12),INDEX($D$19:$D$218,MATCH(M190,$A$19:INDEX($A$19:$A$218,$E$12),1))+(M190-INDEX($A$19:$A$218,MATCH(M190,$A$19:INDEX($A$19:$A$218,$E$12),1)))*(INDEX($D$19:$D$218,MATCH(M190,$A$19:INDEX($A$19:$A$218,$E$12),1)+1)-INDEX($D$19:$D$218,MATCH(M190,$A$19:INDEX($A$19:$A$218,$E$12),1)))/(INDEX($A$19:$A$218,MATCH(M190,$A$19:INDEX($A$19:$A$218,$E$12),1)+1)-INDEX($A$19:$A$218,MATCH(M190,$A$19:INDEX($A$19:$A$218,$E$12),1))))))</f>
        <v/>
      </c>
      <c r="Y190">
        <f>IF(X190="","",X190*1000/$B$4)</f>
        <v/>
      </c>
    </row>
    <row r="191">
      <c r="A191" s="10" t="n"/>
      <c r="B191" s="10" t="n"/>
      <c r="C191" s="11">
        <f>IF(A191="","",$B$5*TAN(RADIANS(A191)))</f>
        <v/>
      </c>
      <c r="D191" s="11">
        <f>IF(C191="","",C191*(1+B191/100))</f>
        <v/>
      </c>
      <c r="E191" s="11">
        <f>IF(A191="","",$B$6*TAN(RADIANS(A191)))</f>
        <v/>
      </c>
      <c r="G191" s="12">
        <f>IF(U191="","",T191)</f>
        <v/>
      </c>
      <c r="H191" s="12">
        <f>IF(U191="","",$E$4+V191*COS(RADIANS($E$8))-W191*SIN(RADIANS($E$8)))</f>
        <v/>
      </c>
      <c r="I191" s="12">
        <f>IF(U191="","",$E$5+V191*SIN(RADIANS($E$8))+W191*COS(RADIANS($E$8)))</f>
        <v/>
      </c>
      <c r="J191" s="12">
        <f>IF(H191="","",H191-$B$7)</f>
        <v/>
      </c>
      <c r="K191" s="12">
        <f>IF(I191="","",I191-$B$8)</f>
        <v/>
      </c>
      <c r="L191" s="12">
        <f>IFERROR(SQRT(J191^2+K191^2)*$B$4/1000,"")</f>
        <v/>
      </c>
      <c r="M191" s="12">
        <f>IF(OR($E$13&lt;&gt;"OK",L191=""),"",IF(L191&lt;=$D$19,$A$19,IF(L191&gt;=INDEX($D$19:$D$218,$E$12),INDEX($A$19:$A$218,$E$12),INDEX($A$19:$A$218,MATCH(L191,$D$19:INDEX($D$19:$D$218,$E$12),1))+(L191-INDEX($D$19:$D$218,MATCH(L191,$D$19:INDEX($D$19:$D$218,$E$12),1)))*(INDEX($A$19:$A$218,MATCH(L191,$D$19:INDEX($D$19:$D$218,$E$12),1)+1)-INDEX($A$19:$A$218,MATCH(L191,$D$19:INDEX($D$19:$D$218,$E$12),1)))/(INDEX($D$19:$D$218,MATCH(L191,$D$19:INDEX($D$19:$D$218,$E$12),1)+1)-INDEX($D$19:$D$218,MATCH(L191,$D$19:INDEX($D$19:$D$218,$E$12),1))))))</f>
        <v/>
      </c>
      <c r="N191" s="12">
        <f>IF(M191="","",$B$6*TAN(RADIANS(M191)))</f>
        <v/>
      </c>
      <c r="O191" s="12">
        <f>IF(N191="","",IF(L191=0,0,-N191*J191/SQRT(J191^2+K191^2)))</f>
        <v/>
      </c>
      <c r="P191" s="12">
        <f>IF(N191="","",IF(L191=0,0,N191*K191/SQRT(J191^2+K191^2)))</f>
        <v/>
      </c>
      <c r="Q191" s="12">
        <f>IF(N191="","",IF(N191=0,$B$7,$B$7-Y191*O191/N191))</f>
        <v/>
      </c>
      <c r="R191" s="12">
        <f>IF(N191="","",IF(N191=0,$B$8,$B$8+Y191*P191/N191))</f>
        <v/>
      </c>
      <c r="S191" s="12">
        <f>IFERROR(SQRT((Q191-H191)^2+(R191-I191)^2),"")</f>
        <v/>
      </c>
      <c r="T191">
        <f>164</f>
        <v/>
      </c>
      <c r="U191">
        <f>IF(T191&gt;4*$E$9,"",MIN(INT(T191/$E$9)+1,4))</f>
        <v/>
      </c>
      <c r="V191">
        <f>IF(T191=4*$E$9,-$E$6/2,IF(U191="","",CHOOSE(U191,-$E$6/2+MOD(T191,$E$9)/$E$9*$E$6,$E$6/2,$E$6/2-MOD(T191,$E$9)/$E$9*$E$6,-$E$6/2)))</f>
        <v/>
      </c>
      <c r="W191">
        <f>IF(T191=4*$E$9,-$E$7/2,IF(U191="","",CHOOSE(U191,-$E$7/2,-$E$7/2+MOD(T191,$E$9)/$E$9*$E$7,$E$7/2,$E$7/2-MOD(T191,$E$9)/$E$9*$E$7)))</f>
        <v/>
      </c>
      <c r="X191">
        <f>IF(OR($E$13&lt;&gt;"OK",M191=""),"",IF(M191&lt;=$A$19,$D$19,IF(M191&gt;=INDEX($A$19:$A$218,$E$12),INDEX($D$19:$D$218,$E$12),INDEX($D$19:$D$218,MATCH(M191,$A$19:INDEX($A$19:$A$218,$E$12),1))+(M191-INDEX($A$19:$A$218,MATCH(M191,$A$19:INDEX($A$19:$A$218,$E$12),1)))*(INDEX($D$19:$D$218,MATCH(M191,$A$19:INDEX($A$19:$A$218,$E$12),1)+1)-INDEX($D$19:$D$218,MATCH(M191,$A$19:INDEX($A$19:$A$218,$E$12),1)))/(INDEX($A$19:$A$218,MATCH(M191,$A$19:INDEX($A$19:$A$218,$E$12),1)+1)-INDEX($A$19:$A$218,MATCH(M191,$A$19:INDEX($A$19:$A$218,$E$12),1))))))</f>
        <v/>
      </c>
      <c r="Y191">
        <f>IF(X191="","",X191*1000/$B$4)</f>
        <v/>
      </c>
    </row>
    <row r="192">
      <c r="A192" s="10" t="n"/>
      <c r="B192" s="10" t="n"/>
      <c r="C192" s="11">
        <f>IF(A192="","",$B$5*TAN(RADIANS(A192)))</f>
        <v/>
      </c>
      <c r="D192" s="11">
        <f>IF(C192="","",C192*(1+B192/100))</f>
        <v/>
      </c>
      <c r="E192" s="11">
        <f>IF(A192="","",$B$6*TAN(RADIANS(A192)))</f>
        <v/>
      </c>
      <c r="G192" s="12">
        <f>IF(U192="","",T192)</f>
        <v/>
      </c>
      <c r="H192" s="12">
        <f>IF(U192="","",$E$4+V192*COS(RADIANS($E$8))-W192*SIN(RADIANS($E$8)))</f>
        <v/>
      </c>
      <c r="I192" s="12">
        <f>IF(U192="","",$E$5+V192*SIN(RADIANS($E$8))+W192*COS(RADIANS($E$8)))</f>
        <v/>
      </c>
      <c r="J192" s="12">
        <f>IF(H192="","",H192-$B$7)</f>
        <v/>
      </c>
      <c r="K192" s="12">
        <f>IF(I192="","",I192-$B$8)</f>
        <v/>
      </c>
      <c r="L192" s="12">
        <f>IFERROR(SQRT(J192^2+K192^2)*$B$4/1000,"")</f>
        <v/>
      </c>
      <c r="M192" s="12">
        <f>IF(OR($E$13&lt;&gt;"OK",L192=""),"",IF(L192&lt;=$D$19,$A$19,IF(L192&gt;=INDEX($D$19:$D$218,$E$12),INDEX($A$19:$A$218,$E$12),INDEX($A$19:$A$218,MATCH(L192,$D$19:INDEX($D$19:$D$218,$E$12),1))+(L192-INDEX($D$19:$D$218,MATCH(L192,$D$19:INDEX($D$19:$D$218,$E$12),1)))*(INDEX($A$19:$A$218,MATCH(L192,$D$19:INDEX($D$19:$D$218,$E$12),1)+1)-INDEX($A$19:$A$218,MATCH(L192,$D$19:INDEX($D$19:$D$218,$E$12),1)))/(INDEX($D$19:$D$218,MATCH(L192,$D$19:INDEX($D$19:$D$218,$E$12),1)+1)-INDEX($D$19:$D$218,MATCH(L192,$D$19:INDEX($D$19:$D$218,$E$12),1))))))</f>
        <v/>
      </c>
      <c r="N192" s="12">
        <f>IF(M192="","",$B$6*TAN(RADIANS(M192)))</f>
        <v/>
      </c>
      <c r="O192" s="12">
        <f>IF(N192="","",IF(L192=0,0,-N192*J192/SQRT(J192^2+K192^2)))</f>
        <v/>
      </c>
      <c r="P192" s="12">
        <f>IF(N192="","",IF(L192=0,0,N192*K192/SQRT(J192^2+K192^2)))</f>
        <v/>
      </c>
      <c r="Q192" s="12">
        <f>IF(N192="","",IF(N192=0,$B$7,$B$7-Y192*O192/N192))</f>
        <v/>
      </c>
      <c r="R192" s="12">
        <f>IF(N192="","",IF(N192=0,$B$8,$B$8+Y192*P192/N192))</f>
        <v/>
      </c>
      <c r="S192" s="12">
        <f>IFERROR(SQRT((Q192-H192)^2+(R192-I192)^2),"")</f>
        <v/>
      </c>
      <c r="T192">
        <f>165</f>
        <v/>
      </c>
      <c r="U192">
        <f>IF(T192&gt;4*$E$9,"",MIN(INT(T192/$E$9)+1,4))</f>
        <v/>
      </c>
      <c r="V192">
        <f>IF(T192=4*$E$9,-$E$6/2,IF(U192="","",CHOOSE(U192,-$E$6/2+MOD(T192,$E$9)/$E$9*$E$6,$E$6/2,$E$6/2-MOD(T192,$E$9)/$E$9*$E$6,-$E$6/2)))</f>
        <v/>
      </c>
      <c r="W192">
        <f>IF(T192=4*$E$9,-$E$7/2,IF(U192="","",CHOOSE(U192,-$E$7/2,-$E$7/2+MOD(T192,$E$9)/$E$9*$E$7,$E$7/2,$E$7/2-MOD(T192,$E$9)/$E$9*$E$7)))</f>
        <v/>
      </c>
      <c r="X192">
        <f>IF(OR($E$13&lt;&gt;"OK",M192=""),"",IF(M192&lt;=$A$19,$D$19,IF(M192&gt;=INDEX($A$19:$A$218,$E$12),INDEX($D$19:$D$218,$E$12),INDEX($D$19:$D$218,MATCH(M192,$A$19:INDEX($A$19:$A$218,$E$12),1))+(M192-INDEX($A$19:$A$218,MATCH(M192,$A$19:INDEX($A$19:$A$218,$E$12),1)))*(INDEX($D$19:$D$218,MATCH(M192,$A$19:INDEX($A$19:$A$218,$E$12),1)+1)-INDEX($D$19:$D$218,MATCH(M192,$A$19:INDEX($A$19:$A$218,$E$12),1)))/(INDEX($A$19:$A$218,MATCH(M192,$A$19:INDEX($A$19:$A$218,$E$12),1)+1)-INDEX($A$19:$A$218,MATCH(M192,$A$19:INDEX($A$19:$A$218,$E$12),1))))))</f>
        <v/>
      </c>
      <c r="Y192">
        <f>IF(X192="","",X192*1000/$B$4)</f>
        <v/>
      </c>
    </row>
    <row r="193">
      <c r="A193" s="10" t="n"/>
      <c r="B193" s="10" t="n"/>
      <c r="C193" s="11">
        <f>IF(A193="","",$B$5*TAN(RADIANS(A193)))</f>
        <v/>
      </c>
      <c r="D193" s="11">
        <f>IF(C193="","",C193*(1+B193/100))</f>
        <v/>
      </c>
      <c r="E193" s="11">
        <f>IF(A193="","",$B$6*TAN(RADIANS(A193)))</f>
        <v/>
      </c>
      <c r="G193" s="12">
        <f>IF(U193="","",T193)</f>
        <v/>
      </c>
      <c r="H193" s="12">
        <f>IF(U193="","",$E$4+V193*COS(RADIANS($E$8))-W193*SIN(RADIANS($E$8)))</f>
        <v/>
      </c>
      <c r="I193" s="12">
        <f>IF(U193="","",$E$5+V193*SIN(RADIANS($E$8))+W193*COS(RADIANS($E$8)))</f>
        <v/>
      </c>
      <c r="J193" s="12">
        <f>IF(H193="","",H193-$B$7)</f>
        <v/>
      </c>
      <c r="K193" s="12">
        <f>IF(I193="","",I193-$B$8)</f>
        <v/>
      </c>
      <c r="L193" s="12">
        <f>IFERROR(SQRT(J193^2+K193^2)*$B$4/1000,"")</f>
        <v/>
      </c>
      <c r="M193" s="12">
        <f>IF(OR($E$13&lt;&gt;"OK",L193=""),"",IF(L193&lt;=$D$19,$A$19,IF(L193&gt;=INDEX($D$19:$D$218,$E$12),INDEX($A$19:$A$218,$E$12),INDEX($A$19:$A$218,MATCH(L193,$D$19:INDEX($D$19:$D$218,$E$12),1))+(L193-INDEX($D$19:$D$218,MATCH(L193,$D$19:INDEX($D$19:$D$218,$E$12),1)))*(INDEX($A$19:$A$218,MATCH(L193,$D$19:INDEX($D$19:$D$218,$E$12),1)+1)-INDEX($A$19:$A$218,MATCH(L193,$D$19:INDEX($D$19:$D$218,$E$12),1)))/(INDEX($D$19:$D$218,MATCH(L193,$D$19:INDEX($D$19:$D$218,$E$12),1)+1)-INDEX($D$19:$D$218,MATCH(L193,$D$19:INDEX($D$19:$D$218,$E$12),1))))))</f>
        <v/>
      </c>
      <c r="N193" s="12">
        <f>IF(M193="","",$B$6*TAN(RADIANS(M193)))</f>
        <v/>
      </c>
      <c r="O193" s="12">
        <f>IF(N193="","",IF(L193=0,0,-N193*J193/SQRT(J193^2+K193^2)))</f>
        <v/>
      </c>
      <c r="P193" s="12">
        <f>IF(N193="","",IF(L193=0,0,N193*K193/SQRT(J193^2+K193^2)))</f>
        <v/>
      </c>
      <c r="Q193" s="12">
        <f>IF(N193="","",IF(N193=0,$B$7,$B$7-Y193*O193/N193))</f>
        <v/>
      </c>
      <c r="R193" s="12">
        <f>IF(N193="","",IF(N193=0,$B$8,$B$8+Y193*P193/N193))</f>
        <v/>
      </c>
      <c r="S193" s="12">
        <f>IFERROR(SQRT((Q193-H193)^2+(R193-I193)^2),"")</f>
        <v/>
      </c>
      <c r="T193">
        <f>166</f>
        <v/>
      </c>
      <c r="U193">
        <f>IF(T193&gt;4*$E$9,"",MIN(INT(T193/$E$9)+1,4))</f>
        <v/>
      </c>
      <c r="V193">
        <f>IF(T193=4*$E$9,-$E$6/2,IF(U193="","",CHOOSE(U193,-$E$6/2+MOD(T193,$E$9)/$E$9*$E$6,$E$6/2,$E$6/2-MOD(T193,$E$9)/$E$9*$E$6,-$E$6/2)))</f>
        <v/>
      </c>
      <c r="W193">
        <f>IF(T193=4*$E$9,-$E$7/2,IF(U193="","",CHOOSE(U193,-$E$7/2,-$E$7/2+MOD(T193,$E$9)/$E$9*$E$7,$E$7/2,$E$7/2-MOD(T193,$E$9)/$E$9*$E$7)))</f>
        <v/>
      </c>
      <c r="X193">
        <f>IF(OR($E$13&lt;&gt;"OK",M193=""),"",IF(M193&lt;=$A$19,$D$19,IF(M193&gt;=INDEX($A$19:$A$218,$E$12),INDEX($D$19:$D$218,$E$12),INDEX($D$19:$D$218,MATCH(M193,$A$19:INDEX($A$19:$A$218,$E$12),1))+(M193-INDEX($A$19:$A$218,MATCH(M193,$A$19:INDEX($A$19:$A$218,$E$12),1)))*(INDEX($D$19:$D$218,MATCH(M193,$A$19:INDEX($A$19:$A$218,$E$12),1)+1)-INDEX($D$19:$D$218,MATCH(M193,$A$19:INDEX($A$19:$A$218,$E$12),1)))/(INDEX($A$19:$A$218,MATCH(M193,$A$19:INDEX($A$19:$A$218,$E$12),1)+1)-INDEX($A$19:$A$218,MATCH(M193,$A$19:INDEX($A$19:$A$218,$E$12),1))))))</f>
        <v/>
      </c>
      <c r="Y193">
        <f>IF(X193="","",X193*1000/$B$4)</f>
        <v/>
      </c>
    </row>
    <row r="194">
      <c r="A194" s="10" t="n"/>
      <c r="B194" s="10" t="n"/>
      <c r="C194" s="11">
        <f>IF(A194="","",$B$5*TAN(RADIANS(A194)))</f>
        <v/>
      </c>
      <c r="D194" s="11">
        <f>IF(C194="","",C194*(1+B194/100))</f>
        <v/>
      </c>
      <c r="E194" s="11">
        <f>IF(A194="","",$B$6*TAN(RADIANS(A194)))</f>
        <v/>
      </c>
      <c r="G194" s="12">
        <f>IF(U194="","",T194)</f>
        <v/>
      </c>
      <c r="H194" s="12">
        <f>IF(U194="","",$E$4+V194*COS(RADIANS($E$8))-W194*SIN(RADIANS($E$8)))</f>
        <v/>
      </c>
      <c r="I194" s="12">
        <f>IF(U194="","",$E$5+V194*SIN(RADIANS($E$8))+W194*COS(RADIANS($E$8)))</f>
        <v/>
      </c>
      <c r="J194" s="12">
        <f>IF(H194="","",H194-$B$7)</f>
        <v/>
      </c>
      <c r="K194" s="12">
        <f>IF(I194="","",I194-$B$8)</f>
        <v/>
      </c>
      <c r="L194" s="12">
        <f>IFERROR(SQRT(J194^2+K194^2)*$B$4/1000,"")</f>
        <v/>
      </c>
      <c r="M194" s="12">
        <f>IF(OR($E$13&lt;&gt;"OK",L194=""),"",IF(L194&lt;=$D$19,$A$19,IF(L194&gt;=INDEX($D$19:$D$218,$E$12),INDEX($A$19:$A$218,$E$12),INDEX($A$19:$A$218,MATCH(L194,$D$19:INDEX($D$19:$D$218,$E$12),1))+(L194-INDEX($D$19:$D$218,MATCH(L194,$D$19:INDEX($D$19:$D$218,$E$12),1)))*(INDEX($A$19:$A$218,MATCH(L194,$D$19:INDEX($D$19:$D$218,$E$12),1)+1)-INDEX($A$19:$A$218,MATCH(L194,$D$19:INDEX($D$19:$D$218,$E$12),1)))/(INDEX($D$19:$D$218,MATCH(L194,$D$19:INDEX($D$19:$D$218,$E$12),1)+1)-INDEX($D$19:$D$218,MATCH(L194,$D$19:INDEX($D$19:$D$218,$E$12),1))))))</f>
        <v/>
      </c>
      <c r="N194" s="12">
        <f>IF(M194="","",$B$6*TAN(RADIANS(M194)))</f>
        <v/>
      </c>
      <c r="O194" s="12">
        <f>IF(N194="","",IF(L194=0,0,-N194*J194/SQRT(J194^2+K194^2)))</f>
        <v/>
      </c>
      <c r="P194" s="12">
        <f>IF(N194="","",IF(L194=0,0,N194*K194/SQRT(J194^2+K194^2)))</f>
        <v/>
      </c>
      <c r="Q194" s="12">
        <f>IF(N194="","",IF(N194=0,$B$7,$B$7-Y194*O194/N194))</f>
        <v/>
      </c>
      <c r="R194" s="12">
        <f>IF(N194="","",IF(N194=0,$B$8,$B$8+Y194*P194/N194))</f>
        <v/>
      </c>
      <c r="S194" s="12">
        <f>IFERROR(SQRT((Q194-H194)^2+(R194-I194)^2),"")</f>
        <v/>
      </c>
      <c r="T194">
        <f>167</f>
        <v/>
      </c>
      <c r="U194">
        <f>IF(T194&gt;4*$E$9,"",MIN(INT(T194/$E$9)+1,4))</f>
        <v/>
      </c>
      <c r="V194">
        <f>IF(T194=4*$E$9,-$E$6/2,IF(U194="","",CHOOSE(U194,-$E$6/2+MOD(T194,$E$9)/$E$9*$E$6,$E$6/2,$E$6/2-MOD(T194,$E$9)/$E$9*$E$6,-$E$6/2)))</f>
        <v/>
      </c>
      <c r="W194">
        <f>IF(T194=4*$E$9,-$E$7/2,IF(U194="","",CHOOSE(U194,-$E$7/2,-$E$7/2+MOD(T194,$E$9)/$E$9*$E$7,$E$7/2,$E$7/2-MOD(T194,$E$9)/$E$9*$E$7)))</f>
        <v/>
      </c>
      <c r="X194">
        <f>IF(OR($E$13&lt;&gt;"OK",M194=""),"",IF(M194&lt;=$A$19,$D$19,IF(M194&gt;=INDEX($A$19:$A$218,$E$12),INDEX($D$19:$D$218,$E$12),INDEX($D$19:$D$218,MATCH(M194,$A$19:INDEX($A$19:$A$218,$E$12),1))+(M194-INDEX($A$19:$A$218,MATCH(M194,$A$19:INDEX($A$19:$A$218,$E$12),1)))*(INDEX($D$19:$D$218,MATCH(M194,$A$19:INDEX($A$19:$A$218,$E$12),1)+1)-INDEX($D$19:$D$218,MATCH(M194,$A$19:INDEX($A$19:$A$218,$E$12),1)))/(INDEX($A$19:$A$218,MATCH(M194,$A$19:INDEX($A$19:$A$218,$E$12),1)+1)-INDEX($A$19:$A$218,MATCH(M194,$A$19:INDEX($A$19:$A$218,$E$12),1))))))</f>
        <v/>
      </c>
      <c r="Y194">
        <f>IF(X194="","",X194*1000/$B$4)</f>
        <v/>
      </c>
    </row>
    <row r="195">
      <c r="A195" s="10" t="n"/>
      <c r="B195" s="10" t="n"/>
      <c r="C195" s="11">
        <f>IF(A195="","",$B$5*TAN(RADIANS(A195)))</f>
        <v/>
      </c>
      <c r="D195" s="11">
        <f>IF(C195="","",C195*(1+B195/100))</f>
        <v/>
      </c>
      <c r="E195" s="11">
        <f>IF(A195="","",$B$6*TAN(RADIANS(A195)))</f>
        <v/>
      </c>
      <c r="G195" s="12">
        <f>IF(U195="","",T195)</f>
        <v/>
      </c>
      <c r="H195" s="12">
        <f>IF(U195="","",$E$4+V195*COS(RADIANS($E$8))-W195*SIN(RADIANS($E$8)))</f>
        <v/>
      </c>
      <c r="I195" s="12">
        <f>IF(U195="","",$E$5+V195*SIN(RADIANS($E$8))+W195*COS(RADIANS($E$8)))</f>
        <v/>
      </c>
      <c r="J195" s="12">
        <f>IF(H195="","",H195-$B$7)</f>
        <v/>
      </c>
      <c r="K195" s="12">
        <f>IF(I195="","",I195-$B$8)</f>
        <v/>
      </c>
      <c r="L195" s="12">
        <f>IFERROR(SQRT(J195^2+K195^2)*$B$4/1000,"")</f>
        <v/>
      </c>
      <c r="M195" s="12">
        <f>IF(OR($E$13&lt;&gt;"OK",L195=""),"",IF(L195&lt;=$D$19,$A$19,IF(L195&gt;=INDEX($D$19:$D$218,$E$12),INDEX($A$19:$A$218,$E$12),INDEX($A$19:$A$218,MATCH(L195,$D$19:INDEX($D$19:$D$218,$E$12),1))+(L195-INDEX($D$19:$D$218,MATCH(L195,$D$19:INDEX($D$19:$D$218,$E$12),1)))*(INDEX($A$19:$A$218,MATCH(L195,$D$19:INDEX($D$19:$D$218,$E$12),1)+1)-INDEX($A$19:$A$218,MATCH(L195,$D$19:INDEX($D$19:$D$218,$E$12),1)))/(INDEX($D$19:$D$218,MATCH(L195,$D$19:INDEX($D$19:$D$218,$E$12),1)+1)-INDEX($D$19:$D$218,MATCH(L195,$D$19:INDEX($D$19:$D$218,$E$12),1))))))</f>
        <v/>
      </c>
      <c r="N195" s="12">
        <f>IF(M195="","",$B$6*TAN(RADIANS(M195)))</f>
        <v/>
      </c>
      <c r="O195" s="12">
        <f>IF(N195="","",IF(L195=0,0,-N195*J195/SQRT(J195^2+K195^2)))</f>
        <v/>
      </c>
      <c r="P195" s="12">
        <f>IF(N195="","",IF(L195=0,0,N195*K195/SQRT(J195^2+K195^2)))</f>
        <v/>
      </c>
      <c r="Q195" s="12">
        <f>IF(N195="","",IF(N195=0,$B$7,$B$7-Y195*O195/N195))</f>
        <v/>
      </c>
      <c r="R195" s="12">
        <f>IF(N195="","",IF(N195=0,$B$8,$B$8+Y195*P195/N195))</f>
        <v/>
      </c>
      <c r="S195" s="12">
        <f>IFERROR(SQRT((Q195-H195)^2+(R195-I195)^2),"")</f>
        <v/>
      </c>
      <c r="T195">
        <f>168</f>
        <v/>
      </c>
      <c r="U195">
        <f>IF(T195&gt;4*$E$9,"",MIN(INT(T195/$E$9)+1,4))</f>
        <v/>
      </c>
      <c r="V195">
        <f>IF(T195=4*$E$9,-$E$6/2,IF(U195="","",CHOOSE(U195,-$E$6/2+MOD(T195,$E$9)/$E$9*$E$6,$E$6/2,$E$6/2-MOD(T195,$E$9)/$E$9*$E$6,-$E$6/2)))</f>
        <v/>
      </c>
      <c r="W195">
        <f>IF(T195=4*$E$9,-$E$7/2,IF(U195="","",CHOOSE(U195,-$E$7/2,-$E$7/2+MOD(T195,$E$9)/$E$9*$E$7,$E$7/2,$E$7/2-MOD(T195,$E$9)/$E$9*$E$7)))</f>
        <v/>
      </c>
      <c r="X195">
        <f>IF(OR($E$13&lt;&gt;"OK",M195=""),"",IF(M195&lt;=$A$19,$D$19,IF(M195&gt;=INDEX($A$19:$A$218,$E$12),INDEX($D$19:$D$218,$E$12),INDEX($D$19:$D$218,MATCH(M195,$A$19:INDEX($A$19:$A$218,$E$12),1))+(M195-INDEX($A$19:$A$218,MATCH(M195,$A$19:INDEX($A$19:$A$218,$E$12),1)))*(INDEX($D$19:$D$218,MATCH(M195,$A$19:INDEX($A$19:$A$218,$E$12),1)+1)-INDEX($D$19:$D$218,MATCH(M195,$A$19:INDEX($A$19:$A$218,$E$12),1)))/(INDEX($A$19:$A$218,MATCH(M195,$A$19:INDEX($A$19:$A$218,$E$12),1)+1)-INDEX($A$19:$A$218,MATCH(M195,$A$19:INDEX($A$19:$A$218,$E$12),1))))))</f>
        <v/>
      </c>
      <c r="Y195">
        <f>IF(X195="","",X195*1000/$B$4)</f>
        <v/>
      </c>
    </row>
    <row r="196">
      <c r="A196" s="10" t="n"/>
      <c r="B196" s="10" t="n"/>
      <c r="C196" s="11">
        <f>IF(A196="","",$B$5*TAN(RADIANS(A196)))</f>
        <v/>
      </c>
      <c r="D196" s="11">
        <f>IF(C196="","",C196*(1+B196/100))</f>
        <v/>
      </c>
      <c r="E196" s="11">
        <f>IF(A196="","",$B$6*TAN(RADIANS(A196)))</f>
        <v/>
      </c>
      <c r="G196" s="12">
        <f>IF(U196="","",T196)</f>
        <v/>
      </c>
      <c r="H196" s="12">
        <f>IF(U196="","",$E$4+V196*COS(RADIANS($E$8))-W196*SIN(RADIANS($E$8)))</f>
        <v/>
      </c>
      <c r="I196" s="12">
        <f>IF(U196="","",$E$5+V196*SIN(RADIANS($E$8))+W196*COS(RADIANS($E$8)))</f>
        <v/>
      </c>
      <c r="J196" s="12">
        <f>IF(H196="","",H196-$B$7)</f>
        <v/>
      </c>
      <c r="K196" s="12">
        <f>IF(I196="","",I196-$B$8)</f>
        <v/>
      </c>
      <c r="L196" s="12">
        <f>IFERROR(SQRT(J196^2+K196^2)*$B$4/1000,"")</f>
        <v/>
      </c>
      <c r="M196" s="12">
        <f>IF(OR($E$13&lt;&gt;"OK",L196=""),"",IF(L196&lt;=$D$19,$A$19,IF(L196&gt;=INDEX($D$19:$D$218,$E$12),INDEX($A$19:$A$218,$E$12),INDEX($A$19:$A$218,MATCH(L196,$D$19:INDEX($D$19:$D$218,$E$12),1))+(L196-INDEX($D$19:$D$218,MATCH(L196,$D$19:INDEX($D$19:$D$218,$E$12),1)))*(INDEX($A$19:$A$218,MATCH(L196,$D$19:INDEX($D$19:$D$218,$E$12),1)+1)-INDEX($A$19:$A$218,MATCH(L196,$D$19:INDEX($D$19:$D$218,$E$12),1)))/(INDEX($D$19:$D$218,MATCH(L196,$D$19:INDEX($D$19:$D$218,$E$12),1)+1)-INDEX($D$19:$D$218,MATCH(L196,$D$19:INDEX($D$19:$D$218,$E$12),1))))))</f>
        <v/>
      </c>
      <c r="N196" s="12">
        <f>IF(M196="","",$B$6*TAN(RADIANS(M196)))</f>
        <v/>
      </c>
      <c r="O196" s="12">
        <f>IF(N196="","",IF(L196=0,0,-N196*J196/SQRT(J196^2+K196^2)))</f>
        <v/>
      </c>
      <c r="P196" s="12">
        <f>IF(N196="","",IF(L196=0,0,N196*K196/SQRT(J196^2+K196^2)))</f>
        <v/>
      </c>
      <c r="Q196" s="12">
        <f>IF(N196="","",IF(N196=0,$B$7,$B$7-Y196*O196/N196))</f>
        <v/>
      </c>
      <c r="R196" s="12">
        <f>IF(N196="","",IF(N196=0,$B$8,$B$8+Y196*P196/N196))</f>
        <v/>
      </c>
      <c r="S196" s="12">
        <f>IFERROR(SQRT((Q196-H196)^2+(R196-I196)^2),"")</f>
        <v/>
      </c>
      <c r="T196">
        <f>169</f>
        <v/>
      </c>
      <c r="U196">
        <f>IF(T196&gt;4*$E$9,"",MIN(INT(T196/$E$9)+1,4))</f>
        <v/>
      </c>
      <c r="V196">
        <f>IF(T196=4*$E$9,-$E$6/2,IF(U196="","",CHOOSE(U196,-$E$6/2+MOD(T196,$E$9)/$E$9*$E$6,$E$6/2,$E$6/2-MOD(T196,$E$9)/$E$9*$E$6,-$E$6/2)))</f>
        <v/>
      </c>
      <c r="W196">
        <f>IF(T196=4*$E$9,-$E$7/2,IF(U196="","",CHOOSE(U196,-$E$7/2,-$E$7/2+MOD(T196,$E$9)/$E$9*$E$7,$E$7/2,$E$7/2-MOD(T196,$E$9)/$E$9*$E$7)))</f>
        <v/>
      </c>
      <c r="X196">
        <f>IF(OR($E$13&lt;&gt;"OK",M196=""),"",IF(M196&lt;=$A$19,$D$19,IF(M196&gt;=INDEX($A$19:$A$218,$E$12),INDEX($D$19:$D$218,$E$12),INDEX($D$19:$D$218,MATCH(M196,$A$19:INDEX($A$19:$A$218,$E$12),1))+(M196-INDEX($A$19:$A$218,MATCH(M196,$A$19:INDEX($A$19:$A$218,$E$12),1)))*(INDEX($D$19:$D$218,MATCH(M196,$A$19:INDEX($A$19:$A$218,$E$12),1)+1)-INDEX($D$19:$D$218,MATCH(M196,$A$19:INDEX($A$19:$A$218,$E$12),1)))/(INDEX($A$19:$A$218,MATCH(M196,$A$19:INDEX($A$19:$A$218,$E$12),1)+1)-INDEX($A$19:$A$218,MATCH(M196,$A$19:INDEX($A$19:$A$218,$E$12),1))))))</f>
        <v/>
      </c>
      <c r="Y196">
        <f>IF(X196="","",X196*1000/$B$4)</f>
        <v/>
      </c>
    </row>
    <row r="197">
      <c r="A197" s="10" t="n"/>
      <c r="B197" s="10" t="n"/>
      <c r="C197" s="11">
        <f>IF(A197="","",$B$5*TAN(RADIANS(A197)))</f>
        <v/>
      </c>
      <c r="D197" s="11">
        <f>IF(C197="","",C197*(1+B197/100))</f>
        <v/>
      </c>
      <c r="E197" s="11">
        <f>IF(A197="","",$B$6*TAN(RADIANS(A197)))</f>
        <v/>
      </c>
      <c r="G197" s="12">
        <f>IF(U197="","",T197)</f>
        <v/>
      </c>
      <c r="H197" s="12">
        <f>IF(U197="","",$E$4+V197*COS(RADIANS($E$8))-W197*SIN(RADIANS($E$8)))</f>
        <v/>
      </c>
      <c r="I197" s="12">
        <f>IF(U197="","",$E$5+V197*SIN(RADIANS($E$8))+W197*COS(RADIANS($E$8)))</f>
        <v/>
      </c>
      <c r="J197" s="12">
        <f>IF(H197="","",H197-$B$7)</f>
        <v/>
      </c>
      <c r="K197" s="12">
        <f>IF(I197="","",I197-$B$8)</f>
        <v/>
      </c>
      <c r="L197" s="12">
        <f>IFERROR(SQRT(J197^2+K197^2)*$B$4/1000,"")</f>
        <v/>
      </c>
      <c r="M197" s="12">
        <f>IF(OR($E$13&lt;&gt;"OK",L197=""),"",IF(L197&lt;=$D$19,$A$19,IF(L197&gt;=INDEX($D$19:$D$218,$E$12),INDEX($A$19:$A$218,$E$12),INDEX($A$19:$A$218,MATCH(L197,$D$19:INDEX($D$19:$D$218,$E$12),1))+(L197-INDEX($D$19:$D$218,MATCH(L197,$D$19:INDEX($D$19:$D$218,$E$12),1)))*(INDEX($A$19:$A$218,MATCH(L197,$D$19:INDEX($D$19:$D$218,$E$12),1)+1)-INDEX($A$19:$A$218,MATCH(L197,$D$19:INDEX($D$19:$D$218,$E$12),1)))/(INDEX($D$19:$D$218,MATCH(L197,$D$19:INDEX($D$19:$D$218,$E$12),1)+1)-INDEX($D$19:$D$218,MATCH(L197,$D$19:INDEX($D$19:$D$218,$E$12),1))))))</f>
        <v/>
      </c>
      <c r="N197" s="12">
        <f>IF(M197="","",$B$6*TAN(RADIANS(M197)))</f>
        <v/>
      </c>
      <c r="O197" s="12">
        <f>IF(N197="","",IF(L197=0,0,-N197*J197/SQRT(J197^2+K197^2)))</f>
        <v/>
      </c>
      <c r="P197" s="12">
        <f>IF(N197="","",IF(L197=0,0,N197*K197/SQRT(J197^2+K197^2)))</f>
        <v/>
      </c>
      <c r="Q197" s="12">
        <f>IF(N197="","",IF(N197=0,$B$7,$B$7-Y197*O197/N197))</f>
        <v/>
      </c>
      <c r="R197" s="12">
        <f>IF(N197="","",IF(N197=0,$B$8,$B$8+Y197*P197/N197))</f>
        <v/>
      </c>
      <c r="S197" s="12">
        <f>IFERROR(SQRT((Q197-H197)^2+(R197-I197)^2),"")</f>
        <v/>
      </c>
      <c r="T197">
        <f>170</f>
        <v/>
      </c>
      <c r="U197">
        <f>IF(T197&gt;4*$E$9,"",MIN(INT(T197/$E$9)+1,4))</f>
        <v/>
      </c>
      <c r="V197">
        <f>IF(T197=4*$E$9,-$E$6/2,IF(U197="","",CHOOSE(U197,-$E$6/2+MOD(T197,$E$9)/$E$9*$E$6,$E$6/2,$E$6/2-MOD(T197,$E$9)/$E$9*$E$6,-$E$6/2)))</f>
        <v/>
      </c>
      <c r="W197">
        <f>IF(T197=4*$E$9,-$E$7/2,IF(U197="","",CHOOSE(U197,-$E$7/2,-$E$7/2+MOD(T197,$E$9)/$E$9*$E$7,$E$7/2,$E$7/2-MOD(T197,$E$9)/$E$9*$E$7)))</f>
        <v/>
      </c>
      <c r="X197">
        <f>IF(OR($E$13&lt;&gt;"OK",M197=""),"",IF(M197&lt;=$A$19,$D$19,IF(M197&gt;=INDEX($A$19:$A$218,$E$12),INDEX($D$19:$D$218,$E$12),INDEX($D$19:$D$218,MATCH(M197,$A$19:INDEX($A$19:$A$218,$E$12),1))+(M197-INDEX($A$19:$A$218,MATCH(M197,$A$19:INDEX($A$19:$A$218,$E$12),1)))*(INDEX($D$19:$D$218,MATCH(M197,$A$19:INDEX($A$19:$A$218,$E$12),1)+1)-INDEX($D$19:$D$218,MATCH(M197,$A$19:INDEX($A$19:$A$218,$E$12),1)))/(INDEX($A$19:$A$218,MATCH(M197,$A$19:INDEX($A$19:$A$218,$E$12),1)+1)-INDEX($A$19:$A$218,MATCH(M197,$A$19:INDEX($A$19:$A$218,$E$12),1))))))</f>
        <v/>
      </c>
      <c r="Y197">
        <f>IF(X197="","",X197*1000/$B$4)</f>
        <v/>
      </c>
    </row>
    <row r="198">
      <c r="A198" s="10" t="n"/>
      <c r="B198" s="10" t="n"/>
      <c r="C198" s="11">
        <f>IF(A198="","",$B$5*TAN(RADIANS(A198)))</f>
        <v/>
      </c>
      <c r="D198" s="11">
        <f>IF(C198="","",C198*(1+B198/100))</f>
        <v/>
      </c>
      <c r="E198" s="11">
        <f>IF(A198="","",$B$6*TAN(RADIANS(A198)))</f>
        <v/>
      </c>
      <c r="G198" s="12">
        <f>IF(U198="","",T198)</f>
        <v/>
      </c>
      <c r="H198" s="12">
        <f>IF(U198="","",$E$4+V198*COS(RADIANS($E$8))-W198*SIN(RADIANS($E$8)))</f>
        <v/>
      </c>
      <c r="I198" s="12">
        <f>IF(U198="","",$E$5+V198*SIN(RADIANS($E$8))+W198*COS(RADIANS($E$8)))</f>
        <v/>
      </c>
      <c r="J198" s="12">
        <f>IF(H198="","",H198-$B$7)</f>
        <v/>
      </c>
      <c r="K198" s="12">
        <f>IF(I198="","",I198-$B$8)</f>
        <v/>
      </c>
      <c r="L198" s="12">
        <f>IFERROR(SQRT(J198^2+K198^2)*$B$4/1000,"")</f>
        <v/>
      </c>
      <c r="M198" s="12">
        <f>IF(OR($E$13&lt;&gt;"OK",L198=""),"",IF(L198&lt;=$D$19,$A$19,IF(L198&gt;=INDEX($D$19:$D$218,$E$12),INDEX($A$19:$A$218,$E$12),INDEX($A$19:$A$218,MATCH(L198,$D$19:INDEX($D$19:$D$218,$E$12),1))+(L198-INDEX($D$19:$D$218,MATCH(L198,$D$19:INDEX($D$19:$D$218,$E$12),1)))*(INDEX($A$19:$A$218,MATCH(L198,$D$19:INDEX($D$19:$D$218,$E$12),1)+1)-INDEX($A$19:$A$218,MATCH(L198,$D$19:INDEX($D$19:$D$218,$E$12),1)))/(INDEX($D$19:$D$218,MATCH(L198,$D$19:INDEX($D$19:$D$218,$E$12),1)+1)-INDEX($D$19:$D$218,MATCH(L198,$D$19:INDEX($D$19:$D$218,$E$12),1))))))</f>
        <v/>
      </c>
      <c r="N198" s="12">
        <f>IF(M198="","",$B$6*TAN(RADIANS(M198)))</f>
        <v/>
      </c>
      <c r="O198" s="12">
        <f>IF(N198="","",IF(L198=0,0,-N198*J198/SQRT(J198^2+K198^2)))</f>
        <v/>
      </c>
      <c r="P198" s="12">
        <f>IF(N198="","",IF(L198=0,0,N198*K198/SQRT(J198^2+K198^2)))</f>
        <v/>
      </c>
      <c r="Q198" s="12">
        <f>IF(N198="","",IF(N198=0,$B$7,$B$7-Y198*O198/N198))</f>
        <v/>
      </c>
      <c r="R198" s="12">
        <f>IF(N198="","",IF(N198=0,$B$8,$B$8+Y198*P198/N198))</f>
        <v/>
      </c>
      <c r="S198" s="12">
        <f>IFERROR(SQRT((Q198-H198)^2+(R198-I198)^2),"")</f>
        <v/>
      </c>
      <c r="T198">
        <f>171</f>
        <v/>
      </c>
      <c r="U198">
        <f>IF(T198&gt;4*$E$9,"",MIN(INT(T198/$E$9)+1,4))</f>
        <v/>
      </c>
      <c r="V198">
        <f>IF(T198=4*$E$9,-$E$6/2,IF(U198="","",CHOOSE(U198,-$E$6/2+MOD(T198,$E$9)/$E$9*$E$6,$E$6/2,$E$6/2-MOD(T198,$E$9)/$E$9*$E$6,-$E$6/2)))</f>
        <v/>
      </c>
      <c r="W198">
        <f>IF(T198=4*$E$9,-$E$7/2,IF(U198="","",CHOOSE(U198,-$E$7/2,-$E$7/2+MOD(T198,$E$9)/$E$9*$E$7,$E$7/2,$E$7/2-MOD(T198,$E$9)/$E$9*$E$7)))</f>
        <v/>
      </c>
      <c r="X198">
        <f>IF(OR($E$13&lt;&gt;"OK",M198=""),"",IF(M198&lt;=$A$19,$D$19,IF(M198&gt;=INDEX($A$19:$A$218,$E$12),INDEX($D$19:$D$218,$E$12),INDEX($D$19:$D$218,MATCH(M198,$A$19:INDEX($A$19:$A$218,$E$12),1))+(M198-INDEX($A$19:$A$218,MATCH(M198,$A$19:INDEX($A$19:$A$218,$E$12),1)))*(INDEX($D$19:$D$218,MATCH(M198,$A$19:INDEX($A$19:$A$218,$E$12),1)+1)-INDEX($D$19:$D$218,MATCH(M198,$A$19:INDEX($A$19:$A$218,$E$12),1)))/(INDEX($A$19:$A$218,MATCH(M198,$A$19:INDEX($A$19:$A$218,$E$12),1)+1)-INDEX($A$19:$A$218,MATCH(M198,$A$19:INDEX($A$19:$A$218,$E$12),1))))))</f>
        <v/>
      </c>
      <c r="Y198">
        <f>IF(X198="","",X198*1000/$B$4)</f>
        <v/>
      </c>
    </row>
    <row r="199">
      <c r="A199" s="10" t="n"/>
      <c r="B199" s="10" t="n"/>
      <c r="C199" s="11">
        <f>IF(A199="","",$B$5*TAN(RADIANS(A199)))</f>
        <v/>
      </c>
      <c r="D199" s="11">
        <f>IF(C199="","",C199*(1+B199/100))</f>
        <v/>
      </c>
      <c r="E199" s="11">
        <f>IF(A199="","",$B$6*TAN(RADIANS(A199)))</f>
        <v/>
      </c>
      <c r="G199" s="12">
        <f>IF(U199="","",T199)</f>
        <v/>
      </c>
      <c r="H199" s="12">
        <f>IF(U199="","",$E$4+V199*COS(RADIANS($E$8))-W199*SIN(RADIANS($E$8)))</f>
        <v/>
      </c>
      <c r="I199" s="12">
        <f>IF(U199="","",$E$5+V199*SIN(RADIANS($E$8))+W199*COS(RADIANS($E$8)))</f>
        <v/>
      </c>
      <c r="J199" s="12">
        <f>IF(H199="","",H199-$B$7)</f>
        <v/>
      </c>
      <c r="K199" s="12">
        <f>IF(I199="","",I199-$B$8)</f>
        <v/>
      </c>
      <c r="L199" s="12">
        <f>IFERROR(SQRT(J199^2+K199^2)*$B$4/1000,"")</f>
        <v/>
      </c>
      <c r="M199" s="12">
        <f>IF(OR($E$13&lt;&gt;"OK",L199=""),"",IF(L199&lt;=$D$19,$A$19,IF(L199&gt;=INDEX($D$19:$D$218,$E$12),INDEX($A$19:$A$218,$E$12),INDEX($A$19:$A$218,MATCH(L199,$D$19:INDEX($D$19:$D$218,$E$12),1))+(L199-INDEX($D$19:$D$218,MATCH(L199,$D$19:INDEX($D$19:$D$218,$E$12),1)))*(INDEX($A$19:$A$218,MATCH(L199,$D$19:INDEX($D$19:$D$218,$E$12),1)+1)-INDEX($A$19:$A$218,MATCH(L199,$D$19:INDEX($D$19:$D$218,$E$12),1)))/(INDEX($D$19:$D$218,MATCH(L199,$D$19:INDEX($D$19:$D$218,$E$12),1)+1)-INDEX($D$19:$D$218,MATCH(L199,$D$19:INDEX($D$19:$D$218,$E$12),1))))))</f>
        <v/>
      </c>
      <c r="N199" s="12">
        <f>IF(M199="","",$B$6*TAN(RADIANS(M199)))</f>
        <v/>
      </c>
      <c r="O199" s="12">
        <f>IF(N199="","",IF(L199=0,0,-N199*J199/SQRT(J199^2+K199^2)))</f>
        <v/>
      </c>
      <c r="P199" s="12">
        <f>IF(N199="","",IF(L199=0,0,N199*K199/SQRT(J199^2+K199^2)))</f>
        <v/>
      </c>
      <c r="Q199" s="12">
        <f>IF(N199="","",IF(N199=0,$B$7,$B$7-Y199*O199/N199))</f>
        <v/>
      </c>
      <c r="R199" s="12">
        <f>IF(N199="","",IF(N199=0,$B$8,$B$8+Y199*P199/N199))</f>
        <v/>
      </c>
      <c r="S199" s="12">
        <f>IFERROR(SQRT((Q199-H199)^2+(R199-I199)^2),"")</f>
        <v/>
      </c>
      <c r="T199">
        <f>172</f>
        <v/>
      </c>
      <c r="U199">
        <f>IF(T199&gt;4*$E$9,"",MIN(INT(T199/$E$9)+1,4))</f>
        <v/>
      </c>
      <c r="V199">
        <f>IF(T199=4*$E$9,-$E$6/2,IF(U199="","",CHOOSE(U199,-$E$6/2+MOD(T199,$E$9)/$E$9*$E$6,$E$6/2,$E$6/2-MOD(T199,$E$9)/$E$9*$E$6,-$E$6/2)))</f>
        <v/>
      </c>
      <c r="W199">
        <f>IF(T199=4*$E$9,-$E$7/2,IF(U199="","",CHOOSE(U199,-$E$7/2,-$E$7/2+MOD(T199,$E$9)/$E$9*$E$7,$E$7/2,$E$7/2-MOD(T199,$E$9)/$E$9*$E$7)))</f>
        <v/>
      </c>
      <c r="X199">
        <f>IF(OR($E$13&lt;&gt;"OK",M199=""),"",IF(M199&lt;=$A$19,$D$19,IF(M199&gt;=INDEX($A$19:$A$218,$E$12),INDEX($D$19:$D$218,$E$12),INDEX($D$19:$D$218,MATCH(M199,$A$19:INDEX($A$19:$A$218,$E$12),1))+(M199-INDEX($A$19:$A$218,MATCH(M199,$A$19:INDEX($A$19:$A$218,$E$12),1)))*(INDEX($D$19:$D$218,MATCH(M199,$A$19:INDEX($A$19:$A$218,$E$12),1)+1)-INDEX($D$19:$D$218,MATCH(M199,$A$19:INDEX($A$19:$A$218,$E$12),1)))/(INDEX($A$19:$A$218,MATCH(M199,$A$19:INDEX($A$19:$A$218,$E$12),1)+1)-INDEX($A$19:$A$218,MATCH(M199,$A$19:INDEX($A$19:$A$218,$E$12),1))))))</f>
        <v/>
      </c>
      <c r="Y199">
        <f>IF(X199="","",X199*1000/$B$4)</f>
        <v/>
      </c>
    </row>
    <row r="200">
      <c r="A200" s="10" t="n"/>
      <c r="B200" s="10" t="n"/>
      <c r="C200" s="11">
        <f>IF(A200="","",$B$5*TAN(RADIANS(A200)))</f>
        <v/>
      </c>
      <c r="D200" s="11">
        <f>IF(C200="","",C200*(1+B200/100))</f>
        <v/>
      </c>
      <c r="E200" s="11">
        <f>IF(A200="","",$B$6*TAN(RADIANS(A200)))</f>
        <v/>
      </c>
      <c r="G200" s="12">
        <f>IF(U200="","",T200)</f>
        <v/>
      </c>
      <c r="H200" s="12">
        <f>IF(U200="","",$E$4+V200*COS(RADIANS($E$8))-W200*SIN(RADIANS($E$8)))</f>
        <v/>
      </c>
      <c r="I200" s="12">
        <f>IF(U200="","",$E$5+V200*SIN(RADIANS($E$8))+W200*COS(RADIANS($E$8)))</f>
        <v/>
      </c>
      <c r="J200" s="12">
        <f>IF(H200="","",H200-$B$7)</f>
        <v/>
      </c>
      <c r="K200" s="12">
        <f>IF(I200="","",I200-$B$8)</f>
        <v/>
      </c>
      <c r="L200" s="12">
        <f>IFERROR(SQRT(J200^2+K200^2)*$B$4/1000,"")</f>
        <v/>
      </c>
      <c r="M200" s="12">
        <f>IF(OR($E$13&lt;&gt;"OK",L200=""),"",IF(L200&lt;=$D$19,$A$19,IF(L200&gt;=INDEX($D$19:$D$218,$E$12),INDEX($A$19:$A$218,$E$12),INDEX($A$19:$A$218,MATCH(L200,$D$19:INDEX($D$19:$D$218,$E$12),1))+(L200-INDEX($D$19:$D$218,MATCH(L200,$D$19:INDEX($D$19:$D$218,$E$12),1)))*(INDEX($A$19:$A$218,MATCH(L200,$D$19:INDEX($D$19:$D$218,$E$12),1)+1)-INDEX($A$19:$A$218,MATCH(L200,$D$19:INDEX($D$19:$D$218,$E$12),1)))/(INDEX($D$19:$D$218,MATCH(L200,$D$19:INDEX($D$19:$D$218,$E$12),1)+1)-INDEX($D$19:$D$218,MATCH(L200,$D$19:INDEX($D$19:$D$218,$E$12),1))))))</f>
        <v/>
      </c>
      <c r="N200" s="12">
        <f>IF(M200="","",$B$6*TAN(RADIANS(M200)))</f>
        <v/>
      </c>
      <c r="O200" s="12">
        <f>IF(N200="","",IF(L200=0,0,-N200*J200/SQRT(J200^2+K200^2)))</f>
        <v/>
      </c>
      <c r="P200" s="12">
        <f>IF(N200="","",IF(L200=0,0,N200*K200/SQRT(J200^2+K200^2)))</f>
        <v/>
      </c>
      <c r="Q200" s="12">
        <f>IF(N200="","",IF(N200=0,$B$7,$B$7-Y200*O200/N200))</f>
        <v/>
      </c>
      <c r="R200" s="12">
        <f>IF(N200="","",IF(N200=0,$B$8,$B$8+Y200*P200/N200))</f>
        <v/>
      </c>
      <c r="S200" s="12">
        <f>IFERROR(SQRT((Q200-H200)^2+(R200-I200)^2),"")</f>
        <v/>
      </c>
      <c r="T200">
        <f>173</f>
        <v/>
      </c>
      <c r="U200">
        <f>IF(T200&gt;4*$E$9,"",MIN(INT(T200/$E$9)+1,4))</f>
        <v/>
      </c>
      <c r="V200">
        <f>IF(T200=4*$E$9,-$E$6/2,IF(U200="","",CHOOSE(U200,-$E$6/2+MOD(T200,$E$9)/$E$9*$E$6,$E$6/2,$E$6/2-MOD(T200,$E$9)/$E$9*$E$6,-$E$6/2)))</f>
        <v/>
      </c>
      <c r="W200">
        <f>IF(T200=4*$E$9,-$E$7/2,IF(U200="","",CHOOSE(U200,-$E$7/2,-$E$7/2+MOD(T200,$E$9)/$E$9*$E$7,$E$7/2,$E$7/2-MOD(T200,$E$9)/$E$9*$E$7)))</f>
        <v/>
      </c>
      <c r="X200">
        <f>IF(OR($E$13&lt;&gt;"OK",M200=""),"",IF(M200&lt;=$A$19,$D$19,IF(M200&gt;=INDEX($A$19:$A$218,$E$12),INDEX($D$19:$D$218,$E$12),INDEX($D$19:$D$218,MATCH(M200,$A$19:INDEX($A$19:$A$218,$E$12),1))+(M200-INDEX($A$19:$A$218,MATCH(M200,$A$19:INDEX($A$19:$A$218,$E$12),1)))*(INDEX($D$19:$D$218,MATCH(M200,$A$19:INDEX($A$19:$A$218,$E$12),1)+1)-INDEX($D$19:$D$218,MATCH(M200,$A$19:INDEX($A$19:$A$218,$E$12),1)))/(INDEX($A$19:$A$218,MATCH(M200,$A$19:INDEX($A$19:$A$218,$E$12),1)+1)-INDEX($A$19:$A$218,MATCH(M200,$A$19:INDEX($A$19:$A$218,$E$12),1))))))</f>
        <v/>
      </c>
      <c r="Y200">
        <f>IF(X200="","",X200*1000/$B$4)</f>
        <v/>
      </c>
    </row>
    <row r="201">
      <c r="A201" s="10" t="n"/>
      <c r="B201" s="10" t="n"/>
      <c r="C201" s="11">
        <f>IF(A201="","",$B$5*TAN(RADIANS(A201)))</f>
        <v/>
      </c>
      <c r="D201" s="11">
        <f>IF(C201="","",C201*(1+B201/100))</f>
        <v/>
      </c>
      <c r="E201" s="11">
        <f>IF(A201="","",$B$6*TAN(RADIANS(A201)))</f>
        <v/>
      </c>
      <c r="G201" s="12">
        <f>IF(U201="","",T201)</f>
        <v/>
      </c>
      <c r="H201" s="12">
        <f>IF(U201="","",$E$4+V201*COS(RADIANS($E$8))-W201*SIN(RADIANS($E$8)))</f>
        <v/>
      </c>
      <c r="I201" s="12">
        <f>IF(U201="","",$E$5+V201*SIN(RADIANS($E$8))+W201*COS(RADIANS($E$8)))</f>
        <v/>
      </c>
      <c r="J201" s="12">
        <f>IF(H201="","",H201-$B$7)</f>
        <v/>
      </c>
      <c r="K201" s="12">
        <f>IF(I201="","",I201-$B$8)</f>
        <v/>
      </c>
      <c r="L201" s="12">
        <f>IFERROR(SQRT(J201^2+K201^2)*$B$4/1000,"")</f>
        <v/>
      </c>
      <c r="M201" s="12">
        <f>IF(OR($E$13&lt;&gt;"OK",L201=""),"",IF(L201&lt;=$D$19,$A$19,IF(L201&gt;=INDEX($D$19:$D$218,$E$12),INDEX($A$19:$A$218,$E$12),INDEX($A$19:$A$218,MATCH(L201,$D$19:INDEX($D$19:$D$218,$E$12),1))+(L201-INDEX($D$19:$D$218,MATCH(L201,$D$19:INDEX($D$19:$D$218,$E$12),1)))*(INDEX($A$19:$A$218,MATCH(L201,$D$19:INDEX($D$19:$D$218,$E$12),1)+1)-INDEX($A$19:$A$218,MATCH(L201,$D$19:INDEX($D$19:$D$218,$E$12),1)))/(INDEX($D$19:$D$218,MATCH(L201,$D$19:INDEX($D$19:$D$218,$E$12),1)+1)-INDEX($D$19:$D$218,MATCH(L201,$D$19:INDEX($D$19:$D$218,$E$12),1))))))</f>
        <v/>
      </c>
      <c r="N201" s="12">
        <f>IF(M201="","",$B$6*TAN(RADIANS(M201)))</f>
        <v/>
      </c>
      <c r="O201" s="12">
        <f>IF(N201="","",IF(L201=0,0,-N201*J201/SQRT(J201^2+K201^2)))</f>
        <v/>
      </c>
      <c r="P201" s="12">
        <f>IF(N201="","",IF(L201=0,0,N201*K201/SQRT(J201^2+K201^2)))</f>
        <v/>
      </c>
      <c r="Q201" s="12">
        <f>IF(N201="","",IF(N201=0,$B$7,$B$7-Y201*O201/N201))</f>
        <v/>
      </c>
      <c r="R201" s="12">
        <f>IF(N201="","",IF(N201=0,$B$8,$B$8+Y201*P201/N201))</f>
        <v/>
      </c>
      <c r="S201" s="12">
        <f>IFERROR(SQRT((Q201-H201)^2+(R201-I201)^2),"")</f>
        <v/>
      </c>
      <c r="T201">
        <f>174</f>
        <v/>
      </c>
      <c r="U201">
        <f>IF(T201&gt;4*$E$9,"",MIN(INT(T201/$E$9)+1,4))</f>
        <v/>
      </c>
      <c r="V201">
        <f>IF(T201=4*$E$9,-$E$6/2,IF(U201="","",CHOOSE(U201,-$E$6/2+MOD(T201,$E$9)/$E$9*$E$6,$E$6/2,$E$6/2-MOD(T201,$E$9)/$E$9*$E$6,-$E$6/2)))</f>
        <v/>
      </c>
      <c r="W201">
        <f>IF(T201=4*$E$9,-$E$7/2,IF(U201="","",CHOOSE(U201,-$E$7/2,-$E$7/2+MOD(T201,$E$9)/$E$9*$E$7,$E$7/2,$E$7/2-MOD(T201,$E$9)/$E$9*$E$7)))</f>
        <v/>
      </c>
      <c r="X201">
        <f>IF(OR($E$13&lt;&gt;"OK",M201=""),"",IF(M201&lt;=$A$19,$D$19,IF(M201&gt;=INDEX($A$19:$A$218,$E$12),INDEX($D$19:$D$218,$E$12),INDEX($D$19:$D$218,MATCH(M201,$A$19:INDEX($A$19:$A$218,$E$12),1))+(M201-INDEX($A$19:$A$218,MATCH(M201,$A$19:INDEX($A$19:$A$218,$E$12),1)))*(INDEX($D$19:$D$218,MATCH(M201,$A$19:INDEX($A$19:$A$218,$E$12),1)+1)-INDEX($D$19:$D$218,MATCH(M201,$A$19:INDEX($A$19:$A$218,$E$12),1)))/(INDEX($A$19:$A$218,MATCH(M201,$A$19:INDEX($A$19:$A$218,$E$12),1)+1)-INDEX($A$19:$A$218,MATCH(M201,$A$19:INDEX($A$19:$A$218,$E$12),1))))))</f>
        <v/>
      </c>
      <c r="Y201">
        <f>IF(X201="","",X201*1000/$B$4)</f>
        <v/>
      </c>
    </row>
    <row r="202">
      <c r="A202" s="10" t="n"/>
      <c r="B202" s="10" t="n"/>
      <c r="C202" s="11">
        <f>IF(A202="","",$B$5*TAN(RADIANS(A202)))</f>
        <v/>
      </c>
      <c r="D202" s="11">
        <f>IF(C202="","",C202*(1+B202/100))</f>
        <v/>
      </c>
      <c r="E202" s="11">
        <f>IF(A202="","",$B$6*TAN(RADIANS(A202)))</f>
        <v/>
      </c>
      <c r="G202" s="12">
        <f>IF(U202="","",T202)</f>
        <v/>
      </c>
      <c r="H202" s="12">
        <f>IF(U202="","",$E$4+V202*COS(RADIANS($E$8))-W202*SIN(RADIANS($E$8)))</f>
        <v/>
      </c>
      <c r="I202" s="12">
        <f>IF(U202="","",$E$5+V202*SIN(RADIANS($E$8))+W202*COS(RADIANS($E$8)))</f>
        <v/>
      </c>
      <c r="J202" s="12">
        <f>IF(H202="","",H202-$B$7)</f>
        <v/>
      </c>
      <c r="K202" s="12">
        <f>IF(I202="","",I202-$B$8)</f>
        <v/>
      </c>
      <c r="L202" s="12">
        <f>IFERROR(SQRT(J202^2+K202^2)*$B$4/1000,"")</f>
        <v/>
      </c>
      <c r="M202" s="12">
        <f>IF(OR($E$13&lt;&gt;"OK",L202=""),"",IF(L202&lt;=$D$19,$A$19,IF(L202&gt;=INDEX($D$19:$D$218,$E$12),INDEX($A$19:$A$218,$E$12),INDEX($A$19:$A$218,MATCH(L202,$D$19:INDEX($D$19:$D$218,$E$12),1))+(L202-INDEX($D$19:$D$218,MATCH(L202,$D$19:INDEX($D$19:$D$218,$E$12),1)))*(INDEX($A$19:$A$218,MATCH(L202,$D$19:INDEX($D$19:$D$218,$E$12),1)+1)-INDEX($A$19:$A$218,MATCH(L202,$D$19:INDEX($D$19:$D$218,$E$12),1)))/(INDEX($D$19:$D$218,MATCH(L202,$D$19:INDEX($D$19:$D$218,$E$12),1)+1)-INDEX($D$19:$D$218,MATCH(L202,$D$19:INDEX($D$19:$D$218,$E$12),1))))))</f>
        <v/>
      </c>
      <c r="N202" s="12">
        <f>IF(M202="","",$B$6*TAN(RADIANS(M202)))</f>
        <v/>
      </c>
      <c r="O202" s="12">
        <f>IF(N202="","",IF(L202=0,0,-N202*J202/SQRT(J202^2+K202^2)))</f>
        <v/>
      </c>
      <c r="P202" s="12">
        <f>IF(N202="","",IF(L202=0,0,N202*K202/SQRT(J202^2+K202^2)))</f>
        <v/>
      </c>
      <c r="Q202" s="12">
        <f>IF(N202="","",IF(N202=0,$B$7,$B$7-Y202*O202/N202))</f>
        <v/>
      </c>
      <c r="R202" s="12">
        <f>IF(N202="","",IF(N202=0,$B$8,$B$8+Y202*P202/N202))</f>
        <v/>
      </c>
      <c r="S202" s="12">
        <f>IFERROR(SQRT((Q202-H202)^2+(R202-I202)^2),"")</f>
        <v/>
      </c>
      <c r="T202">
        <f>175</f>
        <v/>
      </c>
      <c r="U202">
        <f>IF(T202&gt;4*$E$9,"",MIN(INT(T202/$E$9)+1,4))</f>
        <v/>
      </c>
      <c r="V202">
        <f>IF(T202=4*$E$9,-$E$6/2,IF(U202="","",CHOOSE(U202,-$E$6/2+MOD(T202,$E$9)/$E$9*$E$6,$E$6/2,$E$6/2-MOD(T202,$E$9)/$E$9*$E$6,-$E$6/2)))</f>
        <v/>
      </c>
      <c r="W202">
        <f>IF(T202=4*$E$9,-$E$7/2,IF(U202="","",CHOOSE(U202,-$E$7/2,-$E$7/2+MOD(T202,$E$9)/$E$9*$E$7,$E$7/2,$E$7/2-MOD(T202,$E$9)/$E$9*$E$7)))</f>
        <v/>
      </c>
      <c r="X202">
        <f>IF(OR($E$13&lt;&gt;"OK",M202=""),"",IF(M202&lt;=$A$19,$D$19,IF(M202&gt;=INDEX($A$19:$A$218,$E$12),INDEX($D$19:$D$218,$E$12),INDEX($D$19:$D$218,MATCH(M202,$A$19:INDEX($A$19:$A$218,$E$12),1))+(M202-INDEX($A$19:$A$218,MATCH(M202,$A$19:INDEX($A$19:$A$218,$E$12),1)))*(INDEX($D$19:$D$218,MATCH(M202,$A$19:INDEX($A$19:$A$218,$E$12),1)+1)-INDEX($D$19:$D$218,MATCH(M202,$A$19:INDEX($A$19:$A$218,$E$12),1)))/(INDEX($A$19:$A$218,MATCH(M202,$A$19:INDEX($A$19:$A$218,$E$12),1)+1)-INDEX($A$19:$A$218,MATCH(M202,$A$19:INDEX($A$19:$A$218,$E$12),1))))))</f>
        <v/>
      </c>
      <c r="Y202">
        <f>IF(X202="","",X202*1000/$B$4)</f>
        <v/>
      </c>
    </row>
    <row r="203">
      <c r="A203" s="10" t="n"/>
      <c r="B203" s="10" t="n"/>
      <c r="C203" s="11">
        <f>IF(A203="","",$B$5*TAN(RADIANS(A203)))</f>
        <v/>
      </c>
      <c r="D203" s="11">
        <f>IF(C203="","",C203*(1+B203/100))</f>
        <v/>
      </c>
      <c r="E203" s="11">
        <f>IF(A203="","",$B$6*TAN(RADIANS(A203)))</f>
        <v/>
      </c>
      <c r="G203" s="12">
        <f>IF(U203="","",T203)</f>
        <v/>
      </c>
      <c r="H203" s="12">
        <f>IF(U203="","",$E$4+V203*COS(RADIANS($E$8))-W203*SIN(RADIANS($E$8)))</f>
        <v/>
      </c>
      <c r="I203" s="12">
        <f>IF(U203="","",$E$5+V203*SIN(RADIANS($E$8))+W203*COS(RADIANS($E$8)))</f>
        <v/>
      </c>
      <c r="J203" s="12">
        <f>IF(H203="","",H203-$B$7)</f>
        <v/>
      </c>
      <c r="K203" s="12">
        <f>IF(I203="","",I203-$B$8)</f>
        <v/>
      </c>
      <c r="L203" s="12">
        <f>IFERROR(SQRT(J203^2+K203^2)*$B$4/1000,"")</f>
        <v/>
      </c>
      <c r="M203" s="12">
        <f>IF(OR($E$13&lt;&gt;"OK",L203=""),"",IF(L203&lt;=$D$19,$A$19,IF(L203&gt;=INDEX($D$19:$D$218,$E$12),INDEX($A$19:$A$218,$E$12),INDEX($A$19:$A$218,MATCH(L203,$D$19:INDEX($D$19:$D$218,$E$12),1))+(L203-INDEX($D$19:$D$218,MATCH(L203,$D$19:INDEX($D$19:$D$218,$E$12),1)))*(INDEX($A$19:$A$218,MATCH(L203,$D$19:INDEX($D$19:$D$218,$E$12),1)+1)-INDEX($A$19:$A$218,MATCH(L203,$D$19:INDEX($D$19:$D$218,$E$12),1)))/(INDEX($D$19:$D$218,MATCH(L203,$D$19:INDEX($D$19:$D$218,$E$12),1)+1)-INDEX($D$19:$D$218,MATCH(L203,$D$19:INDEX($D$19:$D$218,$E$12),1))))))</f>
        <v/>
      </c>
      <c r="N203" s="12">
        <f>IF(M203="","",$B$6*TAN(RADIANS(M203)))</f>
        <v/>
      </c>
      <c r="O203" s="12">
        <f>IF(N203="","",IF(L203=0,0,-N203*J203/SQRT(J203^2+K203^2)))</f>
        <v/>
      </c>
      <c r="P203" s="12">
        <f>IF(N203="","",IF(L203=0,0,N203*K203/SQRT(J203^2+K203^2)))</f>
        <v/>
      </c>
      <c r="Q203" s="12">
        <f>IF(N203="","",IF(N203=0,$B$7,$B$7-Y203*O203/N203))</f>
        <v/>
      </c>
      <c r="R203" s="12">
        <f>IF(N203="","",IF(N203=0,$B$8,$B$8+Y203*P203/N203))</f>
        <v/>
      </c>
      <c r="S203" s="12">
        <f>IFERROR(SQRT((Q203-H203)^2+(R203-I203)^2),"")</f>
        <v/>
      </c>
      <c r="T203">
        <f>176</f>
        <v/>
      </c>
      <c r="U203">
        <f>IF(T203&gt;4*$E$9,"",MIN(INT(T203/$E$9)+1,4))</f>
        <v/>
      </c>
      <c r="V203">
        <f>IF(T203=4*$E$9,-$E$6/2,IF(U203="","",CHOOSE(U203,-$E$6/2+MOD(T203,$E$9)/$E$9*$E$6,$E$6/2,$E$6/2-MOD(T203,$E$9)/$E$9*$E$6,-$E$6/2)))</f>
        <v/>
      </c>
      <c r="W203">
        <f>IF(T203=4*$E$9,-$E$7/2,IF(U203="","",CHOOSE(U203,-$E$7/2,-$E$7/2+MOD(T203,$E$9)/$E$9*$E$7,$E$7/2,$E$7/2-MOD(T203,$E$9)/$E$9*$E$7)))</f>
        <v/>
      </c>
      <c r="X203">
        <f>IF(OR($E$13&lt;&gt;"OK",M203=""),"",IF(M203&lt;=$A$19,$D$19,IF(M203&gt;=INDEX($A$19:$A$218,$E$12),INDEX($D$19:$D$218,$E$12),INDEX($D$19:$D$218,MATCH(M203,$A$19:INDEX($A$19:$A$218,$E$12),1))+(M203-INDEX($A$19:$A$218,MATCH(M203,$A$19:INDEX($A$19:$A$218,$E$12),1)))*(INDEX($D$19:$D$218,MATCH(M203,$A$19:INDEX($A$19:$A$218,$E$12),1)+1)-INDEX($D$19:$D$218,MATCH(M203,$A$19:INDEX($A$19:$A$218,$E$12),1)))/(INDEX($A$19:$A$218,MATCH(M203,$A$19:INDEX($A$19:$A$218,$E$12),1)+1)-INDEX($A$19:$A$218,MATCH(M203,$A$19:INDEX($A$19:$A$218,$E$12),1))))))</f>
        <v/>
      </c>
      <c r="Y203">
        <f>IF(X203="","",X203*1000/$B$4)</f>
        <v/>
      </c>
    </row>
    <row r="204">
      <c r="A204" s="10" t="n"/>
      <c r="B204" s="10" t="n"/>
      <c r="C204" s="11">
        <f>IF(A204="","",$B$5*TAN(RADIANS(A204)))</f>
        <v/>
      </c>
      <c r="D204" s="11">
        <f>IF(C204="","",C204*(1+B204/100))</f>
        <v/>
      </c>
      <c r="E204" s="11">
        <f>IF(A204="","",$B$6*TAN(RADIANS(A204)))</f>
        <v/>
      </c>
      <c r="G204" s="12">
        <f>IF(U204="","",T204)</f>
        <v/>
      </c>
      <c r="H204" s="12">
        <f>IF(U204="","",$E$4+V204*COS(RADIANS($E$8))-W204*SIN(RADIANS($E$8)))</f>
        <v/>
      </c>
      <c r="I204" s="12">
        <f>IF(U204="","",$E$5+V204*SIN(RADIANS($E$8))+W204*COS(RADIANS($E$8)))</f>
        <v/>
      </c>
      <c r="J204" s="12">
        <f>IF(H204="","",H204-$B$7)</f>
        <v/>
      </c>
      <c r="K204" s="12">
        <f>IF(I204="","",I204-$B$8)</f>
        <v/>
      </c>
      <c r="L204" s="12">
        <f>IFERROR(SQRT(J204^2+K204^2)*$B$4/1000,"")</f>
        <v/>
      </c>
      <c r="M204" s="12">
        <f>IF(OR($E$13&lt;&gt;"OK",L204=""),"",IF(L204&lt;=$D$19,$A$19,IF(L204&gt;=INDEX($D$19:$D$218,$E$12),INDEX($A$19:$A$218,$E$12),INDEX($A$19:$A$218,MATCH(L204,$D$19:INDEX($D$19:$D$218,$E$12),1))+(L204-INDEX($D$19:$D$218,MATCH(L204,$D$19:INDEX($D$19:$D$218,$E$12),1)))*(INDEX($A$19:$A$218,MATCH(L204,$D$19:INDEX($D$19:$D$218,$E$12),1)+1)-INDEX($A$19:$A$218,MATCH(L204,$D$19:INDEX($D$19:$D$218,$E$12),1)))/(INDEX($D$19:$D$218,MATCH(L204,$D$19:INDEX($D$19:$D$218,$E$12),1)+1)-INDEX($D$19:$D$218,MATCH(L204,$D$19:INDEX($D$19:$D$218,$E$12),1))))))</f>
        <v/>
      </c>
      <c r="N204" s="12">
        <f>IF(M204="","",$B$6*TAN(RADIANS(M204)))</f>
        <v/>
      </c>
      <c r="O204" s="12">
        <f>IF(N204="","",IF(L204=0,0,-N204*J204/SQRT(J204^2+K204^2)))</f>
        <v/>
      </c>
      <c r="P204" s="12">
        <f>IF(N204="","",IF(L204=0,0,N204*K204/SQRT(J204^2+K204^2)))</f>
        <v/>
      </c>
      <c r="Q204" s="12">
        <f>IF(N204="","",IF(N204=0,$B$7,$B$7-Y204*O204/N204))</f>
        <v/>
      </c>
      <c r="R204" s="12">
        <f>IF(N204="","",IF(N204=0,$B$8,$B$8+Y204*P204/N204))</f>
        <v/>
      </c>
      <c r="S204" s="12">
        <f>IFERROR(SQRT((Q204-H204)^2+(R204-I204)^2),"")</f>
        <v/>
      </c>
      <c r="T204">
        <f>177</f>
        <v/>
      </c>
      <c r="U204">
        <f>IF(T204&gt;4*$E$9,"",MIN(INT(T204/$E$9)+1,4))</f>
        <v/>
      </c>
      <c r="V204">
        <f>IF(T204=4*$E$9,-$E$6/2,IF(U204="","",CHOOSE(U204,-$E$6/2+MOD(T204,$E$9)/$E$9*$E$6,$E$6/2,$E$6/2-MOD(T204,$E$9)/$E$9*$E$6,-$E$6/2)))</f>
        <v/>
      </c>
      <c r="W204">
        <f>IF(T204=4*$E$9,-$E$7/2,IF(U204="","",CHOOSE(U204,-$E$7/2,-$E$7/2+MOD(T204,$E$9)/$E$9*$E$7,$E$7/2,$E$7/2-MOD(T204,$E$9)/$E$9*$E$7)))</f>
        <v/>
      </c>
      <c r="X204">
        <f>IF(OR($E$13&lt;&gt;"OK",M204=""),"",IF(M204&lt;=$A$19,$D$19,IF(M204&gt;=INDEX($A$19:$A$218,$E$12),INDEX($D$19:$D$218,$E$12),INDEX($D$19:$D$218,MATCH(M204,$A$19:INDEX($A$19:$A$218,$E$12),1))+(M204-INDEX($A$19:$A$218,MATCH(M204,$A$19:INDEX($A$19:$A$218,$E$12),1)))*(INDEX($D$19:$D$218,MATCH(M204,$A$19:INDEX($A$19:$A$218,$E$12),1)+1)-INDEX($D$19:$D$218,MATCH(M204,$A$19:INDEX($A$19:$A$218,$E$12),1)))/(INDEX($A$19:$A$218,MATCH(M204,$A$19:INDEX($A$19:$A$218,$E$12),1)+1)-INDEX($A$19:$A$218,MATCH(M204,$A$19:INDEX($A$19:$A$218,$E$12),1))))))</f>
        <v/>
      </c>
      <c r="Y204">
        <f>IF(X204="","",X204*1000/$B$4)</f>
        <v/>
      </c>
    </row>
    <row r="205">
      <c r="A205" s="10" t="n"/>
      <c r="B205" s="10" t="n"/>
      <c r="C205" s="11">
        <f>IF(A205="","",$B$5*TAN(RADIANS(A205)))</f>
        <v/>
      </c>
      <c r="D205" s="11">
        <f>IF(C205="","",C205*(1+B205/100))</f>
        <v/>
      </c>
      <c r="E205" s="11">
        <f>IF(A205="","",$B$6*TAN(RADIANS(A205)))</f>
        <v/>
      </c>
      <c r="G205" s="12">
        <f>IF(U205="","",T205)</f>
        <v/>
      </c>
      <c r="H205" s="12">
        <f>IF(U205="","",$E$4+V205*COS(RADIANS($E$8))-W205*SIN(RADIANS($E$8)))</f>
        <v/>
      </c>
      <c r="I205" s="12">
        <f>IF(U205="","",$E$5+V205*SIN(RADIANS($E$8))+W205*COS(RADIANS($E$8)))</f>
        <v/>
      </c>
      <c r="J205" s="12">
        <f>IF(H205="","",H205-$B$7)</f>
        <v/>
      </c>
      <c r="K205" s="12">
        <f>IF(I205="","",I205-$B$8)</f>
        <v/>
      </c>
      <c r="L205" s="12">
        <f>IFERROR(SQRT(J205^2+K205^2)*$B$4/1000,"")</f>
        <v/>
      </c>
      <c r="M205" s="12">
        <f>IF(OR($E$13&lt;&gt;"OK",L205=""),"",IF(L205&lt;=$D$19,$A$19,IF(L205&gt;=INDEX($D$19:$D$218,$E$12),INDEX($A$19:$A$218,$E$12),INDEX($A$19:$A$218,MATCH(L205,$D$19:INDEX($D$19:$D$218,$E$12),1))+(L205-INDEX($D$19:$D$218,MATCH(L205,$D$19:INDEX($D$19:$D$218,$E$12),1)))*(INDEX($A$19:$A$218,MATCH(L205,$D$19:INDEX($D$19:$D$218,$E$12),1)+1)-INDEX($A$19:$A$218,MATCH(L205,$D$19:INDEX($D$19:$D$218,$E$12),1)))/(INDEX($D$19:$D$218,MATCH(L205,$D$19:INDEX($D$19:$D$218,$E$12),1)+1)-INDEX($D$19:$D$218,MATCH(L205,$D$19:INDEX($D$19:$D$218,$E$12),1))))))</f>
        <v/>
      </c>
      <c r="N205" s="12">
        <f>IF(M205="","",$B$6*TAN(RADIANS(M205)))</f>
        <v/>
      </c>
      <c r="O205" s="12">
        <f>IF(N205="","",IF(L205=0,0,-N205*J205/SQRT(J205^2+K205^2)))</f>
        <v/>
      </c>
      <c r="P205" s="12">
        <f>IF(N205="","",IF(L205=0,0,N205*K205/SQRT(J205^2+K205^2)))</f>
        <v/>
      </c>
      <c r="Q205" s="12">
        <f>IF(N205="","",IF(N205=0,$B$7,$B$7-Y205*O205/N205))</f>
        <v/>
      </c>
      <c r="R205" s="12">
        <f>IF(N205="","",IF(N205=0,$B$8,$B$8+Y205*P205/N205))</f>
        <v/>
      </c>
      <c r="S205" s="12">
        <f>IFERROR(SQRT((Q205-H205)^2+(R205-I205)^2),"")</f>
        <v/>
      </c>
      <c r="T205">
        <f>178</f>
        <v/>
      </c>
      <c r="U205">
        <f>IF(T205&gt;4*$E$9,"",MIN(INT(T205/$E$9)+1,4))</f>
        <v/>
      </c>
      <c r="V205">
        <f>IF(T205=4*$E$9,-$E$6/2,IF(U205="","",CHOOSE(U205,-$E$6/2+MOD(T205,$E$9)/$E$9*$E$6,$E$6/2,$E$6/2-MOD(T205,$E$9)/$E$9*$E$6,-$E$6/2)))</f>
        <v/>
      </c>
      <c r="W205">
        <f>IF(T205=4*$E$9,-$E$7/2,IF(U205="","",CHOOSE(U205,-$E$7/2,-$E$7/2+MOD(T205,$E$9)/$E$9*$E$7,$E$7/2,$E$7/2-MOD(T205,$E$9)/$E$9*$E$7)))</f>
        <v/>
      </c>
      <c r="X205">
        <f>IF(OR($E$13&lt;&gt;"OK",M205=""),"",IF(M205&lt;=$A$19,$D$19,IF(M205&gt;=INDEX($A$19:$A$218,$E$12),INDEX($D$19:$D$218,$E$12),INDEX($D$19:$D$218,MATCH(M205,$A$19:INDEX($A$19:$A$218,$E$12),1))+(M205-INDEX($A$19:$A$218,MATCH(M205,$A$19:INDEX($A$19:$A$218,$E$12),1)))*(INDEX($D$19:$D$218,MATCH(M205,$A$19:INDEX($A$19:$A$218,$E$12),1)+1)-INDEX($D$19:$D$218,MATCH(M205,$A$19:INDEX($A$19:$A$218,$E$12),1)))/(INDEX($A$19:$A$218,MATCH(M205,$A$19:INDEX($A$19:$A$218,$E$12),1)+1)-INDEX($A$19:$A$218,MATCH(M205,$A$19:INDEX($A$19:$A$218,$E$12),1))))))</f>
        <v/>
      </c>
      <c r="Y205">
        <f>IF(X205="","",X205*1000/$B$4)</f>
        <v/>
      </c>
    </row>
    <row r="206">
      <c r="A206" s="10" t="n"/>
      <c r="B206" s="10" t="n"/>
      <c r="C206" s="11">
        <f>IF(A206="","",$B$5*TAN(RADIANS(A206)))</f>
        <v/>
      </c>
      <c r="D206" s="11">
        <f>IF(C206="","",C206*(1+B206/100))</f>
        <v/>
      </c>
      <c r="E206" s="11">
        <f>IF(A206="","",$B$6*TAN(RADIANS(A206)))</f>
        <v/>
      </c>
      <c r="G206" s="12">
        <f>IF(U206="","",T206)</f>
        <v/>
      </c>
      <c r="H206" s="12">
        <f>IF(U206="","",$E$4+V206*COS(RADIANS($E$8))-W206*SIN(RADIANS($E$8)))</f>
        <v/>
      </c>
      <c r="I206" s="12">
        <f>IF(U206="","",$E$5+V206*SIN(RADIANS($E$8))+W206*COS(RADIANS($E$8)))</f>
        <v/>
      </c>
      <c r="J206" s="12">
        <f>IF(H206="","",H206-$B$7)</f>
        <v/>
      </c>
      <c r="K206" s="12">
        <f>IF(I206="","",I206-$B$8)</f>
        <v/>
      </c>
      <c r="L206" s="12">
        <f>IFERROR(SQRT(J206^2+K206^2)*$B$4/1000,"")</f>
        <v/>
      </c>
      <c r="M206" s="12">
        <f>IF(OR($E$13&lt;&gt;"OK",L206=""),"",IF(L206&lt;=$D$19,$A$19,IF(L206&gt;=INDEX($D$19:$D$218,$E$12),INDEX($A$19:$A$218,$E$12),INDEX($A$19:$A$218,MATCH(L206,$D$19:INDEX($D$19:$D$218,$E$12),1))+(L206-INDEX($D$19:$D$218,MATCH(L206,$D$19:INDEX($D$19:$D$218,$E$12),1)))*(INDEX($A$19:$A$218,MATCH(L206,$D$19:INDEX($D$19:$D$218,$E$12),1)+1)-INDEX($A$19:$A$218,MATCH(L206,$D$19:INDEX($D$19:$D$218,$E$12),1)))/(INDEX($D$19:$D$218,MATCH(L206,$D$19:INDEX($D$19:$D$218,$E$12),1)+1)-INDEX($D$19:$D$218,MATCH(L206,$D$19:INDEX($D$19:$D$218,$E$12),1))))))</f>
        <v/>
      </c>
      <c r="N206" s="12">
        <f>IF(M206="","",$B$6*TAN(RADIANS(M206)))</f>
        <v/>
      </c>
      <c r="O206" s="12">
        <f>IF(N206="","",IF(L206=0,0,-N206*J206/SQRT(J206^2+K206^2)))</f>
        <v/>
      </c>
      <c r="P206" s="12">
        <f>IF(N206="","",IF(L206=0,0,N206*K206/SQRT(J206^2+K206^2)))</f>
        <v/>
      </c>
      <c r="Q206" s="12">
        <f>IF(N206="","",IF(N206=0,$B$7,$B$7-Y206*O206/N206))</f>
        <v/>
      </c>
      <c r="R206" s="12">
        <f>IF(N206="","",IF(N206=0,$B$8,$B$8+Y206*P206/N206))</f>
        <v/>
      </c>
      <c r="S206" s="12">
        <f>IFERROR(SQRT((Q206-H206)^2+(R206-I206)^2),"")</f>
        <v/>
      </c>
      <c r="T206">
        <f>179</f>
        <v/>
      </c>
      <c r="U206">
        <f>IF(T206&gt;4*$E$9,"",MIN(INT(T206/$E$9)+1,4))</f>
        <v/>
      </c>
      <c r="V206">
        <f>IF(T206=4*$E$9,-$E$6/2,IF(U206="","",CHOOSE(U206,-$E$6/2+MOD(T206,$E$9)/$E$9*$E$6,$E$6/2,$E$6/2-MOD(T206,$E$9)/$E$9*$E$6,-$E$6/2)))</f>
        <v/>
      </c>
      <c r="W206">
        <f>IF(T206=4*$E$9,-$E$7/2,IF(U206="","",CHOOSE(U206,-$E$7/2,-$E$7/2+MOD(T206,$E$9)/$E$9*$E$7,$E$7/2,$E$7/2-MOD(T206,$E$9)/$E$9*$E$7)))</f>
        <v/>
      </c>
      <c r="X206">
        <f>IF(OR($E$13&lt;&gt;"OK",M206=""),"",IF(M206&lt;=$A$19,$D$19,IF(M206&gt;=INDEX($A$19:$A$218,$E$12),INDEX($D$19:$D$218,$E$12),INDEX($D$19:$D$218,MATCH(M206,$A$19:INDEX($A$19:$A$218,$E$12),1))+(M206-INDEX($A$19:$A$218,MATCH(M206,$A$19:INDEX($A$19:$A$218,$E$12),1)))*(INDEX($D$19:$D$218,MATCH(M206,$A$19:INDEX($A$19:$A$218,$E$12),1)+1)-INDEX($D$19:$D$218,MATCH(M206,$A$19:INDEX($A$19:$A$218,$E$12),1)))/(INDEX($A$19:$A$218,MATCH(M206,$A$19:INDEX($A$19:$A$218,$E$12),1)+1)-INDEX($A$19:$A$218,MATCH(M206,$A$19:INDEX($A$19:$A$218,$E$12),1))))))</f>
        <v/>
      </c>
      <c r="Y206">
        <f>IF(X206="","",X206*1000/$B$4)</f>
        <v/>
      </c>
    </row>
    <row r="207">
      <c r="A207" s="10" t="n"/>
      <c r="B207" s="10" t="n"/>
      <c r="C207" s="11">
        <f>IF(A207="","",$B$5*TAN(RADIANS(A207)))</f>
        <v/>
      </c>
      <c r="D207" s="11">
        <f>IF(C207="","",C207*(1+B207/100))</f>
        <v/>
      </c>
      <c r="E207" s="11">
        <f>IF(A207="","",$B$6*TAN(RADIANS(A207)))</f>
        <v/>
      </c>
      <c r="G207" s="12">
        <f>IF(U207="","",T207)</f>
        <v/>
      </c>
      <c r="H207" s="12">
        <f>IF(U207="","",$E$4+V207*COS(RADIANS($E$8))-W207*SIN(RADIANS($E$8)))</f>
        <v/>
      </c>
      <c r="I207" s="12">
        <f>IF(U207="","",$E$5+V207*SIN(RADIANS($E$8))+W207*COS(RADIANS($E$8)))</f>
        <v/>
      </c>
      <c r="J207" s="12">
        <f>IF(H207="","",H207-$B$7)</f>
        <v/>
      </c>
      <c r="K207" s="12">
        <f>IF(I207="","",I207-$B$8)</f>
        <v/>
      </c>
      <c r="L207" s="12">
        <f>IFERROR(SQRT(J207^2+K207^2)*$B$4/1000,"")</f>
        <v/>
      </c>
      <c r="M207" s="12">
        <f>IF(OR($E$13&lt;&gt;"OK",L207=""),"",IF(L207&lt;=$D$19,$A$19,IF(L207&gt;=INDEX($D$19:$D$218,$E$12),INDEX($A$19:$A$218,$E$12),INDEX($A$19:$A$218,MATCH(L207,$D$19:INDEX($D$19:$D$218,$E$12),1))+(L207-INDEX($D$19:$D$218,MATCH(L207,$D$19:INDEX($D$19:$D$218,$E$12),1)))*(INDEX($A$19:$A$218,MATCH(L207,$D$19:INDEX($D$19:$D$218,$E$12),1)+1)-INDEX($A$19:$A$218,MATCH(L207,$D$19:INDEX($D$19:$D$218,$E$12),1)))/(INDEX($D$19:$D$218,MATCH(L207,$D$19:INDEX($D$19:$D$218,$E$12),1)+1)-INDEX($D$19:$D$218,MATCH(L207,$D$19:INDEX($D$19:$D$218,$E$12),1))))))</f>
        <v/>
      </c>
      <c r="N207" s="12">
        <f>IF(M207="","",$B$6*TAN(RADIANS(M207)))</f>
        <v/>
      </c>
      <c r="O207" s="12">
        <f>IF(N207="","",IF(L207=0,0,-N207*J207/SQRT(J207^2+K207^2)))</f>
        <v/>
      </c>
      <c r="P207" s="12">
        <f>IF(N207="","",IF(L207=0,0,N207*K207/SQRT(J207^2+K207^2)))</f>
        <v/>
      </c>
      <c r="Q207" s="12">
        <f>IF(N207="","",IF(N207=0,$B$7,$B$7-Y207*O207/N207))</f>
        <v/>
      </c>
      <c r="R207" s="12">
        <f>IF(N207="","",IF(N207=0,$B$8,$B$8+Y207*P207/N207))</f>
        <v/>
      </c>
      <c r="S207" s="12">
        <f>IFERROR(SQRT((Q207-H207)^2+(R207-I207)^2),"")</f>
        <v/>
      </c>
      <c r="T207">
        <f>180</f>
        <v/>
      </c>
      <c r="U207">
        <f>IF(T207&gt;4*$E$9,"",MIN(INT(T207/$E$9)+1,4))</f>
        <v/>
      </c>
      <c r="V207">
        <f>IF(T207=4*$E$9,-$E$6/2,IF(U207="","",CHOOSE(U207,-$E$6/2+MOD(T207,$E$9)/$E$9*$E$6,$E$6/2,$E$6/2-MOD(T207,$E$9)/$E$9*$E$6,-$E$6/2)))</f>
        <v/>
      </c>
      <c r="W207">
        <f>IF(T207=4*$E$9,-$E$7/2,IF(U207="","",CHOOSE(U207,-$E$7/2,-$E$7/2+MOD(T207,$E$9)/$E$9*$E$7,$E$7/2,$E$7/2-MOD(T207,$E$9)/$E$9*$E$7)))</f>
        <v/>
      </c>
      <c r="X207">
        <f>IF(OR($E$13&lt;&gt;"OK",M207=""),"",IF(M207&lt;=$A$19,$D$19,IF(M207&gt;=INDEX($A$19:$A$218,$E$12),INDEX($D$19:$D$218,$E$12),INDEX($D$19:$D$218,MATCH(M207,$A$19:INDEX($A$19:$A$218,$E$12),1))+(M207-INDEX($A$19:$A$218,MATCH(M207,$A$19:INDEX($A$19:$A$218,$E$12),1)))*(INDEX($D$19:$D$218,MATCH(M207,$A$19:INDEX($A$19:$A$218,$E$12),1)+1)-INDEX($D$19:$D$218,MATCH(M207,$A$19:INDEX($A$19:$A$218,$E$12),1)))/(INDEX($A$19:$A$218,MATCH(M207,$A$19:INDEX($A$19:$A$218,$E$12),1)+1)-INDEX($A$19:$A$218,MATCH(M207,$A$19:INDEX($A$19:$A$218,$E$12),1))))))</f>
        <v/>
      </c>
      <c r="Y207">
        <f>IF(X207="","",X207*1000/$B$4)</f>
        <v/>
      </c>
    </row>
    <row r="208">
      <c r="A208" s="10" t="n"/>
      <c r="B208" s="10" t="n"/>
      <c r="C208" s="11">
        <f>IF(A208="","",$B$5*TAN(RADIANS(A208)))</f>
        <v/>
      </c>
      <c r="D208" s="11">
        <f>IF(C208="","",C208*(1+B208/100))</f>
        <v/>
      </c>
      <c r="E208" s="11">
        <f>IF(A208="","",$B$6*TAN(RADIANS(A208)))</f>
        <v/>
      </c>
      <c r="G208" s="12">
        <f>IF(U208="","",T208)</f>
        <v/>
      </c>
      <c r="H208" s="12">
        <f>IF(U208="","",$E$4+V208*COS(RADIANS($E$8))-W208*SIN(RADIANS($E$8)))</f>
        <v/>
      </c>
      <c r="I208" s="12">
        <f>IF(U208="","",$E$5+V208*SIN(RADIANS($E$8))+W208*COS(RADIANS($E$8)))</f>
        <v/>
      </c>
      <c r="J208" s="12">
        <f>IF(H208="","",H208-$B$7)</f>
        <v/>
      </c>
      <c r="K208" s="12">
        <f>IF(I208="","",I208-$B$8)</f>
        <v/>
      </c>
      <c r="L208" s="12">
        <f>IFERROR(SQRT(J208^2+K208^2)*$B$4/1000,"")</f>
        <v/>
      </c>
      <c r="M208" s="12">
        <f>IF(OR($E$13&lt;&gt;"OK",L208=""),"",IF(L208&lt;=$D$19,$A$19,IF(L208&gt;=INDEX($D$19:$D$218,$E$12),INDEX($A$19:$A$218,$E$12),INDEX($A$19:$A$218,MATCH(L208,$D$19:INDEX($D$19:$D$218,$E$12),1))+(L208-INDEX($D$19:$D$218,MATCH(L208,$D$19:INDEX($D$19:$D$218,$E$12),1)))*(INDEX($A$19:$A$218,MATCH(L208,$D$19:INDEX($D$19:$D$218,$E$12),1)+1)-INDEX($A$19:$A$218,MATCH(L208,$D$19:INDEX($D$19:$D$218,$E$12),1)))/(INDEX($D$19:$D$218,MATCH(L208,$D$19:INDEX($D$19:$D$218,$E$12),1)+1)-INDEX($D$19:$D$218,MATCH(L208,$D$19:INDEX($D$19:$D$218,$E$12),1))))))</f>
        <v/>
      </c>
      <c r="N208" s="12">
        <f>IF(M208="","",$B$6*TAN(RADIANS(M208)))</f>
        <v/>
      </c>
      <c r="O208" s="12">
        <f>IF(N208="","",IF(L208=0,0,-N208*J208/SQRT(J208^2+K208^2)))</f>
        <v/>
      </c>
      <c r="P208" s="12">
        <f>IF(N208="","",IF(L208=0,0,N208*K208/SQRT(J208^2+K208^2)))</f>
        <v/>
      </c>
      <c r="Q208" s="12">
        <f>IF(N208="","",IF(N208=0,$B$7,$B$7-Y208*O208/N208))</f>
        <v/>
      </c>
      <c r="R208" s="12">
        <f>IF(N208="","",IF(N208=0,$B$8,$B$8+Y208*P208/N208))</f>
        <v/>
      </c>
      <c r="S208" s="12">
        <f>IFERROR(SQRT((Q208-H208)^2+(R208-I208)^2),"")</f>
        <v/>
      </c>
      <c r="T208">
        <f>181</f>
        <v/>
      </c>
      <c r="U208">
        <f>IF(T208&gt;4*$E$9,"",MIN(INT(T208/$E$9)+1,4))</f>
        <v/>
      </c>
      <c r="V208">
        <f>IF(T208=4*$E$9,-$E$6/2,IF(U208="","",CHOOSE(U208,-$E$6/2+MOD(T208,$E$9)/$E$9*$E$6,$E$6/2,$E$6/2-MOD(T208,$E$9)/$E$9*$E$6,-$E$6/2)))</f>
        <v/>
      </c>
      <c r="W208">
        <f>IF(T208=4*$E$9,-$E$7/2,IF(U208="","",CHOOSE(U208,-$E$7/2,-$E$7/2+MOD(T208,$E$9)/$E$9*$E$7,$E$7/2,$E$7/2-MOD(T208,$E$9)/$E$9*$E$7)))</f>
        <v/>
      </c>
      <c r="X208">
        <f>IF(OR($E$13&lt;&gt;"OK",M208=""),"",IF(M208&lt;=$A$19,$D$19,IF(M208&gt;=INDEX($A$19:$A$218,$E$12),INDEX($D$19:$D$218,$E$12),INDEX($D$19:$D$218,MATCH(M208,$A$19:INDEX($A$19:$A$218,$E$12),1))+(M208-INDEX($A$19:$A$218,MATCH(M208,$A$19:INDEX($A$19:$A$218,$E$12),1)))*(INDEX($D$19:$D$218,MATCH(M208,$A$19:INDEX($A$19:$A$218,$E$12),1)+1)-INDEX($D$19:$D$218,MATCH(M208,$A$19:INDEX($A$19:$A$218,$E$12),1)))/(INDEX($A$19:$A$218,MATCH(M208,$A$19:INDEX($A$19:$A$218,$E$12),1)+1)-INDEX($A$19:$A$218,MATCH(M208,$A$19:INDEX($A$19:$A$218,$E$12),1))))))</f>
        <v/>
      </c>
      <c r="Y208">
        <f>IF(X208="","",X208*1000/$B$4)</f>
        <v/>
      </c>
    </row>
    <row r="209">
      <c r="A209" s="10" t="n"/>
      <c r="B209" s="10" t="n"/>
      <c r="C209" s="11">
        <f>IF(A209="","",$B$5*TAN(RADIANS(A209)))</f>
        <v/>
      </c>
      <c r="D209" s="11">
        <f>IF(C209="","",C209*(1+B209/100))</f>
        <v/>
      </c>
      <c r="E209" s="11">
        <f>IF(A209="","",$B$6*TAN(RADIANS(A209)))</f>
        <v/>
      </c>
      <c r="G209" s="12">
        <f>IF(U209="","",T209)</f>
        <v/>
      </c>
      <c r="H209" s="12">
        <f>IF(U209="","",$E$4+V209*COS(RADIANS($E$8))-W209*SIN(RADIANS($E$8)))</f>
        <v/>
      </c>
      <c r="I209" s="12">
        <f>IF(U209="","",$E$5+V209*SIN(RADIANS($E$8))+W209*COS(RADIANS($E$8)))</f>
        <v/>
      </c>
      <c r="J209" s="12">
        <f>IF(H209="","",H209-$B$7)</f>
        <v/>
      </c>
      <c r="K209" s="12">
        <f>IF(I209="","",I209-$B$8)</f>
        <v/>
      </c>
      <c r="L209" s="12">
        <f>IFERROR(SQRT(J209^2+K209^2)*$B$4/1000,"")</f>
        <v/>
      </c>
      <c r="M209" s="12">
        <f>IF(OR($E$13&lt;&gt;"OK",L209=""),"",IF(L209&lt;=$D$19,$A$19,IF(L209&gt;=INDEX($D$19:$D$218,$E$12),INDEX($A$19:$A$218,$E$12),INDEX($A$19:$A$218,MATCH(L209,$D$19:INDEX($D$19:$D$218,$E$12),1))+(L209-INDEX($D$19:$D$218,MATCH(L209,$D$19:INDEX($D$19:$D$218,$E$12),1)))*(INDEX($A$19:$A$218,MATCH(L209,$D$19:INDEX($D$19:$D$218,$E$12),1)+1)-INDEX($A$19:$A$218,MATCH(L209,$D$19:INDEX($D$19:$D$218,$E$12),1)))/(INDEX($D$19:$D$218,MATCH(L209,$D$19:INDEX($D$19:$D$218,$E$12),1)+1)-INDEX($D$19:$D$218,MATCH(L209,$D$19:INDEX($D$19:$D$218,$E$12),1))))))</f>
        <v/>
      </c>
      <c r="N209" s="12">
        <f>IF(M209="","",$B$6*TAN(RADIANS(M209)))</f>
        <v/>
      </c>
      <c r="O209" s="12">
        <f>IF(N209="","",IF(L209=0,0,-N209*J209/SQRT(J209^2+K209^2)))</f>
        <v/>
      </c>
      <c r="P209" s="12">
        <f>IF(N209="","",IF(L209=0,0,N209*K209/SQRT(J209^2+K209^2)))</f>
        <v/>
      </c>
      <c r="Q209" s="12">
        <f>IF(N209="","",IF(N209=0,$B$7,$B$7-Y209*O209/N209))</f>
        <v/>
      </c>
      <c r="R209" s="12">
        <f>IF(N209="","",IF(N209=0,$B$8,$B$8+Y209*P209/N209))</f>
        <v/>
      </c>
      <c r="S209" s="12">
        <f>IFERROR(SQRT((Q209-H209)^2+(R209-I209)^2),"")</f>
        <v/>
      </c>
      <c r="T209">
        <f>182</f>
        <v/>
      </c>
      <c r="U209">
        <f>IF(T209&gt;4*$E$9,"",MIN(INT(T209/$E$9)+1,4))</f>
        <v/>
      </c>
      <c r="V209">
        <f>IF(T209=4*$E$9,-$E$6/2,IF(U209="","",CHOOSE(U209,-$E$6/2+MOD(T209,$E$9)/$E$9*$E$6,$E$6/2,$E$6/2-MOD(T209,$E$9)/$E$9*$E$6,-$E$6/2)))</f>
        <v/>
      </c>
      <c r="W209">
        <f>IF(T209=4*$E$9,-$E$7/2,IF(U209="","",CHOOSE(U209,-$E$7/2,-$E$7/2+MOD(T209,$E$9)/$E$9*$E$7,$E$7/2,$E$7/2-MOD(T209,$E$9)/$E$9*$E$7)))</f>
        <v/>
      </c>
      <c r="X209">
        <f>IF(OR($E$13&lt;&gt;"OK",M209=""),"",IF(M209&lt;=$A$19,$D$19,IF(M209&gt;=INDEX($A$19:$A$218,$E$12),INDEX($D$19:$D$218,$E$12),INDEX($D$19:$D$218,MATCH(M209,$A$19:INDEX($A$19:$A$218,$E$12),1))+(M209-INDEX($A$19:$A$218,MATCH(M209,$A$19:INDEX($A$19:$A$218,$E$12),1)))*(INDEX($D$19:$D$218,MATCH(M209,$A$19:INDEX($A$19:$A$218,$E$12),1)+1)-INDEX($D$19:$D$218,MATCH(M209,$A$19:INDEX($A$19:$A$218,$E$12),1)))/(INDEX($A$19:$A$218,MATCH(M209,$A$19:INDEX($A$19:$A$218,$E$12),1)+1)-INDEX($A$19:$A$218,MATCH(M209,$A$19:INDEX($A$19:$A$218,$E$12),1))))))</f>
        <v/>
      </c>
      <c r="Y209">
        <f>IF(X209="","",X209*1000/$B$4)</f>
        <v/>
      </c>
    </row>
    <row r="210">
      <c r="A210" s="10" t="n"/>
      <c r="B210" s="10" t="n"/>
      <c r="C210" s="11">
        <f>IF(A210="","",$B$5*TAN(RADIANS(A210)))</f>
        <v/>
      </c>
      <c r="D210" s="11">
        <f>IF(C210="","",C210*(1+B210/100))</f>
        <v/>
      </c>
      <c r="E210" s="11">
        <f>IF(A210="","",$B$6*TAN(RADIANS(A210)))</f>
        <v/>
      </c>
      <c r="G210" s="12">
        <f>IF(U210="","",T210)</f>
        <v/>
      </c>
      <c r="H210" s="12">
        <f>IF(U210="","",$E$4+V210*COS(RADIANS($E$8))-W210*SIN(RADIANS($E$8)))</f>
        <v/>
      </c>
      <c r="I210" s="12">
        <f>IF(U210="","",$E$5+V210*SIN(RADIANS($E$8))+W210*COS(RADIANS($E$8)))</f>
        <v/>
      </c>
      <c r="J210" s="12">
        <f>IF(H210="","",H210-$B$7)</f>
        <v/>
      </c>
      <c r="K210" s="12">
        <f>IF(I210="","",I210-$B$8)</f>
        <v/>
      </c>
      <c r="L210" s="12">
        <f>IFERROR(SQRT(J210^2+K210^2)*$B$4/1000,"")</f>
        <v/>
      </c>
      <c r="M210" s="12">
        <f>IF(OR($E$13&lt;&gt;"OK",L210=""),"",IF(L210&lt;=$D$19,$A$19,IF(L210&gt;=INDEX($D$19:$D$218,$E$12),INDEX($A$19:$A$218,$E$12),INDEX($A$19:$A$218,MATCH(L210,$D$19:INDEX($D$19:$D$218,$E$12),1))+(L210-INDEX($D$19:$D$218,MATCH(L210,$D$19:INDEX($D$19:$D$218,$E$12),1)))*(INDEX($A$19:$A$218,MATCH(L210,$D$19:INDEX($D$19:$D$218,$E$12),1)+1)-INDEX($A$19:$A$218,MATCH(L210,$D$19:INDEX($D$19:$D$218,$E$12),1)))/(INDEX($D$19:$D$218,MATCH(L210,$D$19:INDEX($D$19:$D$218,$E$12),1)+1)-INDEX($D$19:$D$218,MATCH(L210,$D$19:INDEX($D$19:$D$218,$E$12),1))))))</f>
        <v/>
      </c>
      <c r="N210" s="12">
        <f>IF(M210="","",$B$6*TAN(RADIANS(M210)))</f>
        <v/>
      </c>
      <c r="O210" s="12">
        <f>IF(N210="","",IF(L210=0,0,-N210*J210/SQRT(J210^2+K210^2)))</f>
        <v/>
      </c>
      <c r="P210" s="12">
        <f>IF(N210="","",IF(L210=0,0,N210*K210/SQRT(J210^2+K210^2)))</f>
        <v/>
      </c>
      <c r="Q210" s="12">
        <f>IF(N210="","",IF(N210=0,$B$7,$B$7-Y210*O210/N210))</f>
        <v/>
      </c>
      <c r="R210" s="12">
        <f>IF(N210="","",IF(N210=0,$B$8,$B$8+Y210*P210/N210))</f>
        <v/>
      </c>
      <c r="S210" s="12">
        <f>IFERROR(SQRT((Q210-H210)^2+(R210-I210)^2),"")</f>
        <v/>
      </c>
      <c r="T210">
        <f>183</f>
        <v/>
      </c>
      <c r="U210">
        <f>IF(T210&gt;4*$E$9,"",MIN(INT(T210/$E$9)+1,4))</f>
        <v/>
      </c>
      <c r="V210">
        <f>IF(T210=4*$E$9,-$E$6/2,IF(U210="","",CHOOSE(U210,-$E$6/2+MOD(T210,$E$9)/$E$9*$E$6,$E$6/2,$E$6/2-MOD(T210,$E$9)/$E$9*$E$6,-$E$6/2)))</f>
        <v/>
      </c>
      <c r="W210">
        <f>IF(T210=4*$E$9,-$E$7/2,IF(U210="","",CHOOSE(U210,-$E$7/2,-$E$7/2+MOD(T210,$E$9)/$E$9*$E$7,$E$7/2,$E$7/2-MOD(T210,$E$9)/$E$9*$E$7)))</f>
        <v/>
      </c>
      <c r="X210">
        <f>IF(OR($E$13&lt;&gt;"OK",M210=""),"",IF(M210&lt;=$A$19,$D$19,IF(M210&gt;=INDEX($A$19:$A$218,$E$12),INDEX($D$19:$D$218,$E$12),INDEX($D$19:$D$218,MATCH(M210,$A$19:INDEX($A$19:$A$218,$E$12),1))+(M210-INDEX($A$19:$A$218,MATCH(M210,$A$19:INDEX($A$19:$A$218,$E$12),1)))*(INDEX($D$19:$D$218,MATCH(M210,$A$19:INDEX($A$19:$A$218,$E$12),1)+1)-INDEX($D$19:$D$218,MATCH(M210,$A$19:INDEX($A$19:$A$218,$E$12),1)))/(INDEX($A$19:$A$218,MATCH(M210,$A$19:INDEX($A$19:$A$218,$E$12),1)+1)-INDEX($A$19:$A$218,MATCH(M210,$A$19:INDEX($A$19:$A$218,$E$12),1))))))</f>
        <v/>
      </c>
      <c r="Y210">
        <f>IF(X210="","",X210*1000/$B$4)</f>
        <v/>
      </c>
    </row>
    <row r="211">
      <c r="A211" s="10" t="n"/>
      <c r="B211" s="10" t="n"/>
      <c r="C211" s="11">
        <f>IF(A211="","",$B$5*TAN(RADIANS(A211)))</f>
        <v/>
      </c>
      <c r="D211" s="11">
        <f>IF(C211="","",C211*(1+B211/100))</f>
        <v/>
      </c>
      <c r="E211" s="11">
        <f>IF(A211="","",$B$6*TAN(RADIANS(A211)))</f>
        <v/>
      </c>
      <c r="G211" s="12">
        <f>IF(U211="","",T211)</f>
        <v/>
      </c>
      <c r="H211" s="12">
        <f>IF(U211="","",$E$4+V211*COS(RADIANS($E$8))-W211*SIN(RADIANS($E$8)))</f>
        <v/>
      </c>
      <c r="I211" s="12">
        <f>IF(U211="","",$E$5+V211*SIN(RADIANS($E$8))+W211*COS(RADIANS($E$8)))</f>
        <v/>
      </c>
      <c r="J211" s="12">
        <f>IF(H211="","",H211-$B$7)</f>
        <v/>
      </c>
      <c r="K211" s="12">
        <f>IF(I211="","",I211-$B$8)</f>
        <v/>
      </c>
      <c r="L211" s="12">
        <f>IFERROR(SQRT(J211^2+K211^2)*$B$4/1000,"")</f>
        <v/>
      </c>
      <c r="M211" s="12">
        <f>IF(OR($E$13&lt;&gt;"OK",L211=""),"",IF(L211&lt;=$D$19,$A$19,IF(L211&gt;=INDEX($D$19:$D$218,$E$12),INDEX($A$19:$A$218,$E$12),INDEX($A$19:$A$218,MATCH(L211,$D$19:INDEX($D$19:$D$218,$E$12),1))+(L211-INDEX($D$19:$D$218,MATCH(L211,$D$19:INDEX($D$19:$D$218,$E$12),1)))*(INDEX($A$19:$A$218,MATCH(L211,$D$19:INDEX($D$19:$D$218,$E$12),1)+1)-INDEX($A$19:$A$218,MATCH(L211,$D$19:INDEX($D$19:$D$218,$E$12),1)))/(INDEX($D$19:$D$218,MATCH(L211,$D$19:INDEX($D$19:$D$218,$E$12),1)+1)-INDEX($D$19:$D$218,MATCH(L211,$D$19:INDEX($D$19:$D$218,$E$12),1))))))</f>
        <v/>
      </c>
      <c r="N211" s="12">
        <f>IF(M211="","",$B$6*TAN(RADIANS(M211)))</f>
        <v/>
      </c>
      <c r="O211" s="12">
        <f>IF(N211="","",IF(L211=0,0,-N211*J211/SQRT(J211^2+K211^2)))</f>
        <v/>
      </c>
      <c r="P211" s="12">
        <f>IF(N211="","",IF(L211=0,0,N211*K211/SQRT(J211^2+K211^2)))</f>
        <v/>
      </c>
      <c r="Q211" s="12">
        <f>IF(N211="","",IF(N211=0,$B$7,$B$7-Y211*O211/N211))</f>
        <v/>
      </c>
      <c r="R211" s="12">
        <f>IF(N211="","",IF(N211=0,$B$8,$B$8+Y211*P211/N211))</f>
        <v/>
      </c>
      <c r="S211" s="12">
        <f>IFERROR(SQRT((Q211-H211)^2+(R211-I211)^2),"")</f>
        <v/>
      </c>
      <c r="T211">
        <f>184</f>
        <v/>
      </c>
      <c r="U211">
        <f>IF(T211&gt;4*$E$9,"",MIN(INT(T211/$E$9)+1,4))</f>
        <v/>
      </c>
      <c r="V211">
        <f>IF(T211=4*$E$9,-$E$6/2,IF(U211="","",CHOOSE(U211,-$E$6/2+MOD(T211,$E$9)/$E$9*$E$6,$E$6/2,$E$6/2-MOD(T211,$E$9)/$E$9*$E$6,-$E$6/2)))</f>
        <v/>
      </c>
      <c r="W211">
        <f>IF(T211=4*$E$9,-$E$7/2,IF(U211="","",CHOOSE(U211,-$E$7/2,-$E$7/2+MOD(T211,$E$9)/$E$9*$E$7,$E$7/2,$E$7/2-MOD(T211,$E$9)/$E$9*$E$7)))</f>
        <v/>
      </c>
      <c r="X211">
        <f>IF(OR($E$13&lt;&gt;"OK",M211=""),"",IF(M211&lt;=$A$19,$D$19,IF(M211&gt;=INDEX($A$19:$A$218,$E$12),INDEX($D$19:$D$218,$E$12),INDEX($D$19:$D$218,MATCH(M211,$A$19:INDEX($A$19:$A$218,$E$12),1))+(M211-INDEX($A$19:$A$218,MATCH(M211,$A$19:INDEX($A$19:$A$218,$E$12),1)))*(INDEX($D$19:$D$218,MATCH(M211,$A$19:INDEX($A$19:$A$218,$E$12),1)+1)-INDEX($D$19:$D$218,MATCH(M211,$A$19:INDEX($A$19:$A$218,$E$12),1)))/(INDEX($A$19:$A$218,MATCH(M211,$A$19:INDEX($A$19:$A$218,$E$12),1)+1)-INDEX($A$19:$A$218,MATCH(M211,$A$19:INDEX($A$19:$A$218,$E$12),1))))))</f>
        <v/>
      </c>
      <c r="Y211">
        <f>IF(X211="","",X211*1000/$B$4)</f>
        <v/>
      </c>
    </row>
    <row r="212">
      <c r="A212" s="10" t="n"/>
      <c r="B212" s="10" t="n"/>
      <c r="C212" s="11">
        <f>IF(A212="","",$B$5*TAN(RADIANS(A212)))</f>
        <v/>
      </c>
      <c r="D212" s="11">
        <f>IF(C212="","",C212*(1+B212/100))</f>
        <v/>
      </c>
      <c r="E212" s="11">
        <f>IF(A212="","",$B$6*TAN(RADIANS(A212)))</f>
        <v/>
      </c>
      <c r="G212" s="12">
        <f>IF(U212="","",T212)</f>
        <v/>
      </c>
      <c r="H212" s="12">
        <f>IF(U212="","",$E$4+V212*COS(RADIANS($E$8))-W212*SIN(RADIANS($E$8)))</f>
        <v/>
      </c>
      <c r="I212" s="12">
        <f>IF(U212="","",$E$5+V212*SIN(RADIANS($E$8))+W212*COS(RADIANS($E$8)))</f>
        <v/>
      </c>
      <c r="J212" s="12">
        <f>IF(H212="","",H212-$B$7)</f>
        <v/>
      </c>
      <c r="K212" s="12">
        <f>IF(I212="","",I212-$B$8)</f>
        <v/>
      </c>
      <c r="L212" s="12">
        <f>IFERROR(SQRT(J212^2+K212^2)*$B$4/1000,"")</f>
        <v/>
      </c>
      <c r="M212" s="12">
        <f>IF(OR($E$13&lt;&gt;"OK",L212=""),"",IF(L212&lt;=$D$19,$A$19,IF(L212&gt;=INDEX($D$19:$D$218,$E$12),INDEX($A$19:$A$218,$E$12),INDEX($A$19:$A$218,MATCH(L212,$D$19:INDEX($D$19:$D$218,$E$12),1))+(L212-INDEX($D$19:$D$218,MATCH(L212,$D$19:INDEX($D$19:$D$218,$E$12),1)))*(INDEX($A$19:$A$218,MATCH(L212,$D$19:INDEX($D$19:$D$218,$E$12),1)+1)-INDEX($A$19:$A$218,MATCH(L212,$D$19:INDEX($D$19:$D$218,$E$12),1)))/(INDEX($D$19:$D$218,MATCH(L212,$D$19:INDEX($D$19:$D$218,$E$12),1)+1)-INDEX($D$19:$D$218,MATCH(L212,$D$19:INDEX($D$19:$D$218,$E$12),1))))))</f>
        <v/>
      </c>
      <c r="N212" s="12">
        <f>IF(M212="","",$B$6*TAN(RADIANS(M212)))</f>
        <v/>
      </c>
      <c r="O212" s="12">
        <f>IF(N212="","",IF(L212=0,0,-N212*J212/SQRT(J212^2+K212^2)))</f>
        <v/>
      </c>
      <c r="P212" s="12">
        <f>IF(N212="","",IF(L212=0,0,N212*K212/SQRT(J212^2+K212^2)))</f>
        <v/>
      </c>
      <c r="Q212" s="12">
        <f>IF(N212="","",IF(N212=0,$B$7,$B$7-Y212*O212/N212))</f>
        <v/>
      </c>
      <c r="R212" s="12">
        <f>IF(N212="","",IF(N212=0,$B$8,$B$8+Y212*P212/N212))</f>
        <v/>
      </c>
      <c r="S212" s="12">
        <f>IFERROR(SQRT((Q212-H212)^2+(R212-I212)^2),"")</f>
        <v/>
      </c>
      <c r="T212">
        <f>185</f>
        <v/>
      </c>
      <c r="U212">
        <f>IF(T212&gt;4*$E$9,"",MIN(INT(T212/$E$9)+1,4))</f>
        <v/>
      </c>
      <c r="V212">
        <f>IF(T212=4*$E$9,-$E$6/2,IF(U212="","",CHOOSE(U212,-$E$6/2+MOD(T212,$E$9)/$E$9*$E$6,$E$6/2,$E$6/2-MOD(T212,$E$9)/$E$9*$E$6,-$E$6/2)))</f>
        <v/>
      </c>
      <c r="W212">
        <f>IF(T212=4*$E$9,-$E$7/2,IF(U212="","",CHOOSE(U212,-$E$7/2,-$E$7/2+MOD(T212,$E$9)/$E$9*$E$7,$E$7/2,$E$7/2-MOD(T212,$E$9)/$E$9*$E$7)))</f>
        <v/>
      </c>
      <c r="X212">
        <f>IF(OR($E$13&lt;&gt;"OK",M212=""),"",IF(M212&lt;=$A$19,$D$19,IF(M212&gt;=INDEX($A$19:$A$218,$E$12),INDEX($D$19:$D$218,$E$12),INDEX($D$19:$D$218,MATCH(M212,$A$19:INDEX($A$19:$A$218,$E$12),1))+(M212-INDEX($A$19:$A$218,MATCH(M212,$A$19:INDEX($A$19:$A$218,$E$12),1)))*(INDEX($D$19:$D$218,MATCH(M212,$A$19:INDEX($A$19:$A$218,$E$12),1)+1)-INDEX($D$19:$D$218,MATCH(M212,$A$19:INDEX($A$19:$A$218,$E$12),1)))/(INDEX($A$19:$A$218,MATCH(M212,$A$19:INDEX($A$19:$A$218,$E$12),1)+1)-INDEX($A$19:$A$218,MATCH(M212,$A$19:INDEX($A$19:$A$218,$E$12),1))))))</f>
        <v/>
      </c>
      <c r="Y212">
        <f>IF(X212="","",X212*1000/$B$4)</f>
        <v/>
      </c>
    </row>
    <row r="213">
      <c r="A213" s="10" t="n"/>
      <c r="B213" s="10" t="n"/>
      <c r="C213" s="11">
        <f>IF(A213="","",$B$5*TAN(RADIANS(A213)))</f>
        <v/>
      </c>
      <c r="D213" s="11">
        <f>IF(C213="","",C213*(1+B213/100))</f>
        <v/>
      </c>
      <c r="E213" s="11">
        <f>IF(A213="","",$B$6*TAN(RADIANS(A213)))</f>
        <v/>
      </c>
      <c r="G213" s="12">
        <f>IF(U213="","",T213)</f>
        <v/>
      </c>
      <c r="H213" s="12">
        <f>IF(U213="","",$E$4+V213*COS(RADIANS($E$8))-W213*SIN(RADIANS($E$8)))</f>
        <v/>
      </c>
      <c r="I213" s="12">
        <f>IF(U213="","",$E$5+V213*SIN(RADIANS($E$8))+W213*COS(RADIANS($E$8)))</f>
        <v/>
      </c>
      <c r="J213" s="12">
        <f>IF(H213="","",H213-$B$7)</f>
        <v/>
      </c>
      <c r="K213" s="12">
        <f>IF(I213="","",I213-$B$8)</f>
        <v/>
      </c>
      <c r="L213" s="12">
        <f>IFERROR(SQRT(J213^2+K213^2)*$B$4/1000,"")</f>
        <v/>
      </c>
      <c r="M213" s="12">
        <f>IF(OR($E$13&lt;&gt;"OK",L213=""),"",IF(L213&lt;=$D$19,$A$19,IF(L213&gt;=INDEX($D$19:$D$218,$E$12),INDEX($A$19:$A$218,$E$12),INDEX($A$19:$A$218,MATCH(L213,$D$19:INDEX($D$19:$D$218,$E$12),1))+(L213-INDEX($D$19:$D$218,MATCH(L213,$D$19:INDEX($D$19:$D$218,$E$12),1)))*(INDEX($A$19:$A$218,MATCH(L213,$D$19:INDEX($D$19:$D$218,$E$12),1)+1)-INDEX($A$19:$A$218,MATCH(L213,$D$19:INDEX($D$19:$D$218,$E$12),1)))/(INDEX($D$19:$D$218,MATCH(L213,$D$19:INDEX($D$19:$D$218,$E$12),1)+1)-INDEX($D$19:$D$218,MATCH(L213,$D$19:INDEX($D$19:$D$218,$E$12),1))))))</f>
        <v/>
      </c>
      <c r="N213" s="12">
        <f>IF(M213="","",$B$6*TAN(RADIANS(M213)))</f>
        <v/>
      </c>
      <c r="O213" s="12">
        <f>IF(N213="","",IF(L213=0,0,-N213*J213/SQRT(J213^2+K213^2)))</f>
        <v/>
      </c>
      <c r="P213" s="12">
        <f>IF(N213="","",IF(L213=0,0,N213*K213/SQRT(J213^2+K213^2)))</f>
        <v/>
      </c>
      <c r="Q213" s="12">
        <f>IF(N213="","",IF(N213=0,$B$7,$B$7-Y213*O213/N213))</f>
        <v/>
      </c>
      <c r="R213" s="12">
        <f>IF(N213="","",IF(N213=0,$B$8,$B$8+Y213*P213/N213))</f>
        <v/>
      </c>
      <c r="S213" s="12">
        <f>IFERROR(SQRT((Q213-H213)^2+(R213-I213)^2),"")</f>
        <v/>
      </c>
      <c r="T213">
        <f>186</f>
        <v/>
      </c>
      <c r="U213">
        <f>IF(T213&gt;4*$E$9,"",MIN(INT(T213/$E$9)+1,4))</f>
        <v/>
      </c>
      <c r="V213">
        <f>IF(T213=4*$E$9,-$E$6/2,IF(U213="","",CHOOSE(U213,-$E$6/2+MOD(T213,$E$9)/$E$9*$E$6,$E$6/2,$E$6/2-MOD(T213,$E$9)/$E$9*$E$6,-$E$6/2)))</f>
        <v/>
      </c>
      <c r="W213">
        <f>IF(T213=4*$E$9,-$E$7/2,IF(U213="","",CHOOSE(U213,-$E$7/2,-$E$7/2+MOD(T213,$E$9)/$E$9*$E$7,$E$7/2,$E$7/2-MOD(T213,$E$9)/$E$9*$E$7)))</f>
        <v/>
      </c>
      <c r="X213">
        <f>IF(OR($E$13&lt;&gt;"OK",M213=""),"",IF(M213&lt;=$A$19,$D$19,IF(M213&gt;=INDEX($A$19:$A$218,$E$12),INDEX($D$19:$D$218,$E$12),INDEX($D$19:$D$218,MATCH(M213,$A$19:INDEX($A$19:$A$218,$E$12),1))+(M213-INDEX($A$19:$A$218,MATCH(M213,$A$19:INDEX($A$19:$A$218,$E$12),1)))*(INDEX($D$19:$D$218,MATCH(M213,$A$19:INDEX($A$19:$A$218,$E$12),1)+1)-INDEX($D$19:$D$218,MATCH(M213,$A$19:INDEX($A$19:$A$218,$E$12),1)))/(INDEX($A$19:$A$218,MATCH(M213,$A$19:INDEX($A$19:$A$218,$E$12),1)+1)-INDEX($A$19:$A$218,MATCH(M213,$A$19:INDEX($A$19:$A$218,$E$12),1))))))</f>
        <v/>
      </c>
      <c r="Y213">
        <f>IF(X213="","",X213*1000/$B$4)</f>
        <v/>
      </c>
    </row>
    <row r="214">
      <c r="A214" s="10" t="n"/>
      <c r="B214" s="10" t="n"/>
      <c r="C214" s="11">
        <f>IF(A214="","",$B$5*TAN(RADIANS(A214)))</f>
        <v/>
      </c>
      <c r="D214" s="11">
        <f>IF(C214="","",C214*(1+B214/100))</f>
        <v/>
      </c>
      <c r="E214" s="11">
        <f>IF(A214="","",$B$6*TAN(RADIANS(A214)))</f>
        <v/>
      </c>
      <c r="G214" s="12">
        <f>IF(U214="","",T214)</f>
        <v/>
      </c>
      <c r="H214" s="12">
        <f>IF(U214="","",$E$4+V214*COS(RADIANS($E$8))-W214*SIN(RADIANS($E$8)))</f>
        <v/>
      </c>
      <c r="I214" s="12">
        <f>IF(U214="","",$E$5+V214*SIN(RADIANS($E$8))+W214*COS(RADIANS($E$8)))</f>
        <v/>
      </c>
      <c r="J214" s="12">
        <f>IF(H214="","",H214-$B$7)</f>
        <v/>
      </c>
      <c r="K214" s="12">
        <f>IF(I214="","",I214-$B$8)</f>
        <v/>
      </c>
      <c r="L214" s="12">
        <f>IFERROR(SQRT(J214^2+K214^2)*$B$4/1000,"")</f>
        <v/>
      </c>
      <c r="M214" s="12">
        <f>IF(OR($E$13&lt;&gt;"OK",L214=""),"",IF(L214&lt;=$D$19,$A$19,IF(L214&gt;=INDEX($D$19:$D$218,$E$12),INDEX($A$19:$A$218,$E$12),INDEX($A$19:$A$218,MATCH(L214,$D$19:INDEX($D$19:$D$218,$E$12),1))+(L214-INDEX($D$19:$D$218,MATCH(L214,$D$19:INDEX($D$19:$D$218,$E$12),1)))*(INDEX($A$19:$A$218,MATCH(L214,$D$19:INDEX($D$19:$D$218,$E$12),1)+1)-INDEX($A$19:$A$218,MATCH(L214,$D$19:INDEX($D$19:$D$218,$E$12),1)))/(INDEX($D$19:$D$218,MATCH(L214,$D$19:INDEX($D$19:$D$218,$E$12),1)+1)-INDEX($D$19:$D$218,MATCH(L214,$D$19:INDEX($D$19:$D$218,$E$12),1))))))</f>
        <v/>
      </c>
      <c r="N214" s="12">
        <f>IF(M214="","",$B$6*TAN(RADIANS(M214)))</f>
        <v/>
      </c>
      <c r="O214" s="12">
        <f>IF(N214="","",IF(L214=0,0,-N214*J214/SQRT(J214^2+K214^2)))</f>
        <v/>
      </c>
      <c r="P214" s="12">
        <f>IF(N214="","",IF(L214=0,0,N214*K214/SQRT(J214^2+K214^2)))</f>
        <v/>
      </c>
      <c r="Q214" s="12">
        <f>IF(N214="","",IF(N214=0,$B$7,$B$7-Y214*O214/N214))</f>
        <v/>
      </c>
      <c r="R214" s="12">
        <f>IF(N214="","",IF(N214=0,$B$8,$B$8+Y214*P214/N214))</f>
        <v/>
      </c>
      <c r="S214" s="12">
        <f>IFERROR(SQRT((Q214-H214)^2+(R214-I214)^2),"")</f>
        <v/>
      </c>
      <c r="T214">
        <f>187</f>
        <v/>
      </c>
      <c r="U214">
        <f>IF(T214&gt;4*$E$9,"",MIN(INT(T214/$E$9)+1,4))</f>
        <v/>
      </c>
      <c r="V214">
        <f>IF(T214=4*$E$9,-$E$6/2,IF(U214="","",CHOOSE(U214,-$E$6/2+MOD(T214,$E$9)/$E$9*$E$6,$E$6/2,$E$6/2-MOD(T214,$E$9)/$E$9*$E$6,-$E$6/2)))</f>
        <v/>
      </c>
      <c r="W214">
        <f>IF(T214=4*$E$9,-$E$7/2,IF(U214="","",CHOOSE(U214,-$E$7/2,-$E$7/2+MOD(T214,$E$9)/$E$9*$E$7,$E$7/2,$E$7/2-MOD(T214,$E$9)/$E$9*$E$7)))</f>
        <v/>
      </c>
      <c r="X214">
        <f>IF(OR($E$13&lt;&gt;"OK",M214=""),"",IF(M214&lt;=$A$19,$D$19,IF(M214&gt;=INDEX($A$19:$A$218,$E$12),INDEX($D$19:$D$218,$E$12),INDEX($D$19:$D$218,MATCH(M214,$A$19:INDEX($A$19:$A$218,$E$12),1))+(M214-INDEX($A$19:$A$218,MATCH(M214,$A$19:INDEX($A$19:$A$218,$E$12),1)))*(INDEX($D$19:$D$218,MATCH(M214,$A$19:INDEX($A$19:$A$218,$E$12),1)+1)-INDEX($D$19:$D$218,MATCH(M214,$A$19:INDEX($A$19:$A$218,$E$12),1)))/(INDEX($A$19:$A$218,MATCH(M214,$A$19:INDEX($A$19:$A$218,$E$12),1)+1)-INDEX($A$19:$A$218,MATCH(M214,$A$19:INDEX($A$19:$A$218,$E$12),1))))))</f>
        <v/>
      </c>
      <c r="Y214">
        <f>IF(X214="","",X214*1000/$B$4)</f>
        <v/>
      </c>
    </row>
    <row r="215">
      <c r="A215" s="10" t="n"/>
      <c r="B215" s="10" t="n"/>
      <c r="C215" s="11">
        <f>IF(A215="","",$B$5*TAN(RADIANS(A215)))</f>
        <v/>
      </c>
      <c r="D215" s="11">
        <f>IF(C215="","",C215*(1+B215/100))</f>
        <v/>
      </c>
      <c r="E215" s="11">
        <f>IF(A215="","",$B$6*TAN(RADIANS(A215)))</f>
        <v/>
      </c>
      <c r="G215" s="12">
        <f>IF(U215="","",T215)</f>
        <v/>
      </c>
      <c r="H215" s="12">
        <f>IF(U215="","",$E$4+V215*COS(RADIANS($E$8))-W215*SIN(RADIANS($E$8)))</f>
        <v/>
      </c>
      <c r="I215" s="12">
        <f>IF(U215="","",$E$5+V215*SIN(RADIANS($E$8))+W215*COS(RADIANS($E$8)))</f>
        <v/>
      </c>
      <c r="J215" s="12">
        <f>IF(H215="","",H215-$B$7)</f>
        <v/>
      </c>
      <c r="K215" s="12">
        <f>IF(I215="","",I215-$B$8)</f>
        <v/>
      </c>
      <c r="L215" s="12">
        <f>IFERROR(SQRT(J215^2+K215^2)*$B$4/1000,"")</f>
        <v/>
      </c>
      <c r="M215" s="12">
        <f>IF(OR($E$13&lt;&gt;"OK",L215=""),"",IF(L215&lt;=$D$19,$A$19,IF(L215&gt;=INDEX($D$19:$D$218,$E$12),INDEX($A$19:$A$218,$E$12),INDEX($A$19:$A$218,MATCH(L215,$D$19:INDEX($D$19:$D$218,$E$12),1))+(L215-INDEX($D$19:$D$218,MATCH(L215,$D$19:INDEX($D$19:$D$218,$E$12),1)))*(INDEX($A$19:$A$218,MATCH(L215,$D$19:INDEX($D$19:$D$218,$E$12),1)+1)-INDEX($A$19:$A$218,MATCH(L215,$D$19:INDEX($D$19:$D$218,$E$12),1)))/(INDEX($D$19:$D$218,MATCH(L215,$D$19:INDEX($D$19:$D$218,$E$12),1)+1)-INDEX($D$19:$D$218,MATCH(L215,$D$19:INDEX($D$19:$D$218,$E$12),1))))))</f>
        <v/>
      </c>
      <c r="N215" s="12">
        <f>IF(M215="","",$B$6*TAN(RADIANS(M215)))</f>
        <v/>
      </c>
      <c r="O215" s="12">
        <f>IF(N215="","",IF(L215=0,0,-N215*J215/SQRT(J215^2+K215^2)))</f>
        <v/>
      </c>
      <c r="P215" s="12">
        <f>IF(N215="","",IF(L215=0,0,N215*K215/SQRT(J215^2+K215^2)))</f>
        <v/>
      </c>
      <c r="Q215" s="12">
        <f>IF(N215="","",IF(N215=0,$B$7,$B$7-Y215*O215/N215))</f>
        <v/>
      </c>
      <c r="R215" s="12">
        <f>IF(N215="","",IF(N215=0,$B$8,$B$8+Y215*P215/N215))</f>
        <v/>
      </c>
      <c r="S215" s="12">
        <f>IFERROR(SQRT((Q215-H215)^2+(R215-I215)^2),"")</f>
        <v/>
      </c>
      <c r="T215">
        <f>188</f>
        <v/>
      </c>
      <c r="U215">
        <f>IF(T215&gt;4*$E$9,"",MIN(INT(T215/$E$9)+1,4))</f>
        <v/>
      </c>
      <c r="V215">
        <f>IF(T215=4*$E$9,-$E$6/2,IF(U215="","",CHOOSE(U215,-$E$6/2+MOD(T215,$E$9)/$E$9*$E$6,$E$6/2,$E$6/2-MOD(T215,$E$9)/$E$9*$E$6,-$E$6/2)))</f>
        <v/>
      </c>
      <c r="W215">
        <f>IF(T215=4*$E$9,-$E$7/2,IF(U215="","",CHOOSE(U215,-$E$7/2,-$E$7/2+MOD(T215,$E$9)/$E$9*$E$7,$E$7/2,$E$7/2-MOD(T215,$E$9)/$E$9*$E$7)))</f>
        <v/>
      </c>
      <c r="X215">
        <f>IF(OR($E$13&lt;&gt;"OK",M215=""),"",IF(M215&lt;=$A$19,$D$19,IF(M215&gt;=INDEX($A$19:$A$218,$E$12),INDEX($D$19:$D$218,$E$12),INDEX($D$19:$D$218,MATCH(M215,$A$19:INDEX($A$19:$A$218,$E$12),1))+(M215-INDEX($A$19:$A$218,MATCH(M215,$A$19:INDEX($A$19:$A$218,$E$12),1)))*(INDEX($D$19:$D$218,MATCH(M215,$A$19:INDEX($A$19:$A$218,$E$12),1)+1)-INDEX($D$19:$D$218,MATCH(M215,$A$19:INDEX($A$19:$A$218,$E$12),1)))/(INDEX($A$19:$A$218,MATCH(M215,$A$19:INDEX($A$19:$A$218,$E$12),1)+1)-INDEX($A$19:$A$218,MATCH(M215,$A$19:INDEX($A$19:$A$218,$E$12),1))))))</f>
        <v/>
      </c>
      <c r="Y215">
        <f>IF(X215="","",X215*1000/$B$4)</f>
        <v/>
      </c>
    </row>
    <row r="216">
      <c r="A216" s="10" t="n"/>
      <c r="B216" s="10" t="n"/>
      <c r="C216" s="11">
        <f>IF(A216="","",$B$5*TAN(RADIANS(A216)))</f>
        <v/>
      </c>
      <c r="D216" s="11">
        <f>IF(C216="","",C216*(1+B216/100))</f>
        <v/>
      </c>
      <c r="E216" s="11">
        <f>IF(A216="","",$B$6*TAN(RADIANS(A216)))</f>
        <v/>
      </c>
      <c r="G216" s="12">
        <f>IF(U216="","",T216)</f>
        <v/>
      </c>
      <c r="H216" s="12">
        <f>IF(U216="","",$E$4+V216*COS(RADIANS($E$8))-W216*SIN(RADIANS($E$8)))</f>
        <v/>
      </c>
      <c r="I216" s="12">
        <f>IF(U216="","",$E$5+V216*SIN(RADIANS($E$8))+W216*COS(RADIANS($E$8)))</f>
        <v/>
      </c>
      <c r="J216" s="12">
        <f>IF(H216="","",H216-$B$7)</f>
        <v/>
      </c>
      <c r="K216" s="12">
        <f>IF(I216="","",I216-$B$8)</f>
        <v/>
      </c>
      <c r="L216" s="12">
        <f>IFERROR(SQRT(J216^2+K216^2)*$B$4/1000,"")</f>
        <v/>
      </c>
      <c r="M216" s="12">
        <f>IF(OR($E$13&lt;&gt;"OK",L216=""),"",IF(L216&lt;=$D$19,$A$19,IF(L216&gt;=INDEX($D$19:$D$218,$E$12),INDEX($A$19:$A$218,$E$12),INDEX($A$19:$A$218,MATCH(L216,$D$19:INDEX($D$19:$D$218,$E$12),1))+(L216-INDEX($D$19:$D$218,MATCH(L216,$D$19:INDEX($D$19:$D$218,$E$12),1)))*(INDEX($A$19:$A$218,MATCH(L216,$D$19:INDEX($D$19:$D$218,$E$12),1)+1)-INDEX($A$19:$A$218,MATCH(L216,$D$19:INDEX($D$19:$D$218,$E$12),1)))/(INDEX($D$19:$D$218,MATCH(L216,$D$19:INDEX($D$19:$D$218,$E$12),1)+1)-INDEX($D$19:$D$218,MATCH(L216,$D$19:INDEX($D$19:$D$218,$E$12),1))))))</f>
        <v/>
      </c>
      <c r="N216" s="12">
        <f>IF(M216="","",$B$6*TAN(RADIANS(M216)))</f>
        <v/>
      </c>
      <c r="O216" s="12">
        <f>IF(N216="","",IF(L216=0,0,-N216*J216/SQRT(J216^2+K216^2)))</f>
        <v/>
      </c>
      <c r="P216" s="12">
        <f>IF(N216="","",IF(L216=0,0,N216*K216/SQRT(J216^2+K216^2)))</f>
        <v/>
      </c>
      <c r="Q216" s="12">
        <f>IF(N216="","",IF(N216=0,$B$7,$B$7-Y216*O216/N216))</f>
        <v/>
      </c>
      <c r="R216" s="12">
        <f>IF(N216="","",IF(N216=0,$B$8,$B$8+Y216*P216/N216))</f>
        <v/>
      </c>
      <c r="S216" s="12">
        <f>IFERROR(SQRT((Q216-H216)^2+(R216-I216)^2),"")</f>
        <v/>
      </c>
      <c r="T216">
        <f>189</f>
        <v/>
      </c>
      <c r="U216">
        <f>IF(T216&gt;4*$E$9,"",MIN(INT(T216/$E$9)+1,4))</f>
        <v/>
      </c>
      <c r="V216">
        <f>IF(T216=4*$E$9,-$E$6/2,IF(U216="","",CHOOSE(U216,-$E$6/2+MOD(T216,$E$9)/$E$9*$E$6,$E$6/2,$E$6/2-MOD(T216,$E$9)/$E$9*$E$6,-$E$6/2)))</f>
        <v/>
      </c>
      <c r="W216">
        <f>IF(T216=4*$E$9,-$E$7/2,IF(U216="","",CHOOSE(U216,-$E$7/2,-$E$7/2+MOD(T216,$E$9)/$E$9*$E$7,$E$7/2,$E$7/2-MOD(T216,$E$9)/$E$9*$E$7)))</f>
        <v/>
      </c>
      <c r="X216">
        <f>IF(OR($E$13&lt;&gt;"OK",M216=""),"",IF(M216&lt;=$A$19,$D$19,IF(M216&gt;=INDEX($A$19:$A$218,$E$12),INDEX($D$19:$D$218,$E$12),INDEX($D$19:$D$218,MATCH(M216,$A$19:INDEX($A$19:$A$218,$E$12),1))+(M216-INDEX($A$19:$A$218,MATCH(M216,$A$19:INDEX($A$19:$A$218,$E$12),1)))*(INDEX($D$19:$D$218,MATCH(M216,$A$19:INDEX($A$19:$A$218,$E$12),1)+1)-INDEX($D$19:$D$218,MATCH(M216,$A$19:INDEX($A$19:$A$218,$E$12),1)))/(INDEX($A$19:$A$218,MATCH(M216,$A$19:INDEX($A$19:$A$218,$E$12),1)+1)-INDEX($A$19:$A$218,MATCH(M216,$A$19:INDEX($A$19:$A$218,$E$12),1))))))</f>
        <v/>
      </c>
      <c r="Y216">
        <f>IF(X216="","",X216*1000/$B$4)</f>
        <v/>
      </c>
    </row>
    <row r="217">
      <c r="A217" s="10" t="n"/>
      <c r="B217" s="10" t="n"/>
      <c r="C217" s="11">
        <f>IF(A217="","",$B$5*TAN(RADIANS(A217)))</f>
        <v/>
      </c>
      <c r="D217" s="11">
        <f>IF(C217="","",C217*(1+B217/100))</f>
        <v/>
      </c>
      <c r="E217" s="11">
        <f>IF(A217="","",$B$6*TAN(RADIANS(A217)))</f>
        <v/>
      </c>
      <c r="G217" s="12">
        <f>IF(U217="","",T217)</f>
        <v/>
      </c>
      <c r="H217" s="12">
        <f>IF(U217="","",$E$4+V217*COS(RADIANS($E$8))-W217*SIN(RADIANS($E$8)))</f>
        <v/>
      </c>
      <c r="I217" s="12">
        <f>IF(U217="","",$E$5+V217*SIN(RADIANS($E$8))+W217*COS(RADIANS($E$8)))</f>
        <v/>
      </c>
      <c r="J217" s="12">
        <f>IF(H217="","",H217-$B$7)</f>
        <v/>
      </c>
      <c r="K217" s="12">
        <f>IF(I217="","",I217-$B$8)</f>
        <v/>
      </c>
      <c r="L217" s="12">
        <f>IFERROR(SQRT(J217^2+K217^2)*$B$4/1000,"")</f>
        <v/>
      </c>
      <c r="M217" s="12">
        <f>IF(OR($E$13&lt;&gt;"OK",L217=""),"",IF(L217&lt;=$D$19,$A$19,IF(L217&gt;=INDEX($D$19:$D$218,$E$12),INDEX($A$19:$A$218,$E$12),INDEX($A$19:$A$218,MATCH(L217,$D$19:INDEX($D$19:$D$218,$E$12),1))+(L217-INDEX($D$19:$D$218,MATCH(L217,$D$19:INDEX($D$19:$D$218,$E$12),1)))*(INDEX($A$19:$A$218,MATCH(L217,$D$19:INDEX($D$19:$D$218,$E$12),1)+1)-INDEX($A$19:$A$218,MATCH(L217,$D$19:INDEX($D$19:$D$218,$E$12),1)))/(INDEX($D$19:$D$218,MATCH(L217,$D$19:INDEX($D$19:$D$218,$E$12),1)+1)-INDEX($D$19:$D$218,MATCH(L217,$D$19:INDEX($D$19:$D$218,$E$12),1))))))</f>
        <v/>
      </c>
      <c r="N217" s="12">
        <f>IF(M217="","",$B$6*TAN(RADIANS(M217)))</f>
        <v/>
      </c>
      <c r="O217" s="12">
        <f>IF(N217="","",IF(L217=0,0,-N217*J217/SQRT(J217^2+K217^2)))</f>
        <v/>
      </c>
      <c r="P217" s="12">
        <f>IF(N217="","",IF(L217=0,0,N217*K217/SQRT(J217^2+K217^2)))</f>
        <v/>
      </c>
      <c r="Q217" s="12">
        <f>IF(N217="","",IF(N217=0,$B$7,$B$7-Y217*O217/N217))</f>
        <v/>
      </c>
      <c r="R217" s="12">
        <f>IF(N217="","",IF(N217=0,$B$8,$B$8+Y217*P217/N217))</f>
        <v/>
      </c>
      <c r="S217" s="12">
        <f>IFERROR(SQRT((Q217-H217)^2+(R217-I217)^2),"")</f>
        <v/>
      </c>
      <c r="T217">
        <f>190</f>
        <v/>
      </c>
      <c r="U217">
        <f>IF(T217&gt;4*$E$9,"",MIN(INT(T217/$E$9)+1,4))</f>
        <v/>
      </c>
      <c r="V217">
        <f>IF(T217=4*$E$9,-$E$6/2,IF(U217="","",CHOOSE(U217,-$E$6/2+MOD(T217,$E$9)/$E$9*$E$6,$E$6/2,$E$6/2-MOD(T217,$E$9)/$E$9*$E$6,-$E$6/2)))</f>
        <v/>
      </c>
      <c r="W217">
        <f>IF(T217=4*$E$9,-$E$7/2,IF(U217="","",CHOOSE(U217,-$E$7/2,-$E$7/2+MOD(T217,$E$9)/$E$9*$E$7,$E$7/2,$E$7/2-MOD(T217,$E$9)/$E$9*$E$7)))</f>
        <v/>
      </c>
      <c r="X217">
        <f>IF(OR($E$13&lt;&gt;"OK",M217=""),"",IF(M217&lt;=$A$19,$D$19,IF(M217&gt;=INDEX($A$19:$A$218,$E$12),INDEX($D$19:$D$218,$E$12),INDEX($D$19:$D$218,MATCH(M217,$A$19:INDEX($A$19:$A$218,$E$12),1))+(M217-INDEX($A$19:$A$218,MATCH(M217,$A$19:INDEX($A$19:$A$218,$E$12),1)))*(INDEX($D$19:$D$218,MATCH(M217,$A$19:INDEX($A$19:$A$218,$E$12),1)+1)-INDEX($D$19:$D$218,MATCH(M217,$A$19:INDEX($A$19:$A$218,$E$12),1)))/(INDEX($A$19:$A$218,MATCH(M217,$A$19:INDEX($A$19:$A$218,$E$12),1)+1)-INDEX($A$19:$A$218,MATCH(M217,$A$19:INDEX($A$19:$A$218,$E$12),1))))))</f>
        <v/>
      </c>
      <c r="Y217">
        <f>IF(X217="","",X217*1000/$B$4)</f>
        <v/>
      </c>
    </row>
    <row r="218">
      <c r="A218" s="10" t="n"/>
      <c r="B218" s="10" t="n"/>
      <c r="C218" s="11">
        <f>IF(A218="","",$B$5*TAN(RADIANS(A218)))</f>
        <v/>
      </c>
      <c r="D218" s="11">
        <f>IF(C218="","",C218*(1+B218/100))</f>
        <v/>
      </c>
      <c r="E218" s="11">
        <f>IF(A218="","",$B$6*TAN(RADIANS(A218)))</f>
        <v/>
      </c>
      <c r="G218" s="12">
        <f>IF(U218="","",T218)</f>
        <v/>
      </c>
      <c r="H218" s="12">
        <f>IF(U218="","",$E$4+V218*COS(RADIANS($E$8))-W218*SIN(RADIANS($E$8)))</f>
        <v/>
      </c>
      <c r="I218" s="12">
        <f>IF(U218="","",$E$5+V218*SIN(RADIANS($E$8))+W218*COS(RADIANS($E$8)))</f>
        <v/>
      </c>
      <c r="J218" s="12">
        <f>IF(H218="","",H218-$B$7)</f>
        <v/>
      </c>
      <c r="K218" s="12">
        <f>IF(I218="","",I218-$B$8)</f>
        <v/>
      </c>
      <c r="L218" s="12">
        <f>IFERROR(SQRT(J218^2+K218^2)*$B$4/1000,"")</f>
        <v/>
      </c>
      <c r="M218" s="12">
        <f>IF(OR($E$13&lt;&gt;"OK",L218=""),"",IF(L218&lt;=$D$19,$A$19,IF(L218&gt;=INDEX($D$19:$D$218,$E$12),INDEX($A$19:$A$218,$E$12),INDEX($A$19:$A$218,MATCH(L218,$D$19:INDEX($D$19:$D$218,$E$12),1))+(L218-INDEX($D$19:$D$218,MATCH(L218,$D$19:INDEX($D$19:$D$218,$E$12),1)))*(INDEX($A$19:$A$218,MATCH(L218,$D$19:INDEX($D$19:$D$218,$E$12),1)+1)-INDEX($A$19:$A$218,MATCH(L218,$D$19:INDEX($D$19:$D$218,$E$12),1)))/(INDEX($D$19:$D$218,MATCH(L218,$D$19:INDEX($D$19:$D$218,$E$12),1)+1)-INDEX($D$19:$D$218,MATCH(L218,$D$19:INDEX($D$19:$D$218,$E$12),1))))))</f>
        <v/>
      </c>
      <c r="N218" s="12">
        <f>IF(M218="","",$B$6*TAN(RADIANS(M218)))</f>
        <v/>
      </c>
      <c r="O218" s="12">
        <f>IF(N218="","",IF(L218=0,0,-N218*J218/SQRT(J218^2+K218^2)))</f>
        <v/>
      </c>
      <c r="P218" s="12">
        <f>IF(N218="","",IF(L218=0,0,N218*K218/SQRT(J218^2+K218^2)))</f>
        <v/>
      </c>
      <c r="Q218" s="12">
        <f>IF(N218="","",IF(N218=0,$B$7,$B$7-Y218*O218/N218))</f>
        <v/>
      </c>
      <c r="R218" s="12">
        <f>IF(N218="","",IF(N218=0,$B$8,$B$8+Y218*P218/N218))</f>
        <v/>
      </c>
      <c r="S218" s="12">
        <f>IFERROR(SQRT((Q218-H218)^2+(R218-I218)^2),"")</f>
        <v/>
      </c>
      <c r="T218">
        <f>191</f>
        <v/>
      </c>
      <c r="U218">
        <f>IF(T218&gt;4*$E$9,"",MIN(INT(T218/$E$9)+1,4))</f>
        <v/>
      </c>
      <c r="V218">
        <f>IF(T218=4*$E$9,-$E$6/2,IF(U218="","",CHOOSE(U218,-$E$6/2+MOD(T218,$E$9)/$E$9*$E$6,$E$6/2,$E$6/2-MOD(T218,$E$9)/$E$9*$E$6,-$E$6/2)))</f>
        <v/>
      </c>
      <c r="W218">
        <f>IF(T218=4*$E$9,-$E$7/2,IF(U218="","",CHOOSE(U218,-$E$7/2,-$E$7/2+MOD(T218,$E$9)/$E$9*$E$7,$E$7/2,$E$7/2-MOD(T218,$E$9)/$E$9*$E$7)))</f>
        <v/>
      </c>
      <c r="X218">
        <f>IF(OR($E$13&lt;&gt;"OK",M218=""),"",IF(M218&lt;=$A$19,$D$19,IF(M218&gt;=INDEX($A$19:$A$218,$E$12),INDEX($D$19:$D$218,$E$12),INDEX($D$19:$D$218,MATCH(M218,$A$19:INDEX($A$19:$A$218,$E$12),1))+(M218-INDEX($A$19:$A$218,MATCH(M218,$A$19:INDEX($A$19:$A$218,$E$12),1)))*(INDEX($D$19:$D$218,MATCH(M218,$A$19:INDEX($A$19:$A$218,$E$12),1)+1)-INDEX($D$19:$D$218,MATCH(M218,$A$19:INDEX($A$19:$A$218,$E$12),1)))/(INDEX($A$19:$A$218,MATCH(M218,$A$19:INDEX($A$19:$A$218,$E$12),1)+1)-INDEX($A$19:$A$218,MATCH(M218,$A$19:INDEX($A$19:$A$218,$E$12),1))))))</f>
        <v/>
      </c>
      <c r="Y218">
        <f>IF(X218="","",X218*1000/$B$4)</f>
        <v/>
      </c>
    </row>
    <row r="219">
      <c r="G219" s="12">
        <f>IF(U219="","",T219)</f>
        <v/>
      </c>
      <c r="H219" s="12">
        <f>IF(U219="","",$E$4+V219*COS(RADIANS($E$8))-W219*SIN(RADIANS($E$8)))</f>
        <v/>
      </c>
      <c r="I219" s="12">
        <f>IF(U219="","",$E$5+V219*SIN(RADIANS($E$8))+W219*COS(RADIANS($E$8)))</f>
        <v/>
      </c>
      <c r="J219" s="12">
        <f>IF(H219="","",H219-$B$7)</f>
        <v/>
      </c>
      <c r="K219" s="12">
        <f>IF(I219="","",I219-$B$8)</f>
        <v/>
      </c>
      <c r="L219" s="12">
        <f>IFERROR(SQRT(J219^2+K219^2)*$B$4/1000,"")</f>
        <v/>
      </c>
      <c r="M219" s="12">
        <f>IF(OR($E$13&lt;&gt;"OK",L219=""),"",IF(L219&lt;=$D$19,$A$19,IF(L219&gt;=INDEX($D$19:$D$218,$E$12),INDEX($A$19:$A$218,$E$12),INDEX($A$19:$A$218,MATCH(L219,$D$19:INDEX($D$19:$D$218,$E$12),1))+(L219-INDEX($D$19:$D$218,MATCH(L219,$D$19:INDEX($D$19:$D$218,$E$12),1)))*(INDEX($A$19:$A$218,MATCH(L219,$D$19:INDEX($D$19:$D$218,$E$12),1)+1)-INDEX($A$19:$A$218,MATCH(L219,$D$19:INDEX($D$19:$D$218,$E$12),1)))/(INDEX($D$19:$D$218,MATCH(L219,$D$19:INDEX($D$19:$D$218,$E$12),1)+1)-INDEX($D$19:$D$218,MATCH(L219,$D$19:INDEX($D$19:$D$218,$E$12),1))))))</f>
        <v/>
      </c>
      <c r="N219" s="12">
        <f>IF(M219="","",$B$6*TAN(RADIANS(M219)))</f>
        <v/>
      </c>
      <c r="O219" s="12">
        <f>IF(N219="","",IF(L219=0,0,-N219*J219/SQRT(J219^2+K219^2)))</f>
        <v/>
      </c>
      <c r="P219" s="12">
        <f>IF(N219="","",IF(L219=0,0,N219*K219/SQRT(J219^2+K219^2)))</f>
        <v/>
      </c>
      <c r="Q219" s="12">
        <f>IF(N219="","",IF(N219=0,$B$7,$B$7-Y219*O219/N219))</f>
        <v/>
      </c>
      <c r="R219" s="12">
        <f>IF(N219="","",IF(N219=0,$B$8,$B$8+Y219*P219/N219))</f>
        <v/>
      </c>
      <c r="S219" s="12">
        <f>IFERROR(SQRT((Q219-H219)^2+(R219-I219)^2),"")</f>
        <v/>
      </c>
      <c r="T219">
        <f>192</f>
        <v/>
      </c>
      <c r="U219">
        <f>IF(T219&gt;4*$E$9,"",MIN(INT(T219/$E$9)+1,4))</f>
        <v/>
      </c>
      <c r="V219">
        <f>IF(T219=4*$E$9,-$E$6/2,IF(U219="","",CHOOSE(U219,-$E$6/2+MOD(T219,$E$9)/$E$9*$E$6,$E$6/2,$E$6/2-MOD(T219,$E$9)/$E$9*$E$6,-$E$6/2)))</f>
        <v/>
      </c>
      <c r="W219">
        <f>IF(T219=4*$E$9,-$E$7/2,IF(U219="","",CHOOSE(U219,-$E$7/2,-$E$7/2+MOD(T219,$E$9)/$E$9*$E$7,$E$7/2,$E$7/2-MOD(T219,$E$9)/$E$9*$E$7)))</f>
        <v/>
      </c>
      <c r="X219">
        <f>IF(OR($E$13&lt;&gt;"OK",M219=""),"",IF(M219&lt;=$A$19,$D$19,IF(M219&gt;=INDEX($A$19:$A$218,$E$12),INDEX($D$19:$D$218,$E$12),INDEX($D$19:$D$218,MATCH(M219,$A$19:INDEX($A$19:$A$218,$E$12),1))+(M219-INDEX($A$19:$A$218,MATCH(M219,$A$19:INDEX($A$19:$A$218,$E$12),1)))*(INDEX($D$19:$D$218,MATCH(M219,$A$19:INDEX($A$19:$A$218,$E$12),1)+1)-INDEX($D$19:$D$218,MATCH(M219,$A$19:INDEX($A$19:$A$218,$E$12),1)))/(INDEX($A$19:$A$218,MATCH(M219,$A$19:INDEX($A$19:$A$218,$E$12),1)+1)-INDEX($A$19:$A$218,MATCH(M219,$A$19:INDEX($A$19:$A$218,$E$12),1))))))</f>
        <v/>
      </c>
      <c r="Y219">
        <f>IF(X219="","",X219*1000/$B$4)</f>
        <v/>
      </c>
    </row>
    <row r="220">
      <c r="G220" s="12">
        <f>IF(U220="","",T220)</f>
        <v/>
      </c>
      <c r="H220" s="12">
        <f>IF(U220="","",$E$4+V220*COS(RADIANS($E$8))-W220*SIN(RADIANS($E$8)))</f>
        <v/>
      </c>
      <c r="I220" s="12">
        <f>IF(U220="","",$E$5+V220*SIN(RADIANS($E$8))+W220*COS(RADIANS($E$8)))</f>
        <v/>
      </c>
      <c r="J220" s="12">
        <f>IF(H220="","",H220-$B$7)</f>
        <v/>
      </c>
      <c r="K220" s="12">
        <f>IF(I220="","",I220-$B$8)</f>
        <v/>
      </c>
      <c r="L220" s="12">
        <f>IFERROR(SQRT(J220^2+K220^2)*$B$4/1000,"")</f>
        <v/>
      </c>
      <c r="M220" s="12">
        <f>IF(OR($E$13&lt;&gt;"OK",L220=""),"",IF(L220&lt;=$D$19,$A$19,IF(L220&gt;=INDEX($D$19:$D$218,$E$12),INDEX($A$19:$A$218,$E$12),INDEX($A$19:$A$218,MATCH(L220,$D$19:INDEX($D$19:$D$218,$E$12),1))+(L220-INDEX($D$19:$D$218,MATCH(L220,$D$19:INDEX($D$19:$D$218,$E$12),1)))*(INDEX($A$19:$A$218,MATCH(L220,$D$19:INDEX($D$19:$D$218,$E$12),1)+1)-INDEX($A$19:$A$218,MATCH(L220,$D$19:INDEX($D$19:$D$218,$E$12),1)))/(INDEX($D$19:$D$218,MATCH(L220,$D$19:INDEX($D$19:$D$218,$E$12),1)+1)-INDEX($D$19:$D$218,MATCH(L220,$D$19:INDEX($D$19:$D$218,$E$12),1))))))</f>
        <v/>
      </c>
      <c r="N220" s="12">
        <f>IF(M220="","",$B$6*TAN(RADIANS(M220)))</f>
        <v/>
      </c>
      <c r="O220" s="12">
        <f>IF(N220="","",IF(L220=0,0,-N220*J220/SQRT(J220^2+K220^2)))</f>
        <v/>
      </c>
      <c r="P220" s="12">
        <f>IF(N220="","",IF(L220=0,0,N220*K220/SQRT(J220^2+K220^2)))</f>
        <v/>
      </c>
      <c r="Q220" s="12">
        <f>IF(N220="","",IF(N220=0,$B$7,$B$7-Y220*O220/N220))</f>
        <v/>
      </c>
      <c r="R220" s="12">
        <f>IF(N220="","",IF(N220=0,$B$8,$B$8+Y220*P220/N220))</f>
        <v/>
      </c>
      <c r="S220" s="12">
        <f>IFERROR(SQRT((Q220-H220)^2+(R220-I220)^2),"")</f>
        <v/>
      </c>
      <c r="T220">
        <f>193</f>
        <v/>
      </c>
      <c r="U220">
        <f>IF(T220&gt;4*$E$9,"",MIN(INT(T220/$E$9)+1,4))</f>
        <v/>
      </c>
      <c r="V220">
        <f>IF(T220=4*$E$9,-$E$6/2,IF(U220="","",CHOOSE(U220,-$E$6/2+MOD(T220,$E$9)/$E$9*$E$6,$E$6/2,$E$6/2-MOD(T220,$E$9)/$E$9*$E$6,-$E$6/2)))</f>
        <v/>
      </c>
      <c r="W220">
        <f>IF(T220=4*$E$9,-$E$7/2,IF(U220="","",CHOOSE(U220,-$E$7/2,-$E$7/2+MOD(T220,$E$9)/$E$9*$E$7,$E$7/2,$E$7/2-MOD(T220,$E$9)/$E$9*$E$7)))</f>
        <v/>
      </c>
      <c r="X220">
        <f>IF(OR($E$13&lt;&gt;"OK",M220=""),"",IF(M220&lt;=$A$19,$D$19,IF(M220&gt;=INDEX($A$19:$A$218,$E$12),INDEX($D$19:$D$218,$E$12),INDEX($D$19:$D$218,MATCH(M220,$A$19:INDEX($A$19:$A$218,$E$12),1))+(M220-INDEX($A$19:$A$218,MATCH(M220,$A$19:INDEX($A$19:$A$218,$E$12),1)))*(INDEX($D$19:$D$218,MATCH(M220,$A$19:INDEX($A$19:$A$218,$E$12),1)+1)-INDEX($D$19:$D$218,MATCH(M220,$A$19:INDEX($A$19:$A$218,$E$12),1)))/(INDEX($A$19:$A$218,MATCH(M220,$A$19:INDEX($A$19:$A$218,$E$12),1)+1)-INDEX($A$19:$A$218,MATCH(M220,$A$19:INDEX($A$19:$A$218,$E$12),1))))))</f>
        <v/>
      </c>
      <c r="Y220">
        <f>IF(X220="","",X220*1000/$B$4)</f>
        <v/>
      </c>
    </row>
    <row r="221">
      <c r="G221" s="12">
        <f>IF(U221="","",T221)</f>
        <v/>
      </c>
      <c r="H221" s="12">
        <f>IF(U221="","",$E$4+V221*COS(RADIANS($E$8))-W221*SIN(RADIANS($E$8)))</f>
        <v/>
      </c>
      <c r="I221" s="12">
        <f>IF(U221="","",$E$5+V221*SIN(RADIANS($E$8))+W221*COS(RADIANS($E$8)))</f>
        <v/>
      </c>
      <c r="J221" s="12">
        <f>IF(H221="","",H221-$B$7)</f>
        <v/>
      </c>
      <c r="K221" s="12">
        <f>IF(I221="","",I221-$B$8)</f>
        <v/>
      </c>
      <c r="L221" s="12">
        <f>IFERROR(SQRT(J221^2+K221^2)*$B$4/1000,"")</f>
        <v/>
      </c>
      <c r="M221" s="12">
        <f>IF(OR($E$13&lt;&gt;"OK",L221=""),"",IF(L221&lt;=$D$19,$A$19,IF(L221&gt;=INDEX($D$19:$D$218,$E$12),INDEX($A$19:$A$218,$E$12),INDEX($A$19:$A$218,MATCH(L221,$D$19:INDEX($D$19:$D$218,$E$12),1))+(L221-INDEX($D$19:$D$218,MATCH(L221,$D$19:INDEX($D$19:$D$218,$E$12),1)))*(INDEX($A$19:$A$218,MATCH(L221,$D$19:INDEX($D$19:$D$218,$E$12),1)+1)-INDEX($A$19:$A$218,MATCH(L221,$D$19:INDEX($D$19:$D$218,$E$12),1)))/(INDEX($D$19:$D$218,MATCH(L221,$D$19:INDEX($D$19:$D$218,$E$12),1)+1)-INDEX($D$19:$D$218,MATCH(L221,$D$19:INDEX($D$19:$D$218,$E$12),1))))))</f>
        <v/>
      </c>
      <c r="N221" s="12">
        <f>IF(M221="","",$B$6*TAN(RADIANS(M221)))</f>
        <v/>
      </c>
      <c r="O221" s="12">
        <f>IF(N221="","",IF(L221=0,0,-N221*J221/SQRT(J221^2+K221^2)))</f>
        <v/>
      </c>
      <c r="P221" s="12">
        <f>IF(N221="","",IF(L221=0,0,N221*K221/SQRT(J221^2+K221^2)))</f>
        <v/>
      </c>
      <c r="Q221" s="12">
        <f>IF(N221="","",IF(N221=0,$B$7,$B$7-Y221*O221/N221))</f>
        <v/>
      </c>
      <c r="R221" s="12">
        <f>IF(N221="","",IF(N221=0,$B$8,$B$8+Y221*P221/N221))</f>
        <v/>
      </c>
      <c r="S221" s="12">
        <f>IFERROR(SQRT((Q221-H221)^2+(R221-I221)^2),"")</f>
        <v/>
      </c>
      <c r="T221">
        <f>194</f>
        <v/>
      </c>
      <c r="U221">
        <f>IF(T221&gt;4*$E$9,"",MIN(INT(T221/$E$9)+1,4))</f>
        <v/>
      </c>
      <c r="V221">
        <f>IF(T221=4*$E$9,-$E$6/2,IF(U221="","",CHOOSE(U221,-$E$6/2+MOD(T221,$E$9)/$E$9*$E$6,$E$6/2,$E$6/2-MOD(T221,$E$9)/$E$9*$E$6,-$E$6/2)))</f>
        <v/>
      </c>
      <c r="W221">
        <f>IF(T221=4*$E$9,-$E$7/2,IF(U221="","",CHOOSE(U221,-$E$7/2,-$E$7/2+MOD(T221,$E$9)/$E$9*$E$7,$E$7/2,$E$7/2-MOD(T221,$E$9)/$E$9*$E$7)))</f>
        <v/>
      </c>
      <c r="X221">
        <f>IF(OR($E$13&lt;&gt;"OK",M221=""),"",IF(M221&lt;=$A$19,$D$19,IF(M221&gt;=INDEX($A$19:$A$218,$E$12),INDEX($D$19:$D$218,$E$12),INDEX($D$19:$D$218,MATCH(M221,$A$19:INDEX($A$19:$A$218,$E$12),1))+(M221-INDEX($A$19:$A$218,MATCH(M221,$A$19:INDEX($A$19:$A$218,$E$12),1)))*(INDEX($D$19:$D$218,MATCH(M221,$A$19:INDEX($A$19:$A$218,$E$12),1)+1)-INDEX($D$19:$D$218,MATCH(M221,$A$19:INDEX($A$19:$A$218,$E$12),1)))/(INDEX($A$19:$A$218,MATCH(M221,$A$19:INDEX($A$19:$A$218,$E$12),1)+1)-INDEX($A$19:$A$218,MATCH(M221,$A$19:INDEX($A$19:$A$218,$E$12),1))))))</f>
        <v/>
      </c>
      <c r="Y221">
        <f>IF(X221="","",X221*1000/$B$4)</f>
        <v/>
      </c>
    </row>
    <row r="222">
      <c r="G222" s="12">
        <f>IF(U222="","",T222)</f>
        <v/>
      </c>
      <c r="H222" s="12">
        <f>IF(U222="","",$E$4+V222*COS(RADIANS($E$8))-W222*SIN(RADIANS($E$8)))</f>
        <v/>
      </c>
      <c r="I222" s="12">
        <f>IF(U222="","",$E$5+V222*SIN(RADIANS($E$8))+W222*COS(RADIANS($E$8)))</f>
        <v/>
      </c>
      <c r="J222" s="12">
        <f>IF(H222="","",H222-$B$7)</f>
        <v/>
      </c>
      <c r="K222" s="12">
        <f>IF(I222="","",I222-$B$8)</f>
        <v/>
      </c>
      <c r="L222" s="12">
        <f>IFERROR(SQRT(J222^2+K222^2)*$B$4/1000,"")</f>
        <v/>
      </c>
      <c r="M222" s="12">
        <f>IF(OR($E$13&lt;&gt;"OK",L222=""),"",IF(L222&lt;=$D$19,$A$19,IF(L222&gt;=INDEX($D$19:$D$218,$E$12),INDEX($A$19:$A$218,$E$12),INDEX($A$19:$A$218,MATCH(L222,$D$19:INDEX($D$19:$D$218,$E$12),1))+(L222-INDEX($D$19:$D$218,MATCH(L222,$D$19:INDEX($D$19:$D$218,$E$12),1)))*(INDEX($A$19:$A$218,MATCH(L222,$D$19:INDEX($D$19:$D$218,$E$12),1)+1)-INDEX($A$19:$A$218,MATCH(L222,$D$19:INDEX($D$19:$D$218,$E$12),1)))/(INDEX($D$19:$D$218,MATCH(L222,$D$19:INDEX($D$19:$D$218,$E$12),1)+1)-INDEX($D$19:$D$218,MATCH(L222,$D$19:INDEX($D$19:$D$218,$E$12),1))))))</f>
        <v/>
      </c>
      <c r="N222" s="12">
        <f>IF(M222="","",$B$6*TAN(RADIANS(M222)))</f>
        <v/>
      </c>
      <c r="O222" s="12">
        <f>IF(N222="","",IF(L222=0,0,-N222*J222/SQRT(J222^2+K222^2)))</f>
        <v/>
      </c>
      <c r="P222" s="12">
        <f>IF(N222="","",IF(L222=0,0,N222*K222/SQRT(J222^2+K222^2)))</f>
        <v/>
      </c>
      <c r="Q222" s="12">
        <f>IF(N222="","",IF(N222=0,$B$7,$B$7-Y222*O222/N222))</f>
        <v/>
      </c>
      <c r="R222" s="12">
        <f>IF(N222="","",IF(N222=0,$B$8,$B$8+Y222*P222/N222))</f>
        <v/>
      </c>
      <c r="S222" s="12">
        <f>IFERROR(SQRT((Q222-H222)^2+(R222-I222)^2),"")</f>
        <v/>
      </c>
      <c r="T222">
        <f>195</f>
        <v/>
      </c>
      <c r="U222">
        <f>IF(T222&gt;4*$E$9,"",MIN(INT(T222/$E$9)+1,4))</f>
        <v/>
      </c>
      <c r="V222">
        <f>IF(T222=4*$E$9,-$E$6/2,IF(U222="","",CHOOSE(U222,-$E$6/2+MOD(T222,$E$9)/$E$9*$E$6,$E$6/2,$E$6/2-MOD(T222,$E$9)/$E$9*$E$6,-$E$6/2)))</f>
        <v/>
      </c>
      <c r="W222">
        <f>IF(T222=4*$E$9,-$E$7/2,IF(U222="","",CHOOSE(U222,-$E$7/2,-$E$7/2+MOD(T222,$E$9)/$E$9*$E$7,$E$7/2,$E$7/2-MOD(T222,$E$9)/$E$9*$E$7)))</f>
        <v/>
      </c>
      <c r="X222">
        <f>IF(OR($E$13&lt;&gt;"OK",M222=""),"",IF(M222&lt;=$A$19,$D$19,IF(M222&gt;=INDEX($A$19:$A$218,$E$12),INDEX($D$19:$D$218,$E$12),INDEX($D$19:$D$218,MATCH(M222,$A$19:INDEX($A$19:$A$218,$E$12),1))+(M222-INDEX($A$19:$A$218,MATCH(M222,$A$19:INDEX($A$19:$A$218,$E$12),1)))*(INDEX($D$19:$D$218,MATCH(M222,$A$19:INDEX($A$19:$A$218,$E$12),1)+1)-INDEX($D$19:$D$218,MATCH(M222,$A$19:INDEX($A$19:$A$218,$E$12),1)))/(INDEX($A$19:$A$218,MATCH(M222,$A$19:INDEX($A$19:$A$218,$E$12),1)+1)-INDEX($A$19:$A$218,MATCH(M222,$A$19:INDEX($A$19:$A$218,$E$12),1))))))</f>
        <v/>
      </c>
      <c r="Y222">
        <f>IF(X222="","",X222*1000/$B$4)</f>
        <v/>
      </c>
    </row>
    <row r="223">
      <c r="G223" s="12">
        <f>IF(U223="","",T223)</f>
        <v/>
      </c>
      <c r="H223" s="12">
        <f>IF(U223="","",$E$4+V223*COS(RADIANS($E$8))-W223*SIN(RADIANS($E$8)))</f>
        <v/>
      </c>
      <c r="I223" s="12">
        <f>IF(U223="","",$E$5+V223*SIN(RADIANS($E$8))+W223*COS(RADIANS($E$8)))</f>
        <v/>
      </c>
      <c r="J223" s="12">
        <f>IF(H223="","",H223-$B$7)</f>
        <v/>
      </c>
      <c r="K223" s="12">
        <f>IF(I223="","",I223-$B$8)</f>
        <v/>
      </c>
      <c r="L223" s="12">
        <f>IFERROR(SQRT(J223^2+K223^2)*$B$4/1000,"")</f>
        <v/>
      </c>
      <c r="M223" s="12">
        <f>IF(OR($E$13&lt;&gt;"OK",L223=""),"",IF(L223&lt;=$D$19,$A$19,IF(L223&gt;=INDEX($D$19:$D$218,$E$12),INDEX($A$19:$A$218,$E$12),INDEX($A$19:$A$218,MATCH(L223,$D$19:INDEX($D$19:$D$218,$E$12),1))+(L223-INDEX($D$19:$D$218,MATCH(L223,$D$19:INDEX($D$19:$D$218,$E$12),1)))*(INDEX($A$19:$A$218,MATCH(L223,$D$19:INDEX($D$19:$D$218,$E$12),1)+1)-INDEX($A$19:$A$218,MATCH(L223,$D$19:INDEX($D$19:$D$218,$E$12),1)))/(INDEX($D$19:$D$218,MATCH(L223,$D$19:INDEX($D$19:$D$218,$E$12),1)+1)-INDEX($D$19:$D$218,MATCH(L223,$D$19:INDEX($D$19:$D$218,$E$12),1))))))</f>
        <v/>
      </c>
      <c r="N223" s="12">
        <f>IF(M223="","",$B$6*TAN(RADIANS(M223)))</f>
        <v/>
      </c>
      <c r="O223" s="12">
        <f>IF(N223="","",IF(L223=0,0,-N223*J223/SQRT(J223^2+K223^2)))</f>
        <v/>
      </c>
      <c r="P223" s="12">
        <f>IF(N223="","",IF(L223=0,0,N223*K223/SQRT(J223^2+K223^2)))</f>
        <v/>
      </c>
      <c r="Q223" s="12">
        <f>IF(N223="","",IF(N223=0,$B$7,$B$7-Y223*O223/N223))</f>
        <v/>
      </c>
      <c r="R223" s="12">
        <f>IF(N223="","",IF(N223=0,$B$8,$B$8+Y223*P223/N223))</f>
        <v/>
      </c>
      <c r="S223" s="12">
        <f>IFERROR(SQRT((Q223-H223)^2+(R223-I223)^2),"")</f>
        <v/>
      </c>
      <c r="T223">
        <f>196</f>
        <v/>
      </c>
      <c r="U223">
        <f>IF(T223&gt;4*$E$9,"",MIN(INT(T223/$E$9)+1,4))</f>
        <v/>
      </c>
      <c r="V223">
        <f>IF(T223=4*$E$9,-$E$6/2,IF(U223="","",CHOOSE(U223,-$E$6/2+MOD(T223,$E$9)/$E$9*$E$6,$E$6/2,$E$6/2-MOD(T223,$E$9)/$E$9*$E$6,-$E$6/2)))</f>
        <v/>
      </c>
      <c r="W223">
        <f>IF(T223=4*$E$9,-$E$7/2,IF(U223="","",CHOOSE(U223,-$E$7/2,-$E$7/2+MOD(T223,$E$9)/$E$9*$E$7,$E$7/2,$E$7/2-MOD(T223,$E$9)/$E$9*$E$7)))</f>
        <v/>
      </c>
      <c r="X223">
        <f>IF(OR($E$13&lt;&gt;"OK",M223=""),"",IF(M223&lt;=$A$19,$D$19,IF(M223&gt;=INDEX($A$19:$A$218,$E$12),INDEX($D$19:$D$218,$E$12),INDEX($D$19:$D$218,MATCH(M223,$A$19:INDEX($A$19:$A$218,$E$12),1))+(M223-INDEX($A$19:$A$218,MATCH(M223,$A$19:INDEX($A$19:$A$218,$E$12),1)))*(INDEX($D$19:$D$218,MATCH(M223,$A$19:INDEX($A$19:$A$218,$E$12),1)+1)-INDEX($D$19:$D$218,MATCH(M223,$A$19:INDEX($A$19:$A$218,$E$12),1)))/(INDEX($A$19:$A$218,MATCH(M223,$A$19:INDEX($A$19:$A$218,$E$12),1)+1)-INDEX($A$19:$A$218,MATCH(M223,$A$19:INDEX($A$19:$A$218,$E$12),1))))))</f>
        <v/>
      </c>
      <c r="Y223">
        <f>IF(X223="","",X223*1000/$B$4)</f>
        <v/>
      </c>
    </row>
    <row r="224">
      <c r="G224" s="12">
        <f>IF(U224="","",T224)</f>
        <v/>
      </c>
      <c r="H224" s="12">
        <f>IF(U224="","",$E$4+V224*COS(RADIANS($E$8))-W224*SIN(RADIANS($E$8)))</f>
        <v/>
      </c>
      <c r="I224" s="12">
        <f>IF(U224="","",$E$5+V224*SIN(RADIANS($E$8))+W224*COS(RADIANS($E$8)))</f>
        <v/>
      </c>
      <c r="J224" s="12">
        <f>IF(H224="","",H224-$B$7)</f>
        <v/>
      </c>
      <c r="K224" s="12">
        <f>IF(I224="","",I224-$B$8)</f>
        <v/>
      </c>
      <c r="L224" s="12">
        <f>IFERROR(SQRT(J224^2+K224^2)*$B$4/1000,"")</f>
        <v/>
      </c>
      <c r="M224" s="12">
        <f>IF(OR($E$13&lt;&gt;"OK",L224=""),"",IF(L224&lt;=$D$19,$A$19,IF(L224&gt;=INDEX($D$19:$D$218,$E$12),INDEX($A$19:$A$218,$E$12),INDEX($A$19:$A$218,MATCH(L224,$D$19:INDEX($D$19:$D$218,$E$12),1))+(L224-INDEX($D$19:$D$218,MATCH(L224,$D$19:INDEX($D$19:$D$218,$E$12),1)))*(INDEX($A$19:$A$218,MATCH(L224,$D$19:INDEX($D$19:$D$218,$E$12),1)+1)-INDEX($A$19:$A$218,MATCH(L224,$D$19:INDEX($D$19:$D$218,$E$12),1)))/(INDEX($D$19:$D$218,MATCH(L224,$D$19:INDEX($D$19:$D$218,$E$12),1)+1)-INDEX($D$19:$D$218,MATCH(L224,$D$19:INDEX($D$19:$D$218,$E$12),1))))))</f>
        <v/>
      </c>
      <c r="N224" s="12">
        <f>IF(M224="","",$B$6*TAN(RADIANS(M224)))</f>
        <v/>
      </c>
      <c r="O224" s="12">
        <f>IF(N224="","",IF(L224=0,0,-N224*J224/SQRT(J224^2+K224^2)))</f>
        <v/>
      </c>
      <c r="P224" s="12">
        <f>IF(N224="","",IF(L224=0,0,N224*K224/SQRT(J224^2+K224^2)))</f>
        <v/>
      </c>
      <c r="Q224" s="12">
        <f>IF(N224="","",IF(N224=0,$B$7,$B$7-Y224*O224/N224))</f>
        <v/>
      </c>
      <c r="R224" s="12">
        <f>IF(N224="","",IF(N224=0,$B$8,$B$8+Y224*P224/N224))</f>
        <v/>
      </c>
      <c r="S224" s="12">
        <f>IFERROR(SQRT((Q224-H224)^2+(R224-I224)^2),"")</f>
        <v/>
      </c>
      <c r="T224">
        <f>197</f>
        <v/>
      </c>
      <c r="U224">
        <f>IF(T224&gt;4*$E$9,"",MIN(INT(T224/$E$9)+1,4))</f>
        <v/>
      </c>
      <c r="V224">
        <f>IF(T224=4*$E$9,-$E$6/2,IF(U224="","",CHOOSE(U224,-$E$6/2+MOD(T224,$E$9)/$E$9*$E$6,$E$6/2,$E$6/2-MOD(T224,$E$9)/$E$9*$E$6,-$E$6/2)))</f>
        <v/>
      </c>
      <c r="W224">
        <f>IF(T224=4*$E$9,-$E$7/2,IF(U224="","",CHOOSE(U224,-$E$7/2,-$E$7/2+MOD(T224,$E$9)/$E$9*$E$7,$E$7/2,$E$7/2-MOD(T224,$E$9)/$E$9*$E$7)))</f>
        <v/>
      </c>
      <c r="X224">
        <f>IF(OR($E$13&lt;&gt;"OK",M224=""),"",IF(M224&lt;=$A$19,$D$19,IF(M224&gt;=INDEX($A$19:$A$218,$E$12),INDEX($D$19:$D$218,$E$12),INDEX($D$19:$D$218,MATCH(M224,$A$19:INDEX($A$19:$A$218,$E$12),1))+(M224-INDEX($A$19:$A$218,MATCH(M224,$A$19:INDEX($A$19:$A$218,$E$12),1)))*(INDEX($D$19:$D$218,MATCH(M224,$A$19:INDEX($A$19:$A$218,$E$12),1)+1)-INDEX($D$19:$D$218,MATCH(M224,$A$19:INDEX($A$19:$A$218,$E$12),1)))/(INDEX($A$19:$A$218,MATCH(M224,$A$19:INDEX($A$19:$A$218,$E$12),1)+1)-INDEX($A$19:$A$218,MATCH(M224,$A$19:INDEX($A$19:$A$218,$E$12),1))))))</f>
        <v/>
      </c>
      <c r="Y224">
        <f>IF(X224="","",X224*1000/$B$4)</f>
        <v/>
      </c>
    </row>
    <row r="225">
      <c r="G225" s="12">
        <f>IF(U225="","",T225)</f>
        <v/>
      </c>
      <c r="H225" s="12">
        <f>IF(U225="","",$E$4+V225*COS(RADIANS($E$8))-W225*SIN(RADIANS($E$8)))</f>
        <v/>
      </c>
      <c r="I225" s="12">
        <f>IF(U225="","",$E$5+V225*SIN(RADIANS($E$8))+W225*COS(RADIANS($E$8)))</f>
        <v/>
      </c>
      <c r="J225" s="12">
        <f>IF(H225="","",H225-$B$7)</f>
        <v/>
      </c>
      <c r="K225" s="12">
        <f>IF(I225="","",I225-$B$8)</f>
        <v/>
      </c>
      <c r="L225" s="12">
        <f>IFERROR(SQRT(J225^2+K225^2)*$B$4/1000,"")</f>
        <v/>
      </c>
      <c r="M225" s="12">
        <f>IF(OR($E$13&lt;&gt;"OK",L225=""),"",IF(L225&lt;=$D$19,$A$19,IF(L225&gt;=INDEX($D$19:$D$218,$E$12),INDEX($A$19:$A$218,$E$12),INDEX($A$19:$A$218,MATCH(L225,$D$19:INDEX($D$19:$D$218,$E$12),1))+(L225-INDEX($D$19:$D$218,MATCH(L225,$D$19:INDEX($D$19:$D$218,$E$12),1)))*(INDEX($A$19:$A$218,MATCH(L225,$D$19:INDEX($D$19:$D$218,$E$12),1)+1)-INDEX($A$19:$A$218,MATCH(L225,$D$19:INDEX($D$19:$D$218,$E$12),1)))/(INDEX($D$19:$D$218,MATCH(L225,$D$19:INDEX($D$19:$D$218,$E$12),1)+1)-INDEX($D$19:$D$218,MATCH(L225,$D$19:INDEX($D$19:$D$218,$E$12),1))))))</f>
        <v/>
      </c>
      <c r="N225" s="12">
        <f>IF(M225="","",$B$6*TAN(RADIANS(M225)))</f>
        <v/>
      </c>
      <c r="O225" s="12">
        <f>IF(N225="","",IF(L225=0,0,-N225*J225/SQRT(J225^2+K225^2)))</f>
        <v/>
      </c>
      <c r="P225" s="12">
        <f>IF(N225="","",IF(L225=0,0,N225*K225/SQRT(J225^2+K225^2)))</f>
        <v/>
      </c>
      <c r="Q225" s="12">
        <f>IF(N225="","",IF(N225=0,$B$7,$B$7-Y225*O225/N225))</f>
        <v/>
      </c>
      <c r="R225" s="12">
        <f>IF(N225="","",IF(N225=0,$B$8,$B$8+Y225*P225/N225))</f>
        <v/>
      </c>
      <c r="S225" s="12">
        <f>IFERROR(SQRT((Q225-H225)^2+(R225-I225)^2),"")</f>
        <v/>
      </c>
      <c r="T225">
        <f>198</f>
        <v/>
      </c>
      <c r="U225">
        <f>IF(T225&gt;4*$E$9,"",MIN(INT(T225/$E$9)+1,4))</f>
        <v/>
      </c>
      <c r="V225">
        <f>IF(T225=4*$E$9,-$E$6/2,IF(U225="","",CHOOSE(U225,-$E$6/2+MOD(T225,$E$9)/$E$9*$E$6,$E$6/2,$E$6/2-MOD(T225,$E$9)/$E$9*$E$6,-$E$6/2)))</f>
        <v/>
      </c>
      <c r="W225">
        <f>IF(T225=4*$E$9,-$E$7/2,IF(U225="","",CHOOSE(U225,-$E$7/2,-$E$7/2+MOD(T225,$E$9)/$E$9*$E$7,$E$7/2,$E$7/2-MOD(T225,$E$9)/$E$9*$E$7)))</f>
        <v/>
      </c>
      <c r="X225">
        <f>IF(OR($E$13&lt;&gt;"OK",M225=""),"",IF(M225&lt;=$A$19,$D$19,IF(M225&gt;=INDEX($A$19:$A$218,$E$12),INDEX($D$19:$D$218,$E$12),INDEX($D$19:$D$218,MATCH(M225,$A$19:INDEX($A$19:$A$218,$E$12),1))+(M225-INDEX($A$19:$A$218,MATCH(M225,$A$19:INDEX($A$19:$A$218,$E$12),1)))*(INDEX($D$19:$D$218,MATCH(M225,$A$19:INDEX($A$19:$A$218,$E$12),1)+1)-INDEX($D$19:$D$218,MATCH(M225,$A$19:INDEX($A$19:$A$218,$E$12),1)))/(INDEX($A$19:$A$218,MATCH(M225,$A$19:INDEX($A$19:$A$218,$E$12),1)+1)-INDEX($A$19:$A$218,MATCH(M225,$A$19:INDEX($A$19:$A$218,$E$12),1))))))</f>
        <v/>
      </c>
      <c r="Y225">
        <f>IF(X225="","",X225*1000/$B$4)</f>
        <v/>
      </c>
    </row>
    <row r="226">
      <c r="G226" s="12">
        <f>IF(U226="","",T226)</f>
        <v/>
      </c>
      <c r="H226" s="12">
        <f>IF(U226="","",$E$4+V226*COS(RADIANS($E$8))-W226*SIN(RADIANS($E$8)))</f>
        <v/>
      </c>
      <c r="I226" s="12">
        <f>IF(U226="","",$E$5+V226*SIN(RADIANS($E$8))+W226*COS(RADIANS($E$8)))</f>
        <v/>
      </c>
      <c r="J226" s="12">
        <f>IF(H226="","",H226-$B$7)</f>
        <v/>
      </c>
      <c r="K226" s="12">
        <f>IF(I226="","",I226-$B$8)</f>
        <v/>
      </c>
      <c r="L226" s="12">
        <f>IFERROR(SQRT(J226^2+K226^2)*$B$4/1000,"")</f>
        <v/>
      </c>
      <c r="M226" s="12">
        <f>IF(OR($E$13&lt;&gt;"OK",L226=""),"",IF(L226&lt;=$D$19,$A$19,IF(L226&gt;=INDEX($D$19:$D$218,$E$12),INDEX($A$19:$A$218,$E$12),INDEX($A$19:$A$218,MATCH(L226,$D$19:INDEX($D$19:$D$218,$E$12),1))+(L226-INDEX($D$19:$D$218,MATCH(L226,$D$19:INDEX($D$19:$D$218,$E$12),1)))*(INDEX($A$19:$A$218,MATCH(L226,$D$19:INDEX($D$19:$D$218,$E$12),1)+1)-INDEX($A$19:$A$218,MATCH(L226,$D$19:INDEX($D$19:$D$218,$E$12),1)))/(INDEX($D$19:$D$218,MATCH(L226,$D$19:INDEX($D$19:$D$218,$E$12),1)+1)-INDEX($D$19:$D$218,MATCH(L226,$D$19:INDEX($D$19:$D$218,$E$12),1))))))</f>
        <v/>
      </c>
      <c r="N226" s="12">
        <f>IF(M226="","",$B$6*TAN(RADIANS(M226)))</f>
        <v/>
      </c>
      <c r="O226" s="12">
        <f>IF(N226="","",IF(L226=0,0,-N226*J226/SQRT(J226^2+K226^2)))</f>
        <v/>
      </c>
      <c r="P226" s="12">
        <f>IF(N226="","",IF(L226=0,0,N226*K226/SQRT(J226^2+K226^2)))</f>
        <v/>
      </c>
      <c r="Q226" s="12">
        <f>IF(N226="","",IF(N226=0,$B$7,$B$7-Y226*O226/N226))</f>
        <v/>
      </c>
      <c r="R226" s="12">
        <f>IF(N226="","",IF(N226=0,$B$8,$B$8+Y226*P226/N226))</f>
        <v/>
      </c>
      <c r="S226" s="12">
        <f>IFERROR(SQRT((Q226-H226)^2+(R226-I226)^2),"")</f>
        <v/>
      </c>
      <c r="T226">
        <f>199</f>
        <v/>
      </c>
      <c r="U226">
        <f>IF(T226&gt;4*$E$9,"",MIN(INT(T226/$E$9)+1,4))</f>
        <v/>
      </c>
      <c r="V226">
        <f>IF(T226=4*$E$9,-$E$6/2,IF(U226="","",CHOOSE(U226,-$E$6/2+MOD(T226,$E$9)/$E$9*$E$6,$E$6/2,$E$6/2-MOD(T226,$E$9)/$E$9*$E$6,-$E$6/2)))</f>
        <v/>
      </c>
      <c r="W226">
        <f>IF(T226=4*$E$9,-$E$7/2,IF(U226="","",CHOOSE(U226,-$E$7/2,-$E$7/2+MOD(T226,$E$9)/$E$9*$E$7,$E$7/2,$E$7/2-MOD(T226,$E$9)/$E$9*$E$7)))</f>
        <v/>
      </c>
      <c r="X226">
        <f>IF(OR($E$13&lt;&gt;"OK",M226=""),"",IF(M226&lt;=$A$19,$D$19,IF(M226&gt;=INDEX($A$19:$A$218,$E$12),INDEX($D$19:$D$218,$E$12),INDEX($D$19:$D$218,MATCH(M226,$A$19:INDEX($A$19:$A$218,$E$12),1))+(M226-INDEX($A$19:$A$218,MATCH(M226,$A$19:INDEX($A$19:$A$218,$E$12),1)))*(INDEX($D$19:$D$218,MATCH(M226,$A$19:INDEX($A$19:$A$218,$E$12),1)+1)-INDEX($D$19:$D$218,MATCH(M226,$A$19:INDEX($A$19:$A$218,$E$12),1)))/(INDEX($A$19:$A$218,MATCH(M226,$A$19:INDEX($A$19:$A$218,$E$12),1)+1)-INDEX($A$19:$A$218,MATCH(M226,$A$19:INDEX($A$19:$A$218,$E$12),1))))))</f>
        <v/>
      </c>
      <c r="Y226">
        <f>IF(X226="","",X226*1000/$B$4)</f>
        <v/>
      </c>
    </row>
    <row r="227">
      <c r="G227" s="12">
        <f>IF(U227="","",T227)</f>
        <v/>
      </c>
      <c r="H227" s="12">
        <f>IF(U227="","",$E$4+V227*COS(RADIANS($E$8))-W227*SIN(RADIANS($E$8)))</f>
        <v/>
      </c>
      <c r="I227" s="12">
        <f>IF(U227="","",$E$5+V227*SIN(RADIANS($E$8))+W227*COS(RADIANS($E$8)))</f>
        <v/>
      </c>
      <c r="J227" s="12">
        <f>IF(H227="","",H227-$B$7)</f>
        <v/>
      </c>
      <c r="K227" s="12">
        <f>IF(I227="","",I227-$B$8)</f>
        <v/>
      </c>
      <c r="L227" s="12">
        <f>IFERROR(SQRT(J227^2+K227^2)*$B$4/1000,"")</f>
        <v/>
      </c>
      <c r="M227" s="12">
        <f>IF(OR($E$13&lt;&gt;"OK",L227=""),"",IF(L227&lt;=$D$19,$A$19,IF(L227&gt;=INDEX($D$19:$D$218,$E$12),INDEX($A$19:$A$218,$E$12),INDEX($A$19:$A$218,MATCH(L227,$D$19:INDEX($D$19:$D$218,$E$12),1))+(L227-INDEX($D$19:$D$218,MATCH(L227,$D$19:INDEX($D$19:$D$218,$E$12),1)))*(INDEX($A$19:$A$218,MATCH(L227,$D$19:INDEX($D$19:$D$218,$E$12),1)+1)-INDEX($A$19:$A$218,MATCH(L227,$D$19:INDEX($D$19:$D$218,$E$12),1)))/(INDEX($D$19:$D$218,MATCH(L227,$D$19:INDEX($D$19:$D$218,$E$12),1)+1)-INDEX($D$19:$D$218,MATCH(L227,$D$19:INDEX($D$19:$D$218,$E$12),1))))))</f>
        <v/>
      </c>
      <c r="N227" s="12">
        <f>IF(M227="","",$B$6*TAN(RADIANS(M227)))</f>
        <v/>
      </c>
      <c r="O227" s="12">
        <f>IF(N227="","",IF(L227=0,0,-N227*J227/SQRT(J227^2+K227^2)))</f>
        <v/>
      </c>
      <c r="P227" s="12">
        <f>IF(N227="","",IF(L227=0,0,N227*K227/SQRT(J227^2+K227^2)))</f>
        <v/>
      </c>
      <c r="Q227" s="12">
        <f>IF(N227="","",IF(N227=0,$B$7,$B$7-Y227*O227/N227))</f>
        <v/>
      </c>
      <c r="R227" s="12">
        <f>IF(N227="","",IF(N227=0,$B$8,$B$8+Y227*P227/N227))</f>
        <v/>
      </c>
      <c r="S227" s="12">
        <f>IFERROR(SQRT((Q227-H227)^2+(R227-I227)^2),"")</f>
        <v/>
      </c>
      <c r="T227">
        <f>200</f>
        <v/>
      </c>
      <c r="U227">
        <f>IF(T227&gt;4*$E$9,"",MIN(INT(T227/$E$9)+1,4))</f>
        <v/>
      </c>
      <c r="V227">
        <f>IF(T227=4*$E$9,-$E$6/2,IF(U227="","",CHOOSE(U227,-$E$6/2+MOD(T227,$E$9)/$E$9*$E$6,$E$6/2,$E$6/2-MOD(T227,$E$9)/$E$9*$E$6,-$E$6/2)))</f>
        <v/>
      </c>
      <c r="W227">
        <f>IF(T227=4*$E$9,-$E$7/2,IF(U227="","",CHOOSE(U227,-$E$7/2,-$E$7/2+MOD(T227,$E$9)/$E$9*$E$7,$E$7/2,$E$7/2-MOD(T227,$E$9)/$E$9*$E$7)))</f>
        <v/>
      </c>
      <c r="X227">
        <f>IF(OR($E$13&lt;&gt;"OK",M227=""),"",IF(M227&lt;=$A$19,$D$19,IF(M227&gt;=INDEX($A$19:$A$218,$E$12),INDEX($D$19:$D$218,$E$12),INDEX($D$19:$D$218,MATCH(M227,$A$19:INDEX($A$19:$A$218,$E$12),1))+(M227-INDEX($A$19:$A$218,MATCH(M227,$A$19:INDEX($A$19:$A$218,$E$12),1)))*(INDEX($D$19:$D$218,MATCH(M227,$A$19:INDEX($A$19:$A$218,$E$12),1)+1)-INDEX($D$19:$D$218,MATCH(M227,$A$19:INDEX($A$19:$A$218,$E$12),1)))/(INDEX($A$19:$A$218,MATCH(M227,$A$19:INDEX($A$19:$A$218,$E$12),1)+1)-INDEX($A$19:$A$218,MATCH(M227,$A$19:INDEX($A$19:$A$218,$E$12),1))))))</f>
        <v/>
      </c>
      <c r="Y227">
        <f>IF(X227="","",X227*1000/$B$4)</f>
        <v/>
      </c>
    </row>
  </sheetData>
  <autoFilter ref="A18:B218"/>
  <mergeCells count="7">
    <mergeCell ref="G17:S17"/>
    <mergeCell ref="A1:S1"/>
    <mergeCell ref="D3:F3"/>
    <mergeCell ref="A3:C3"/>
    <mergeCell ref="A17:E17"/>
    <mergeCell ref="A2:S2"/>
    <mergeCell ref="G25:S25"/>
  </mergeCells>
  <conditionalFormatting sqref="B11">
    <cfRule type="expression" priority="1" dxfId="0">
      <formula>B11&lt;&gt;"OK"</formula>
    </cfRule>
  </conditionalFormatting>
  <conditionalFormatting sqref="E13:E14">
    <cfRule type="expression" priority="2" dxfId="0">
      <formula>LEFT(E13,2)&lt;&gt;"OK"</formula>
    </cfRule>
  </conditionalFormatting>
  <dataValidations count="2">
    <dataValidation sqref="B4:B6 E6:E7" showDropDown="0" showInputMessage="0" showErrorMessage="1" allowBlank="0" error="請輸入大於 0 的數值" type="decimal" operator="greaterThan">
      <formula1>0</formula1>
    </dataValidation>
    <dataValidation sqref="E9" showDropDown="0" showInputMessage="0" showErrorMessage="1" allowBlank="0" error="每邊取樣段數須為 2～50 的整數" type="whole" operator="between">
      <formula1>2</formula1>
      <formula2>50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5" customWidth="1" min="2" max="2"/>
  </cols>
  <sheetData>
    <row r="1">
      <c r="A1" s="1" t="inlineStr">
        <is>
          <t>逆畸變預變形：使用說明與模型限制</t>
        </is>
      </c>
    </row>
    <row r="3" ht="66" customHeight="1">
      <c r="A3" s="13" t="inlineStr">
        <is>
          <t>目的</t>
        </is>
      </c>
      <c r="B3" s="14" t="inlineStr">
        <is>
          <t>先在 sensor 座標中定義正常長方形。本檔反向求出物方應製作的預變形邊界，使其經鏡頭後回到指定長方形。</t>
        </is>
      </c>
    </row>
    <row r="4" ht="66" customHeight="1">
      <c r="A4" s="13" t="inlineStr">
        <is>
          <t>操作</t>
        </is>
      </c>
      <c r="B4" s="14" t="inlineStr">
        <is>
          <t>1. 輸入 pixel size、EFL、物方平面至入瞳距離及光軸中心。\n2. 輸入 sensor 目標長方形的中心、寬、高、順時針旋轉角。\n3. 將黃色示例表換成鏡頭的半視角／Optical distortion 資料，可貼入最多 200 筆。\n4. 讀取四角或完整曲邊的物方 X/Y。</t>
        </is>
      </c>
    </row>
    <row r="5" ht="66" customHeight="1">
      <c r="A5" s="13" t="inlineStr">
        <is>
          <t>畸變定義</t>
        </is>
      </c>
      <c r="B5" s="14" t="inlineStr">
        <is>
          <t>Distortion(%)=(畸變 sensor 半徑/理想 sensor 半徑−1)×100%。正值向外（通常 pincushion），負值向內（通常 barrel）。TV distortion 或相反符號必須先轉換。</t>
        </is>
      </c>
    </row>
    <row r="6" ht="66" customHeight="1">
      <c r="A6" s="13" t="inlineStr">
        <is>
          <t>反向算法</t>
        </is>
      </c>
      <c r="B6" s="14" t="inlineStr">
        <is>
          <t>由每筆半視角／Distortion 先建立「半視角 ↔ 畸變 sensor 半徑」LUT，並在相鄰資料點間做分段線性內插；再用 R=Z·tan(θ) 求物方半徑。首列半視角必須為 0；超出表格時使用端點角度，不外插。</t>
        </is>
      </c>
    </row>
    <row r="7" ht="66" customHeight="1">
      <c r="A7" s="13" t="inlineStr">
        <is>
          <t>四角與曲邊</t>
        </is>
      </c>
      <c r="B7" s="14" t="inlineStr">
        <is>
          <t>P1～P4 只能保證四個角落正確。徑向逆畸變通常使物方直邊變成曲線；若要 sensor 邊緣筆直，請使用「完整預變形曲邊座標」。每邊取樣越多，折線近似越準。</t>
        </is>
      </c>
    </row>
    <row r="8" ht="66" customHeight="1">
      <c r="A8" s="13" t="inlineStr">
        <is>
          <t>座標方向</t>
        </is>
      </c>
      <c r="B8" s="14" t="inlineStr">
        <is>
          <t>Sensor X 向右、Y 向下。物方 X 向右、Y 向上，並包含鏡頭形成的倒像：sensor X 與物方 X 符號相反。若加工設備使用其他觀看方向，需做鏡射或旋轉轉換。</t>
        </is>
      </c>
    </row>
    <row r="9" ht="66" customHeight="1">
      <c r="A9" s="13" t="inlineStr">
        <is>
          <t>距離與實鏡限制</t>
        </is>
      </c>
      <c r="B9" s="14" t="inlineStr">
        <is>
          <t>Z 應從鏡頭入瞳位置量到物方平面，不一定等於鏡頭外殼距離。模型假設旋轉對稱徑向畸變，不含 tangential/decentering distortion、sensor tilt 或姿態透視。近距離與多片鏡頭宜用工作距離下的實測映射校正。</t>
        </is>
      </c>
    </row>
    <row r="10" ht="66" customHeight="1">
      <c r="A10" s="13" t="inlineStr">
        <is>
          <t>驗證</t>
        </is>
      </c>
      <c r="B10" s="14" t="inlineStr">
        <is>
          <t>「驗證 X/Y」把預變形物方點重新正向投影；誤差應接近 0 pixel。這是數學模型內部驗證，不代表實鏡製造與裝配誤差。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