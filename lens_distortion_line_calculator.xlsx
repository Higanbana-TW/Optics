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V本逆畸變計算器" sheetId="1" state="visible" r:id="rId1"/>
    <sheet name="使用說明" sheetId="2" state="visible" r:id="rId2"/>
  </sheets>
  <definedNames>
    <definedName name="_xlnm._FilterDatabase" localSheetId="0" hidden="1">'TV本逆畸變計算器'!$A$18:$B$2018</definedName>
  </definedNames>
  <calcPr calcId="124519" calcMode="auto" fullCalcOnLoad="1" forceFullCalc="1"/>
</workbook>
</file>

<file path=xl/styles.xml><?xml version="1.0" encoding="utf-8"?>
<styleSheet xmlns="http://schemas.openxmlformats.org/spreadsheetml/2006/main">
  <numFmts count="1">
    <numFmt numFmtId="164" formatCode="0.000000"/>
  </numFmts>
  <fonts count="4">
    <font>
      <name val="Calibri"/>
      <family val="2"/>
      <color theme="1"/>
      <sz val="11"/>
      <scheme val="minor"/>
    </font>
    <font>
      <b val="1"/>
      <color rgb="00FFFFFF"/>
      <sz val="18"/>
    </font>
    <font>
      <i val="1"/>
      <color rgb="00666666"/>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2F0D9"/>
      </patternFill>
    </fill>
    <fill>
      <patternFill patternType="solid">
        <fgColor rgb="00D9EAF7"/>
      </patternFill>
    </fill>
    <fill>
      <patternFill patternType="solid">
        <fgColor rgb="00E7E6E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xf>
    <xf numFmtId="0" fontId="3" fillId="2" borderId="0" applyAlignment="1" pivotButton="0" quotePrefix="0" xfId="0">
      <alignment horizontal="center" vertical="center" wrapText="1"/>
    </xf>
    <xf numFmtId="0" fontId="0" fillId="3" borderId="1" pivotButton="0" quotePrefix="0" xfId="0"/>
    <xf numFmtId="0" fontId="0" fillId="6" borderId="1" pivotButton="0" quotePrefix="0" xfId="0"/>
    <xf numFmtId="0" fontId="0" fillId="4" borderId="1" pivotButton="0" quotePrefix="0" xfId="0"/>
    <xf numFmtId="164" fontId="0" fillId="4" borderId="1" pivotButton="0" quotePrefix="0" xfId="0"/>
    <xf numFmtId="0" fontId="0" fillId="5" borderId="0" applyAlignment="1" pivotButton="0" quotePrefix="0" xfId="0">
      <alignment vertical="top" wrapText="1"/>
    </xf>
    <xf numFmtId="0" fontId="3" fillId="2" borderId="1" applyAlignment="1" pivotButton="0" quotePrefix="0" xfId="0">
      <alignment horizontal="center" vertical="center" wrapText="1"/>
    </xf>
    <xf numFmtId="164" fontId="0" fillId="3" borderId="1" pivotButton="0" quotePrefix="0" xfId="0"/>
    <xf numFmtId="164" fontId="0" fillId="0" borderId="1" pivotButton="0" quotePrefix="0" xfId="0"/>
    <xf numFmtId="0" fontId="3" fillId="2" borderId="1" applyAlignment="1" pivotButton="0" quotePrefix="0" xfId="0">
      <alignment vertical="top"/>
    </xf>
    <xf numFmtId="0" fontId="0" fillId="5" borderId="1"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Sensor 第一象限：11 級 TV本圖形</a:t>
            </a:r>
          </a:p>
        </rich>
      </tx>
    </title>
    <plotArea>
      <scatterChart>
        <ser>
          <idx val="0"/>
          <order val="0"/>
          <tx>
            <v>Sensor TV本角點</v>
          </tx>
          <spPr>
            <a:ln>
              <a:noFill/>
              <a:prstDash val="solid"/>
            </a:ln>
          </spPr>
          <marker>
            <symbol val="circle"/>
            <size val="2"/>
            <spPr>
              <a:ln>
                <a:prstDash val="solid"/>
              </a:ln>
            </spPr>
          </marker>
          <xVal>
            <numRef>
              <f>'TV本逆畸變計算器'!$L$19:$L$458</f>
            </numRef>
          </xVal>
          <yVal>
            <numRef>
              <f>'TV本逆畸變計算器'!$M$19:$M$458</f>
            </numRef>
          </yVal>
        </ser>
        <axId val="10"/>
        <axId val="20"/>
      </scatterChart>
      <valAx>
        <axId val="10"/>
        <scaling>
          <orientation val="minMax"/>
        </scaling>
        <axPos val="l"/>
        <majorGridlines/>
        <title>
          <tx>
            <rich>
              <a:bodyPr/>
              <a:p>
                <a:pPr>
                  <a:defRPr/>
                </a:pPr>
                <a:r>
                  <a:t>Sensor X (mm)</a:t>
                </a:r>
              </a:p>
            </rich>
          </tx>
        </title>
        <majorTickMark val="none"/>
        <minorTickMark val="none"/>
        <crossAx val="20"/>
      </valAx>
      <valAx>
        <axId val="20"/>
        <scaling>
          <orientation val="maxMin"/>
        </scaling>
        <axPos val="l"/>
        <majorGridlines/>
        <title>
          <tx>
            <rich>
              <a:bodyPr/>
              <a:p>
                <a:pPr>
                  <a:defRPr/>
                </a:pPr>
                <a:r>
                  <a:t>Sensor Y (mm，向下為正)</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物平面：逆畸變 CAD 角點</a:t>
            </a:r>
          </a:p>
        </rich>
      </tx>
    </title>
    <plotArea>
      <scatterChart>
        <ser>
          <idx val="0"/>
          <order val="0"/>
          <tx>
            <v>CAD 角點</v>
          </tx>
          <spPr>
            <a:ln>
              <a:noFill/>
              <a:prstDash val="solid"/>
            </a:ln>
          </spPr>
          <marker>
            <symbol val="circle"/>
            <size val="2"/>
            <spPr>
              <a:ln>
                <a:prstDash val="solid"/>
              </a:ln>
            </spPr>
          </marker>
          <xVal>
            <numRef>
              <f>'TV本逆畸變計算器'!$R$19:$R$458</f>
            </numRef>
          </xVal>
          <yVal>
            <numRef>
              <f>'TV本逆畸變計算器'!$S$19:$S$458</f>
            </numRef>
          </yVal>
        </ser>
        <axId val="10"/>
        <axId val="20"/>
      </scatterChart>
      <valAx>
        <axId val="10"/>
        <scaling>
          <orientation val="minMax"/>
        </scaling>
        <axPos val="l"/>
        <majorGridlines/>
        <title>
          <tx>
            <rich>
              <a:bodyPr/>
              <a:p>
                <a:pPr>
                  <a:defRPr/>
                </a:pPr>
                <a:r>
                  <a:t>CAD X (mm)</a:t>
                </a:r>
              </a:p>
            </rich>
          </tx>
        </title>
        <majorTickMark val="none"/>
        <minorTickMark val="none"/>
        <crossAx val="20"/>
      </valAx>
      <valAx>
        <axId val="20"/>
        <scaling>
          <orientation val="minMax"/>
        </scaling>
        <axPos val="l"/>
        <majorGridlines/>
        <title>
          <tx>
            <rich>
              <a:bodyPr/>
              <a:p>
                <a:pPr>
                  <a:defRPr/>
                </a:pPr>
                <a:r>
                  <a:t>CAD Y (mm)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461</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483</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018"/>
  <sheetViews>
    <sheetView showGridLines="0" workbookViewId="0">
      <pane ySplit="18" topLeftCell="A19" activePane="bottomLeft" state="frozen"/>
      <selection pane="bottomLeft" activeCell="A1" sqref="A1"/>
    </sheetView>
  </sheetViews>
  <sheetFormatPr baseColWidth="8" defaultRowHeight="15"/>
  <cols>
    <col width="18" customWidth="1" min="1" max="1"/>
    <col width="18" customWidth="1" min="2" max="2"/>
    <col width="16" customWidth="1" min="3" max="3"/>
    <col width="18" customWidth="1" min="4" max="4"/>
    <col width="17" customWidth="1" min="5" max="5"/>
    <col width="17" customWidth="1" min="6" max="6"/>
    <col width="9" customWidth="1" min="7" max="7"/>
    <col width="12" customWidth="1" min="8" max="8"/>
    <col width="10" customWidth="1" min="9" max="9"/>
    <col width="10" customWidth="1" min="10" max="10"/>
    <col width="11" customWidth="1" min="11" max="11"/>
    <col width="15" customWidth="1" min="12" max="12"/>
    <col width="15" customWidth="1" min="13" max="13"/>
    <col width="16" customWidth="1" min="14" max="14"/>
    <col width="16" customWidth="1" min="15" max="15"/>
    <col width="14" customWidth="1" min="16" max="16"/>
    <col width="15" customWidth="1" min="17" max="17"/>
    <col width="15" customWidth="1" min="18" max="18"/>
    <col width="15" customWidth="1" min="19" max="19"/>
    <col width="15" customWidth="1" min="20" max="20"/>
    <col width="15" customWidth="1" min="21" max="21"/>
    <col width="13" customWidth="1" min="22" max="22"/>
    <col hidden="1" width="13" customWidth="1" min="23" max="23"/>
    <col hidden="1" width="13" customWidth="1" min="24" max="24"/>
    <col hidden="1" width="13" customWidth="1" min="25" max="25"/>
    <col hidden="1" width="13" customWidth="1" min="26" max="26"/>
  </cols>
  <sheetData>
    <row r="1" ht="30" customHeight="1">
      <c r="A1" s="1" t="inlineStr">
        <is>
          <t>第一象限 TV本 Chart 逆向預變形計算器（Sensor／CAD 皆為 mm）</t>
        </is>
      </c>
    </row>
    <row r="2">
      <c r="A2" s="2" t="inlineStr">
        <is>
          <t>由指定 TV本自動產生上下各 5 級，共 11 級、110 條線、440 個角點；黃色欄位為輸入。</t>
        </is>
      </c>
    </row>
    <row r="3">
      <c r="A3" s="3" t="inlineStr">
        <is>
          <t>Sensor／鏡頭輸入</t>
        </is>
      </c>
      <c r="D3" s="3" t="inlineStr">
        <is>
          <t>TV本 Chart 參數</t>
        </is>
      </c>
      <c r="G3" s="3" t="inlineStr">
        <is>
          <t>輸入檢查</t>
        </is>
      </c>
      <c r="J3" s="4" t="inlineStr">
        <is>
          <t>級數</t>
        </is>
      </c>
      <c r="K3" s="4" t="inlineStr">
        <is>
          <t>TV本</t>
        </is>
      </c>
      <c r="L3" s="4" t="inlineStr">
        <is>
          <t>線寬
(mm)</t>
        </is>
      </c>
      <c r="M3" s="4" t="inlineStr">
        <is>
          <t>單組邊長
(mm)</t>
        </is>
      </c>
      <c r="N3" s="4" t="inlineStr">
        <is>
          <t>雙組總寬
(mm)</t>
        </is>
      </c>
      <c r="O3" s="4" t="inlineStr">
        <is>
          <t>組合中心 X
(mm)</t>
        </is>
      </c>
      <c r="P3" s="4" t="inlineStr">
        <is>
          <t>組合中心 Y
(mm)</t>
        </is>
      </c>
    </row>
    <row r="4">
      <c r="A4" t="inlineStr">
        <is>
          <t>Pixel size</t>
        </is>
      </c>
      <c r="B4" s="5" t="n">
        <v>2</v>
      </c>
      <c r="C4" t="inlineStr">
        <is>
          <t>µm/pixel</t>
        </is>
      </c>
      <c r="D4" t="inlineStr">
        <is>
          <t>指定 TV本</t>
        </is>
      </c>
      <c r="E4" s="5" t="n">
        <v>1500</v>
      </c>
      <c r="F4" t="inlineStr">
        <is>
          <t>TV本</t>
        </is>
      </c>
      <c r="G4" s="6" t="inlineStr">
        <is>
          <t>基本數值</t>
        </is>
      </c>
      <c r="H4" s="7">
        <f>IF(AND(B4&gt;0,B5&gt;0,B6&gt;0,B9&gt;0,B10&gt;0,E4-5*E5&gt;0,E5&gt;0,E6&gt;=0,E6&lt;=1),"OK","錯誤：數值範圍")</f>
        <v/>
      </c>
      <c r="J4" s="8" t="n">
        <v>-5</v>
      </c>
      <c r="K4" s="8">
        <f>$E$4+J4*$E$5</f>
        <v/>
      </c>
      <c r="L4" s="8">
        <f>$B$8/K4</f>
        <v/>
      </c>
      <c r="M4" s="8">
        <f>(2*$E$7-1)*L4</f>
        <v/>
      </c>
      <c r="N4" s="8">
        <f>2*M4+L4</f>
        <v/>
      </c>
      <c r="O4" s="8">
        <f>O5-N5/2-MIN(L4,L5)-N4/2</f>
        <v/>
      </c>
      <c r="P4" s="8">
        <f>$B$8/2-$E$6*$B$8/2</f>
        <v/>
      </c>
    </row>
    <row r="5">
      <c r="A5" t="inlineStr">
        <is>
          <t>Sensor 水平像素</t>
        </is>
      </c>
      <c r="B5" s="5" t="n">
        <v>3840</v>
      </c>
      <c r="C5" t="inlineStr">
        <is>
          <t>pixel</t>
        </is>
      </c>
      <c r="D5" t="inlineStr">
        <is>
          <t>TV本間隔</t>
        </is>
      </c>
      <c r="E5" s="5" t="n">
        <v>100</v>
      </c>
      <c r="F5" t="inlineStr">
        <is>
          <t>TV本</t>
        </is>
      </c>
      <c r="G5" s="6" t="inlineStr">
        <is>
          <t>輸出點數</t>
        </is>
      </c>
      <c r="H5" s="7">
        <f>11*2*5*4</f>
        <v/>
      </c>
      <c r="J5" s="8" t="n">
        <v>-4</v>
      </c>
      <c r="K5" s="8">
        <f>$E$4+J5*$E$5</f>
        <v/>
      </c>
      <c r="L5" s="8">
        <f>$B$8/K5</f>
        <v/>
      </c>
      <c r="M5" s="8">
        <f>(2*$E$7-1)*L5</f>
        <v/>
      </c>
      <c r="N5" s="8">
        <f>2*M5+L5</f>
        <v/>
      </c>
      <c r="O5" s="8">
        <f>O6-N6/2-MIN(L5,L6)-N5/2</f>
        <v/>
      </c>
      <c r="P5" s="8">
        <f>$B$8/2-$E$6*$B$8/2</f>
        <v/>
      </c>
    </row>
    <row r="6">
      <c r="A6" t="inlineStr">
        <is>
          <t>Sensor 垂直像素</t>
        </is>
      </c>
      <c r="B6" s="5" t="n">
        <v>2160</v>
      </c>
      <c r="C6" t="inlineStr">
        <is>
          <t>pixel</t>
        </is>
      </c>
      <c r="D6" t="inlineStr">
        <is>
          <t>視場位置</t>
        </is>
      </c>
      <c r="E6" s="5" t="n">
        <v>0.7</v>
      </c>
      <c r="F6" t="inlineStr">
        <is>
          <t>半對角線倍率</t>
        </is>
      </c>
      <c r="G6" s="6" t="inlineStr">
        <is>
          <t>有效畸變表列數</t>
        </is>
      </c>
      <c r="H6" s="7">
        <f>COUNT(A19:A2018)</f>
        <v/>
      </c>
      <c r="J6" s="8" t="n">
        <v>-3</v>
      </c>
      <c r="K6" s="8">
        <f>$E$4+J6*$E$5</f>
        <v/>
      </c>
      <c r="L6" s="8">
        <f>$B$8/K6</f>
        <v/>
      </c>
      <c r="M6" s="8">
        <f>(2*$E$7-1)*L6</f>
        <v/>
      </c>
      <c r="N6" s="8">
        <f>2*M6+L6</f>
        <v/>
      </c>
      <c r="O6" s="8">
        <f>O7-N7/2-MIN(L6,L7)-N6/2</f>
        <v/>
      </c>
      <c r="P6" s="8">
        <f>$B$8/2-$E$6*$B$8/2</f>
        <v/>
      </c>
    </row>
    <row r="7">
      <c r="A7" t="inlineStr">
        <is>
          <t>Sensor 寬度</t>
        </is>
      </c>
      <c r="B7" s="7">
        <f>B4*B5/1000</f>
        <v/>
      </c>
      <c r="C7" t="inlineStr">
        <is>
          <t>mm</t>
        </is>
      </c>
      <c r="D7" t="inlineStr">
        <is>
          <t>每組線條數</t>
        </is>
      </c>
      <c r="E7" s="7" t="n">
        <v>5</v>
      </c>
      <c r="F7" t="inlineStr">
        <is>
          <t>固定</t>
        </is>
      </c>
      <c r="G7" s="6" t="inlineStr">
        <is>
          <t>畸變表狀態</t>
        </is>
      </c>
      <c r="H7" s="7">
        <f>IF(H6&lt;2,"錯誤：至少 2 列",IF(A19&lt;&gt;0,"錯誤：首列半視角須為 0",IF(COUNTBLANK(A19:INDEX(A:A,18+H6))+COUNTBLANK(B19:INDEX(B:B,18+H6))&gt;0,"錯誤：中間不可空白",IF(SUMPRODUCT(--(A20:INDEX(A:A,18+H6)&lt;=A19:INDEX(A:A,17+H6)))&gt;0,"錯誤：半視角須遞增",IF(SUMPRODUCT(--(D20:INDEX(D:D,18+H6)&lt;=D19:INDEX(D:D,17+H6)))&gt;0,"錯誤：畸變像高須遞增","OK")))))</f>
        <v/>
      </c>
      <c r="J7" s="8" t="n">
        <v>-2</v>
      </c>
      <c r="K7" s="8">
        <f>$E$4+J7*$E$5</f>
        <v/>
      </c>
      <c r="L7" s="8">
        <f>$B$8/K7</f>
        <v/>
      </c>
      <c r="M7" s="8">
        <f>(2*$E$7-1)*L7</f>
        <v/>
      </c>
      <c r="N7" s="8">
        <f>2*M7+L7</f>
        <v/>
      </c>
      <c r="O7" s="8">
        <f>O8-N8/2-MIN(L7,L8)-N7/2</f>
        <v/>
      </c>
      <c r="P7" s="8">
        <f>$B$8/2-$E$6*$B$8/2</f>
        <v/>
      </c>
    </row>
    <row r="8">
      <c r="A8" t="inlineStr">
        <is>
          <t>Sensor 高度</t>
        </is>
      </c>
      <c r="B8" s="7">
        <f>B4*B6/1000</f>
        <v/>
      </c>
      <c r="C8" t="inlineStr">
        <is>
          <t>mm</t>
        </is>
      </c>
      <c r="G8" s="6" t="inlineStr">
        <is>
          <t>目標範圍</t>
        </is>
      </c>
      <c r="H8" s="7">
        <f>IF(MAX(P19:P458)&gt;MAX(D19:D2018),"警告：超出畸變表","OK")</f>
        <v/>
      </c>
      <c r="J8" s="8" t="n">
        <v>-1</v>
      </c>
      <c r="K8" s="8">
        <f>$E$4+J8*$E$5</f>
        <v/>
      </c>
      <c r="L8" s="8">
        <f>$B$8/K8</f>
        <v/>
      </c>
      <c r="M8" s="8">
        <f>(2*$E$7-1)*L8</f>
        <v/>
      </c>
      <c r="N8" s="8">
        <f>2*M8+L8</f>
        <v/>
      </c>
      <c r="O8" s="8">
        <f>O9-N9/2-MIN(L8,L9)-N8/2</f>
        <v/>
      </c>
      <c r="P8" s="8">
        <f>$B$8/2-$E$6*$B$8/2</f>
        <v/>
      </c>
    </row>
    <row r="9">
      <c r="A9" t="inlineStr">
        <is>
          <t>Lens 有效焦距 EFL</t>
        </is>
      </c>
      <c r="B9" s="5" t="n">
        <v>4</v>
      </c>
      <c r="C9" t="inlineStr">
        <is>
          <t>mm</t>
        </is>
      </c>
      <c r="D9" s="9" t="inlineStr">
        <is>
          <t>第一象限位置：X 向右、Y 向上。
指定 TV本的橫／豎線組合中心位於半對角線指定倍率。
橫線組在左、豎線組在右；11 級由低至高向右排列。</t>
        </is>
      </c>
      <c r="G9" s="6" t="inlineStr">
        <is>
          <t>Sensor 裁切</t>
        </is>
      </c>
      <c r="H9" s="7">
        <f>IF(OR(MIN(L19:L458)&lt;0,MAX(L19:L458)&gt;$B$7,MIN(M19:M458)&lt;0,MAX(M19:M458)&gt;$B$8),"警告：Chart 超出 Sensor","OK")</f>
        <v/>
      </c>
      <c r="J9" s="8" t="n">
        <v>0</v>
      </c>
      <c r="K9" s="8">
        <f>$E$4+J9*$E$5</f>
        <v/>
      </c>
      <c r="L9" s="8">
        <f>$B$8/K9</f>
        <v/>
      </c>
      <c r="M9" s="8">
        <f>(2*$E$7-1)*L9</f>
        <v/>
      </c>
      <c r="N9" s="8">
        <f>2*M9+L9</f>
        <v/>
      </c>
      <c r="O9" s="8">
        <f>$B$7/2+$E$6*$B$7/2</f>
        <v/>
      </c>
      <c r="P9" s="8">
        <f>$B$8/2-$E$6*$B$8/2</f>
        <v/>
      </c>
    </row>
    <row r="10">
      <c r="A10" t="inlineStr">
        <is>
          <t>物方平面至入瞳距離</t>
        </is>
      </c>
      <c r="B10" s="5" t="n">
        <v>1000</v>
      </c>
      <c r="C10" t="inlineStr">
        <is>
          <t>mm</t>
        </is>
      </c>
      <c r="J10" s="8" t="n">
        <v>1</v>
      </c>
      <c r="K10" s="8">
        <f>$E$4+J10*$E$5</f>
        <v/>
      </c>
      <c r="L10" s="8">
        <f>$B$8/K10</f>
        <v/>
      </c>
      <c r="M10" s="8">
        <f>(2*$E$7-1)*L10</f>
        <v/>
      </c>
      <c r="N10" s="8">
        <f>2*M10+L10</f>
        <v/>
      </c>
      <c r="O10" s="8">
        <f>O9+N9/2+MIN(L9,L10)+N10/2</f>
        <v/>
      </c>
      <c r="P10" s="8">
        <f>$B$8/2-$E$6*$B$8/2</f>
        <v/>
      </c>
    </row>
    <row r="11">
      <c r="J11" s="8" t="n">
        <v>2</v>
      </c>
      <c r="K11" s="8">
        <f>$E$4+J11*$E$5</f>
        <v/>
      </c>
      <c r="L11" s="8">
        <f>$B$8/K11</f>
        <v/>
      </c>
      <c r="M11" s="8">
        <f>(2*$E$7-1)*L11</f>
        <v/>
      </c>
      <c r="N11" s="8">
        <f>2*M11+L11</f>
        <v/>
      </c>
      <c r="O11" s="8">
        <f>O10+N10/2+MIN(L10,L11)+N11/2</f>
        <v/>
      </c>
      <c r="P11" s="8">
        <f>$B$8/2-$E$6*$B$8/2</f>
        <v/>
      </c>
    </row>
    <row r="12">
      <c r="J12" s="8" t="n">
        <v>3</v>
      </c>
      <c r="K12" s="8">
        <f>$E$4+J12*$E$5</f>
        <v/>
      </c>
      <c r="L12" s="8">
        <f>$B$8/K12</f>
        <v/>
      </c>
      <c r="M12" s="8">
        <f>(2*$E$7-1)*L12</f>
        <v/>
      </c>
      <c r="N12" s="8">
        <f>2*M12+L12</f>
        <v/>
      </c>
      <c r="O12" s="8">
        <f>O11+N11/2+MIN(L11,L12)+N12/2</f>
        <v/>
      </c>
      <c r="P12" s="8">
        <f>$B$8/2-$E$6*$B$8/2</f>
        <v/>
      </c>
    </row>
    <row r="13">
      <c r="J13" s="8" t="n">
        <v>4</v>
      </c>
      <c r="K13" s="8">
        <f>$E$4+J13*$E$5</f>
        <v/>
      </c>
      <c r="L13" s="8">
        <f>$B$8/K13</f>
        <v/>
      </c>
      <c r="M13" s="8">
        <f>(2*$E$7-1)*L13</f>
        <v/>
      </c>
      <c r="N13" s="8">
        <f>2*M13+L13</f>
        <v/>
      </c>
      <c r="O13" s="8">
        <f>O12+N12/2+MIN(L12,L13)+N13/2</f>
        <v/>
      </c>
      <c r="P13" s="8">
        <f>$B$8/2-$E$6*$B$8/2</f>
        <v/>
      </c>
    </row>
    <row r="14">
      <c r="J14" s="8" t="n">
        <v>5</v>
      </c>
      <c r="K14" s="8">
        <f>$E$4+J14*$E$5</f>
        <v/>
      </c>
      <c r="L14" s="8">
        <f>$B$8/K14</f>
        <v/>
      </c>
      <c r="M14" s="8">
        <f>(2*$E$7-1)*L14</f>
        <v/>
      </c>
      <c r="N14" s="8">
        <f>2*M14+L14</f>
        <v/>
      </c>
      <c r="O14" s="8">
        <f>O13+N13/2+MIN(L13,L14)+N14/2</f>
        <v/>
      </c>
      <c r="P14" s="8">
        <f>$B$8/2-$E$6*$B$8/2</f>
        <v/>
      </c>
    </row>
    <row r="17">
      <c r="A17" s="3" t="inlineStr">
        <is>
          <t>Lens distortion table（最多 2000 筆）</t>
        </is>
      </c>
      <c r="G17" s="3" t="inlineStr">
        <is>
          <t>440 點：Sensor 圖形、物方 CAD 座標與正向驗證</t>
        </is>
      </c>
    </row>
    <row r="18" ht="42" customHeight="1">
      <c r="A18" s="10" t="inlineStr">
        <is>
          <t>半視角 θ
(degree)</t>
        </is>
      </c>
      <c r="B18" s="10" t="inlineStr">
        <is>
          <t>Optical distortion
(%)</t>
        </is>
      </c>
      <c r="C18" s="10" t="inlineStr">
        <is>
          <t>理想像高
(mm)</t>
        </is>
      </c>
      <c r="D18" s="10" t="inlineStr">
        <is>
          <t>畸變像高
(mm)</t>
        </is>
      </c>
      <c r="E18" s="10" t="inlineStr">
        <is>
          <t>物方半徑
(mm)</t>
        </is>
      </c>
      <c r="G18" s="10" t="inlineStr">
        <is>
          <t>ID</t>
        </is>
      </c>
      <c r="H18" s="10" t="inlineStr">
        <is>
          <t>TV本</t>
        </is>
      </c>
      <c r="I18" s="10" t="inlineStr">
        <is>
          <t>方向</t>
        </is>
      </c>
      <c r="J18" s="10" t="inlineStr">
        <is>
          <t>線號</t>
        </is>
      </c>
      <c r="K18" s="10" t="inlineStr">
        <is>
          <t>角點</t>
        </is>
      </c>
      <c r="L18" s="10" t="inlineStr">
        <is>
          <t>Sensor X
(mm)</t>
        </is>
      </c>
      <c r="M18" s="10" t="inlineStr">
        <is>
          <t>Sensor Y
(mm)</t>
        </is>
      </c>
      <c r="N18" s="10" t="inlineStr">
        <is>
          <t>中心座標 X
(mm)</t>
        </is>
      </c>
      <c r="O18" s="10" t="inlineStr">
        <is>
          <t>中心座標 Y
(mm)</t>
        </is>
      </c>
      <c r="P18" s="10" t="inlineStr">
        <is>
          <t>像高
(mm)</t>
        </is>
      </c>
      <c r="Q18" s="10" t="inlineStr">
        <is>
          <t>半視角
(degree)</t>
        </is>
      </c>
      <c r="R18" s="10" t="inlineStr">
        <is>
          <t>CAD X
(mm)</t>
        </is>
      </c>
      <c r="S18" s="10" t="inlineStr">
        <is>
          <t>CAD Y
(mm)</t>
        </is>
      </c>
      <c r="T18" s="10" t="inlineStr">
        <is>
          <t>驗證 X
(mm)</t>
        </is>
      </c>
      <c r="U18" s="10" t="inlineStr">
        <is>
          <t>驗證 Y
(mm)</t>
        </is>
      </c>
      <c r="V18" s="10" t="inlineStr">
        <is>
          <t>誤差
(mm)</t>
        </is>
      </c>
    </row>
    <row r="19">
      <c r="A19" s="11" t="n">
        <v>0</v>
      </c>
      <c r="B19" s="11" t="n">
        <v>0</v>
      </c>
      <c r="C19" s="12">
        <f>IF(A19="","",$B$9*TAN(RADIANS(A19)))</f>
        <v/>
      </c>
      <c r="D19" s="12">
        <f>IF(C19="","",C19*(1+B19/100))</f>
        <v/>
      </c>
      <c r="E19" s="12">
        <f>IF(A19="","",$B$10*TAN(RADIANS(A19)))</f>
        <v/>
      </c>
      <c r="G19" s="8" t="n">
        <v>1</v>
      </c>
      <c r="H19" s="8">
        <f>$K$4</f>
        <v/>
      </c>
      <c r="I19" s="7" t="inlineStr">
        <is>
          <t>橫</t>
        </is>
      </c>
      <c r="J19" s="8" t="n">
        <v>1</v>
      </c>
      <c r="K19" s="7" t="inlineStr">
        <is>
          <t>左上</t>
        </is>
      </c>
      <c r="L19" s="8">
        <f>$O$4-($M$4+$L$4)/2+(-1)*$M$4/2</f>
        <v/>
      </c>
      <c r="M19" s="8">
        <f>$P$4-$M$4/2+$L$4/2+0*2*$L$4+(-1)*$L$4/2</f>
        <v/>
      </c>
      <c r="N19" s="8">
        <f>L19-$B$7/2</f>
        <v/>
      </c>
      <c r="O19" s="8">
        <f>M19-$B$8/2</f>
        <v/>
      </c>
      <c r="P19" s="8">
        <f>SQRT(N19^2+O19^2)</f>
        <v/>
      </c>
      <c r="Q19" s="8">
        <f>IF(OR($H$7&lt;&gt;"OK",P19=""),"",IF(P19&lt;=$D$19,$A$19,IF(P19&gt;=INDEX($D$19:$D$2018,$H$6),INDEX($A$19:$A$2018,$H$6),INDEX($A$19:$A$2018,MATCH(P19,$D$19:INDEX($D$19:$D$2018,$H$6),1))+(P19-INDEX($D$19:$D$2018,MATCH(P19,$D$19:INDEX($D$19:$D$2018,$H$6),1)))*(INDEX($A$19:$A$2018,MATCH(P19,$D$19:INDEX($D$19:$D$2018,$H$6),1)+1)-INDEX($A$19:$A$2018,MATCH(P19,$D$19:INDEX($D$19:$D$2018,$H$6),1)))/(INDEX($D$19:$D$2018,MATCH(P19,$D$19:INDEX($D$19:$D$2018,$H$6),1)+1)-INDEX($D$19:$D$2018,MATCH(P19,$D$19:INDEX($D$19:$D$2018,$H$6),1))))))</f>
        <v/>
      </c>
      <c r="R19" s="8">
        <f>IF(P19=0,0,-Y19*N19/P19)</f>
        <v/>
      </c>
      <c r="S19" s="8">
        <f>IF(P19=0,0,Y19*O19/P19)</f>
        <v/>
      </c>
      <c r="T19" s="8">
        <f>IF(Y19=0,$B$7/2,$B$7/2-Z19*R19/Y19)</f>
        <v/>
      </c>
      <c r="U19" s="8">
        <f>IF(Y19=0,$B$8/2,$B$8/2+Z19*S19/Y19)</f>
        <v/>
      </c>
      <c r="V19" s="8">
        <f>SQRT((T19-L19)^2+(U19-M19)^2)</f>
        <v/>
      </c>
      <c r="Y19">
        <f>$B$10*TAN(RADIANS(Q19))</f>
        <v/>
      </c>
      <c r="Z19">
        <f>IF(OR($H$7&lt;&gt;"OK",Q19=""),"",IF(Q19&lt;=$A$19,$D$19,IF(Q19&gt;=INDEX($A$19:$A$2018,$H$6),INDEX($D$19:$D$2018,$H$6),INDEX($D$19:$D$2018,MATCH(Q19,$A$19:INDEX($A$19:$A$2018,$H$6),1))+(Q19-INDEX($A$19:$A$2018,MATCH(Q19,$A$19:INDEX($A$19:$A$2018,$H$6),1)))*(INDEX($D$19:$D$2018,MATCH(Q19,$A$19:INDEX($A$19:$A$2018,$H$6),1)+1)-INDEX($D$19:$D$2018,MATCH(Q19,$A$19:INDEX($A$19:$A$2018,$H$6),1)))/(INDEX($A$19:$A$2018,MATCH(Q19,$A$19:INDEX($A$19:$A$2018,$H$6),1)+1)-INDEX($A$19:$A$2018,MATCH(Q19,$A$19:INDEX($A$19:$A$2018,$H$6),1))))))</f>
        <v/>
      </c>
    </row>
    <row r="20">
      <c r="A20" s="11" t="n">
        <v>10</v>
      </c>
      <c r="B20" s="11" t="n">
        <v>-0.5</v>
      </c>
      <c r="C20" s="12">
        <f>IF(A20="","",$B$9*TAN(RADIANS(A20)))</f>
        <v/>
      </c>
      <c r="D20" s="12">
        <f>IF(C20="","",C20*(1+B20/100))</f>
        <v/>
      </c>
      <c r="E20" s="12">
        <f>IF(A20="","",$B$10*TAN(RADIANS(A20)))</f>
        <v/>
      </c>
      <c r="G20" s="8" t="n">
        <v>2</v>
      </c>
      <c r="H20" s="8">
        <f>$K$4</f>
        <v/>
      </c>
      <c r="I20" s="7" t="inlineStr">
        <is>
          <t>橫</t>
        </is>
      </c>
      <c r="J20" s="8" t="n">
        <v>1</v>
      </c>
      <c r="K20" s="7" t="inlineStr">
        <is>
          <t>右上</t>
        </is>
      </c>
      <c r="L20" s="8">
        <f>$O$4-($M$4+$L$4)/2+(1)*$M$4/2</f>
        <v/>
      </c>
      <c r="M20" s="8">
        <f>$P$4-$M$4/2+$L$4/2+0*2*$L$4+(-1)*$L$4/2</f>
        <v/>
      </c>
      <c r="N20" s="8">
        <f>L20-$B$7/2</f>
        <v/>
      </c>
      <c r="O20" s="8">
        <f>M20-$B$8/2</f>
        <v/>
      </c>
      <c r="P20" s="8">
        <f>SQRT(N20^2+O20^2)</f>
        <v/>
      </c>
      <c r="Q20" s="8">
        <f>IF(OR($H$7&lt;&gt;"OK",P20=""),"",IF(P20&lt;=$D$19,$A$19,IF(P20&gt;=INDEX($D$19:$D$2018,$H$6),INDEX($A$19:$A$2018,$H$6),INDEX($A$19:$A$2018,MATCH(P20,$D$19:INDEX($D$19:$D$2018,$H$6),1))+(P20-INDEX($D$19:$D$2018,MATCH(P20,$D$19:INDEX($D$19:$D$2018,$H$6),1)))*(INDEX($A$19:$A$2018,MATCH(P20,$D$19:INDEX($D$19:$D$2018,$H$6),1)+1)-INDEX($A$19:$A$2018,MATCH(P20,$D$19:INDEX($D$19:$D$2018,$H$6),1)))/(INDEX($D$19:$D$2018,MATCH(P20,$D$19:INDEX($D$19:$D$2018,$H$6),1)+1)-INDEX($D$19:$D$2018,MATCH(P20,$D$19:INDEX($D$19:$D$2018,$H$6),1))))))</f>
        <v/>
      </c>
      <c r="R20" s="8">
        <f>IF(P20=0,0,-Y20*N20/P20)</f>
        <v/>
      </c>
      <c r="S20" s="8">
        <f>IF(P20=0,0,Y20*O20/P20)</f>
        <v/>
      </c>
      <c r="T20" s="8">
        <f>IF(Y20=0,$B$7/2,$B$7/2-Z20*R20/Y20)</f>
        <v/>
      </c>
      <c r="U20" s="8">
        <f>IF(Y20=0,$B$8/2,$B$8/2+Z20*S20/Y20)</f>
        <v/>
      </c>
      <c r="V20" s="8">
        <f>SQRT((T20-L20)^2+(U20-M20)^2)</f>
        <v/>
      </c>
      <c r="Y20">
        <f>$B$10*TAN(RADIANS(Q20))</f>
        <v/>
      </c>
      <c r="Z20">
        <f>IF(OR($H$7&lt;&gt;"OK",Q20=""),"",IF(Q20&lt;=$A$19,$D$19,IF(Q20&gt;=INDEX($A$19:$A$2018,$H$6),INDEX($D$19:$D$2018,$H$6),INDEX($D$19:$D$2018,MATCH(Q20,$A$19:INDEX($A$19:$A$2018,$H$6),1))+(Q20-INDEX($A$19:$A$2018,MATCH(Q20,$A$19:INDEX($A$19:$A$2018,$H$6),1)))*(INDEX($D$19:$D$2018,MATCH(Q20,$A$19:INDEX($A$19:$A$2018,$H$6),1)+1)-INDEX($D$19:$D$2018,MATCH(Q20,$A$19:INDEX($A$19:$A$2018,$H$6),1)))/(INDEX($A$19:$A$2018,MATCH(Q20,$A$19:INDEX($A$19:$A$2018,$H$6),1)+1)-INDEX($A$19:$A$2018,MATCH(Q20,$A$19:INDEX($A$19:$A$2018,$H$6),1))))))</f>
        <v/>
      </c>
    </row>
    <row r="21">
      <c r="A21" s="11" t="n">
        <v>20</v>
      </c>
      <c r="B21" s="11" t="n">
        <v>-2</v>
      </c>
      <c r="C21" s="12">
        <f>IF(A21="","",$B$9*TAN(RADIANS(A21)))</f>
        <v/>
      </c>
      <c r="D21" s="12">
        <f>IF(C21="","",C21*(1+B21/100))</f>
        <v/>
      </c>
      <c r="E21" s="12">
        <f>IF(A21="","",$B$10*TAN(RADIANS(A21)))</f>
        <v/>
      </c>
      <c r="G21" s="8" t="n">
        <v>3</v>
      </c>
      <c r="H21" s="8">
        <f>$K$4</f>
        <v/>
      </c>
      <c r="I21" s="7" t="inlineStr">
        <is>
          <t>橫</t>
        </is>
      </c>
      <c r="J21" s="8" t="n">
        <v>1</v>
      </c>
      <c r="K21" s="7" t="inlineStr">
        <is>
          <t>右下</t>
        </is>
      </c>
      <c r="L21" s="8">
        <f>$O$4-($M$4+$L$4)/2+(1)*$M$4/2</f>
        <v/>
      </c>
      <c r="M21" s="8">
        <f>$P$4-$M$4/2+$L$4/2+0*2*$L$4+(1)*$L$4/2</f>
        <v/>
      </c>
      <c r="N21" s="8">
        <f>L21-$B$7/2</f>
        <v/>
      </c>
      <c r="O21" s="8">
        <f>M21-$B$8/2</f>
        <v/>
      </c>
      <c r="P21" s="8">
        <f>SQRT(N21^2+O21^2)</f>
        <v/>
      </c>
      <c r="Q21" s="8">
        <f>IF(OR($H$7&lt;&gt;"OK",P21=""),"",IF(P21&lt;=$D$19,$A$19,IF(P21&gt;=INDEX($D$19:$D$2018,$H$6),INDEX($A$19:$A$2018,$H$6),INDEX($A$19:$A$2018,MATCH(P21,$D$19:INDEX($D$19:$D$2018,$H$6),1))+(P21-INDEX($D$19:$D$2018,MATCH(P21,$D$19:INDEX($D$19:$D$2018,$H$6),1)))*(INDEX($A$19:$A$2018,MATCH(P21,$D$19:INDEX($D$19:$D$2018,$H$6),1)+1)-INDEX($A$19:$A$2018,MATCH(P21,$D$19:INDEX($D$19:$D$2018,$H$6),1)))/(INDEX($D$19:$D$2018,MATCH(P21,$D$19:INDEX($D$19:$D$2018,$H$6),1)+1)-INDEX($D$19:$D$2018,MATCH(P21,$D$19:INDEX($D$19:$D$2018,$H$6),1))))))</f>
        <v/>
      </c>
      <c r="R21" s="8">
        <f>IF(P21=0,0,-Y21*N21/P21)</f>
        <v/>
      </c>
      <c r="S21" s="8">
        <f>IF(P21=0,0,Y21*O21/P21)</f>
        <v/>
      </c>
      <c r="T21" s="8">
        <f>IF(Y21=0,$B$7/2,$B$7/2-Z21*R21/Y21)</f>
        <v/>
      </c>
      <c r="U21" s="8">
        <f>IF(Y21=0,$B$8/2,$B$8/2+Z21*S21/Y21)</f>
        <v/>
      </c>
      <c r="V21" s="8">
        <f>SQRT((T21-L21)^2+(U21-M21)^2)</f>
        <v/>
      </c>
      <c r="Y21">
        <f>$B$10*TAN(RADIANS(Q21))</f>
        <v/>
      </c>
      <c r="Z21">
        <f>IF(OR($H$7&lt;&gt;"OK",Q21=""),"",IF(Q21&lt;=$A$19,$D$19,IF(Q21&gt;=INDEX($A$19:$A$2018,$H$6),INDEX($D$19:$D$2018,$H$6),INDEX($D$19:$D$2018,MATCH(Q21,$A$19:INDEX($A$19:$A$2018,$H$6),1))+(Q21-INDEX($A$19:$A$2018,MATCH(Q21,$A$19:INDEX($A$19:$A$2018,$H$6),1)))*(INDEX($D$19:$D$2018,MATCH(Q21,$A$19:INDEX($A$19:$A$2018,$H$6),1)+1)-INDEX($D$19:$D$2018,MATCH(Q21,$A$19:INDEX($A$19:$A$2018,$H$6),1)))/(INDEX($A$19:$A$2018,MATCH(Q21,$A$19:INDEX($A$19:$A$2018,$H$6),1)+1)-INDEX($A$19:$A$2018,MATCH(Q21,$A$19:INDEX($A$19:$A$2018,$H$6),1))))))</f>
        <v/>
      </c>
    </row>
    <row r="22">
      <c r="A22" s="11" t="n">
        <v>30</v>
      </c>
      <c r="B22" s="11" t="n">
        <v>-4.5</v>
      </c>
      <c r="C22" s="12">
        <f>IF(A22="","",$B$9*TAN(RADIANS(A22)))</f>
        <v/>
      </c>
      <c r="D22" s="12">
        <f>IF(C22="","",C22*(1+B22/100))</f>
        <v/>
      </c>
      <c r="E22" s="12">
        <f>IF(A22="","",$B$10*TAN(RADIANS(A22)))</f>
        <v/>
      </c>
      <c r="G22" s="8" t="n">
        <v>4</v>
      </c>
      <c r="H22" s="8">
        <f>$K$4</f>
        <v/>
      </c>
      <c r="I22" s="7" t="inlineStr">
        <is>
          <t>橫</t>
        </is>
      </c>
      <c r="J22" s="8" t="n">
        <v>1</v>
      </c>
      <c r="K22" s="7" t="inlineStr">
        <is>
          <t>左下</t>
        </is>
      </c>
      <c r="L22" s="8">
        <f>$O$4-($M$4+$L$4)/2+(-1)*$M$4/2</f>
        <v/>
      </c>
      <c r="M22" s="8">
        <f>$P$4-$M$4/2+$L$4/2+0*2*$L$4+(1)*$L$4/2</f>
        <v/>
      </c>
      <c r="N22" s="8">
        <f>L22-$B$7/2</f>
        <v/>
      </c>
      <c r="O22" s="8">
        <f>M22-$B$8/2</f>
        <v/>
      </c>
      <c r="P22" s="8">
        <f>SQRT(N22^2+O22^2)</f>
        <v/>
      </c>
      <c r="Q22" s="8">
        <f>IF(OR($H$7&lt;&gt;"OK",P22=""),"",IF(P22&lt;=$D$19,$A$19,IF(P22&gt;=INDEX($D$19:$D$2018,$H$6),INDEX($A$19:$A$2018,$H$6),INDEX($A$19:$A$2018,MATCH(P22,$D$19:INDEX($D$19:$D$2018,$H$6),1))+(P22-INDEX($D$19:$D$2018,MATCH(P22,$D$19:INDEX($D$19:$D$2018,$H$6),1)))*(INDEX($A$19:$A$2018,MATCH(P22,$D$19:INDEX($D$19:$D$2018,$H$6),1)+1)-INDEX($A$19:$A$2018,MATCH(P22,$D$19:INDEX($D$19:$D$2018,$H$6),1)))/(INDEX($D$19:$D$2018,MATCH(P22,$D$19:INDEX($D$19:$D$2018,$H$6),1)+1)-INDEX($D$19:$D$2018,MATCH(P22,$D$19:INDEX($D$19:$D$2018,$H$6),1))))))</f>
        <v/>
      </c>
      <c r="R22" s="8">
        <f>IF(P22=0,0,-Y22*N22/P22)</f>
        <v/>
      </c>
      <c r="S22" s="8">
        <f>IF(P22=0,0,Y22*O22/P22)</f>
        <v/>
      </c>
      <c r="T22" s="8">
        <f>IF(Y22=0,$B$7/2,$B$7/2-Z22*R22/Y22)</f>
        <v/>
      </c>
      <c r="U22" s="8">
        <f>IF(Y22=0,$B$8/2,$B$8/2+Z22*S22/Y22)</f>
        <v/>
      </c>
      <c r="V22" s="8">
        <f>SQRT((T22-L22)^2+(U22-M22)^2)</f>
        <v/>
      </c>
      <c r="Y22">
        <f>$B$10*TAN(RADIANS(Q22))</f>
        <v/>
      </c>
      <c r="Z22">
        <f>IF(OR($H$7&lt;&gt;"OK",Q22=""),"",IF(Q22&lt;=$A$19,$D$19,IF(Q22&gt;=INDEX($A$19:$A$2018,$H$6),INDEX($D$19:$D$2018,$H$6),INDEX($D$19:$D$2018,MATCH(Q22,$A$19:INDEX($A$19:$A$2018,$H$6),1))+(Q22-INDEX($A$19:$A$2018,MATCH(Q22,$A$19:INDEX($A$19:$A$2018,$H$6),1)))*(INDEX($D$19:$D$2018,MATCH(Q22,$A$19:INDEX($A$19:$A$2018,$H$6),1)+1)-INDEX($D$19:$D$2018,MATCH(Q22,$A$19:INDEX($A$19:$A$2018,$H$6),1)))/(INDEX($A$19:$A$2018,MATCH(Q22,$A$19:INDEX($A$19:$A$2018,$H$6),1)+1)-INDEX($A$19:$A$2018,MATCH(Q22,$A$19:INDEX($A$19:$A$2018,$H$6),1))))))</f>
        <v/>
      </c>
    </row>
    <row r="23">
      <c r="A23" s="11" t="n">
        <v>40</v>
      </c>
      <c r="B23" s="11" t="n">
        <v>-8</v>
      </c>
      <c r="C23" s="12">
        <f>IF(A23="","",$B$9*TAN(RADIANS(A23)))</f>
        <v/>
      </c>
      <c r="D23" s="12">
        <f>IF(C23="","",C23*(1+B23/100))</f>
        <v/>
      </c>
      <c r="E23" s="12">
        <f>IF(A23="","",$B$10*TAN(RADIANS(A23)))</f>
        <v/>
      </c>
      <c r="G23" s="8" t="n">
        <v>5</v>
      </c>
      <c r="H23" s="8">
        <f>$K$4</f>
        <v/>
      </c>
      <c r="I23" s="7" t="inlineStr">
        <is>
          <t>橫</t>
        </is>
      </c>
      <c r="J23" s="8" t="n">
        <v>2</v>
      </c>
      <c r="K23" s="7" t="inlineStr">
        <is>
          <t>左上</t>
        </is>
      </c>
      <c r="L23" s="8">
        <f>$O$4-($M$4+$L$4)/2+(-1)*$M$4/2</f>
        <v/>
      </c>
      <c r="M23" s="8">
        <f>$P$4-$M$4/2+$L$4/2+1*2*$L$4+(-1)*$L$4/2</f>
        <v/>
      </c>
      <c r="N23" s="8">
        <f>L23-$B$7/2</f>
        <v/>
      </c>
      <c r="O23" s="8">
        <f>M23-$B$8/2</f>
        <v/>
      </c>
      <c r="P23" s="8">
        <f>SQRT(N23^2+O23^2)</f>
        <v/>
      </c>
      <c r="Q23" s="8">
        <f>IF(OR($H$7&lt;&gt;"OK",P23=""),"",IF(P23&lt;=$D$19,$A$19,IF(P23&gt;=INDEX($D$19:$D$2018,$H$6),INDEX($A$19:$A$2018,$H$6),INDEX($A$19:$A$2018,MATCH(P23,$D$19:INDEX($D$19:$D$2018,$H$6),1))+(P23-INDEX($D$19:$D$2018,MATCH(P23,$D$19:INDEX($D$19:$D$2018,$H$6),1)))*(INDEX($A$19:$A$2018,MATCH(P23,$D$19:INDEX($D$19:$D$2018,$H$6),1)+1)-INDEX($A$19:$A$2018,MATCH(P23,$D$19:INDEX($D$19:$D$2018,$H$6),1)))/(INDEX($D$19:$D$2018,MATCH(P23,$D$19:INDEX($D$19:$D$2018,$H$6),1)+1)-INDEX($D$19:$D$2018,MATCH(P23,$D$19:INDEX($D$19:$D$2018,$H$6),1))))))</f>
        <v/>
      </c>
      <c r="R23" s="8">
        <f>IF(P23=0,0,-Y23*N23/P23)</f>
        <v/>
      </c>
      <c r="S23" s="8">
        <f>IF(P23=0,0,Y23*O23/P23)</f>
        <v/>
      </c>
      <c r="T23" s="8">
        <f>IF(Y23=0,$B$7/2,$B$7/2-Z23*R23/Y23)</f>
        <v/>
      </c>
      <c r="U23" s="8">
        <f>IF(Y23=0,$B$8/2,$B$8/2+Z23*S23/Y23)</f>
        <v/>
      </c>
      <c r="V23" s="8">
        <f>SQRT((T23-L23)^2+(U23-M23)^2)</f>
        <v/>
      </c>
      <c r="Y23">
        <f>$B$10*TAN(RADIANS(Q23))</f>
        <v/>
      </c>
      <c r="Z23">
        <f>IF(OR($H$7&lt;&gt;"OK",Q23=""),"",IF(Q23&lt;=$A$19,$D$19,IF(Q23&gt;=INDEX($A$19:$A$2018,$H$6),INDEX($D$19:$D$2018,$H$6),INDEX($D$19:$D$2018,MATCH(Q23,$A$19:INDEX($A$19:$A$2018,$H$6),1))+(Q23-INDEX($A$19:$A$2018,MATCH(Q23,$A$19:INDEX($A$19:$A$2018,$H$6),1)))*(INDEX($D$19:$D$2018,MATCH(Q23,$A$19:INDEX($A$19:$A$2018,$H$6),1)+1)-INDEX($D$19:$D$2018,MATCH(Q23,$A$19:INDEX($A$19:$A$2018,$H$6),1)))/(INDEX($A$19:$A$2018,MATCH(Q23,$A$19:INDEX($A$19:$A$2018,$H$6),1)+1)-INDEX($A$19:$A$2018,MATCH(Q23,$A$19:INDEX($A$19:$A$2018,$H$6),1))))))</f>
        <v/>
      </c>
    </row>
    <row r="24">
      <c r="A24" s="11" t="n">
        <v>50</v>
      </c>
      <c r="B24" s="11" t="n">
        <v>-12</v>
      </c>
      <c r="C24" s="12">
        <f>IF(A24="","",$B$9*TAN(RADIANS(A24)))</f>
        <v/>
      </c>
      <c r="D24" s="12">
        <f>IF(C24="","",C24*(1+B24/100))</f>
        <v/>
      </c>
      <c r="E24" s="12">
        <f>IF(A24="","",$B$10*TAN(RADIANS(A24)))</f>
        <v/>
      </c>
      <c r="G24" s="8" t="n">
        <v>6</v>
      </c>
      <c r="H24" s="8">
        <f>$K$4</f>
        <v/>
      </c>
      <c r="I24" s="7" t="inlineStr">
        <is>
          <t>橫</t>
        </is>
      </c>
      <c r="J24" s="8" t="n">
        <v>2</v>
      </c>
      <c r="K24" s="7" t="inlineStr">
        <is>
          <t>右上</t>
        </is>
      </c>
      <c r="L24" s="8">
        <f>$O$4-($M$4+$L$4)/2+(1)*$M$4/2</f>
        <v/>
      </c>
      <c r="M24" s="8">
        <f>$P$4-$M$4/2+$L$4/2+1*2*$L$4+(-1)*$L$4/2</f>
        <v/>
      </c>
      <c r="N24" s="8">
        <f>L24-$B$7/2</f>
        <v/>
      </c>
      <c r="O24" s="8">
        <f>M24-$B$8/2</f>
        <v/>
      </c>
      <c r="P24" s="8">
        <f>SQRT(N24^2+O24^2)</f>
        <v/>
      </c>
      <c r="Q24" s="8">
        <f>IF(OR($H$7&lt;&gt;"OK",P24=""),"",IF(P24&lt;=$D$19,$A$19,IF(P24&gt;=INDEX($D$19:$D$2018,$H$6),INDEX($A$19:$A$2018,$H$6),INDEX($A$19:$A$2018,MATCH(P24,$D$19:INDEX($D$19:$D$2018,$H$6),1))+(P24-INDEX($D$19:$D$2018,MATCH(P24,$D$19:INDEX($D$19:$D$2018,$H$6),1)))*(INDEX($A$19:$A$2018,MATCH(P24,$D$19:INDEX($D$19:$D$2018,$H$6),1)+1)-INDEX($A$19:$A$2018,MATCH(P24,$D$19:INDEX($D$19:$D$2018,$H$6),1)))/(INDEX($D$19:$D$2018,MATCH(P24,$D$19:INDEX($D$19:$D$2018,$H$6),1)+1)-INDEX($D$19:$D$2018,MATCH(P24,$D$19:INDEX($D$19:$D$2018,$H$6),1))))))</f>
        <v/>
      </c>
      <c r="R24" s="8">
        <f>IF(P24=0,0,-Y24*N24/P24)</f>
        <v/>
      </c>
      <c r="S24" s="8">
        <f>IF(P24=0,0,Y24*O24/P24)</f>
        <v/>
      </c>
      <c r="T24" s="8">
        <f>IF(Y24=0,$B$7/2,$B$7/2-Z24*R24/Y24)</f>
        <v/>
      </c>
      <c r="U24" s="8">
        <f>IF(Y24=0,$B$8/2,$B$8/2+Z24*S24/Y24)</f>
        <v/>
      </c>
      <c r="V24" s="8">
        <f>SQRT((T24-L24)^2+(U24-M24)^2)</f>
        <v/>
      </c>
      <c r="Y24">
        <f>$B$10*TAN(RADIANS(Q24))</f>
        <v/>
      </c>
      <c r="Z24">
        <f>IF(OR($H$7&lt;&gt;"OK",Q24=""),"",IF(Q24&lt;=$A$19,$D$19,IF(Q24&gt;=INDEX($A$19:$A$2018,$H$6),INDEX($D$19:$D$2018,$H$6),INDEX($D$19:$D$2018,MATCH(Q24,$A$19:INDEX($A$19:$A$2018,$H$6),1))+(Q24-INDEX($A$19:$A$2018,MATCH(Q24,$A$19:INDEX($A$19:$A$2018,$H$6),1)))*(INDEX($D$19:$D$2018,MATCH(Q24,$A$19:INDEX($A$19:$A$2018,$H$6),1)+1)-INDEX($D$19:$D$2018,MATCH(Q24,$A$19:INDEX($A$19:$A$2018,$H$6),1)))/(INDEX($A$19:$A$2018,MATCH(Q24,$A$19:INDEX($A$19:$A$2018,$H$6),1)+1)-INDEX($A$19:$A$2018,MATCH(Q24,$A$19:INDEX($A$19:$A$2018,$H$6),1))))))</f>
        <v/>
      </c>
    </row>
    <row r="25">
      <c r="A25" s="11" t="n"/>
      <c r="B25" s="11" t="n"/>
      <c r="C25" s="12">
        <f>IF(A25="","",$B$9*TAN(RADIANS(A25)))</f>
        <v/>
      </c>
      <c r="D25" s="12">
        <f>IF(C25="","",C25*(1+B25/100))</f>
        <v/>
      </c>
      <c r="E25" s="12">
        <f>IF(A25="","",$B$10*TAN(RADIANS(A25)))</f>
        <v/>
      </c>
      <c r="G25" s="8" t="n">
        <v>7</v>
      </c>
      <c r="H25" s="8">
        <f>$K$4</f>
        <v/>
      </c>
      <c r="I25" s="7" t="inlineStr">
        <is>
          <t>橫</t>
        </is>
      </c>
      <c r="J25" s="8" t="n">
        <v>2</v>
      </c>
      <c r="K25" s="7" t="inlineStr">
        <is>
          <t>右下</t>
        </is>
      </c>
      <c r="L25" s="8">
        <f>$O$4-($M$4+$L$4)/2+(1)*$M$4/2</f>
        <v/>
      </c>
      <c r="M25" s="8">
        <f>$P$4-$M$4/2+$L$4/2+1*2*$L$4+(1)*$L$4/2</f>
        <v/>
      </c>
      <c r="N25" s="8">
        <f>L25-$B$7/2</f>
        <v/>
      </c>
      <c r="O25" s="8">
        <f>M25-$B$8/2</f>
        <v/>
      </c>
      <c r="P25" s="8">
        <f>SQRT(N25^2+O25^2)</f>
        <v/>
      </c>
      <c r="Q25" s="8">
        <f>IF(OR($H$7&lt;&gt;"OK",P25=""),"",IF(P25&lt;=$D$19,$A$19,IF(P25&gt;=INDEX($D$19:$D$2018,$H$6),INDEX($A$19:$A$2018,$H$6),INDEX($A$19:$A$2018,MATCH(P25,$D$19:INDEX($D$19:$D$2018,$H$6),1))+(P25-INDEX($D$19:$D$2018,MATCH(P25,$D$19:INDEX($D$19:$D$2018,$H$6),1)))*(INDEX($A$19:$A$2018,MATCH(P25,$D$19:INDEX($D$19:$D$2018,$H$6),1)+1)-INDEX($A$19:$A$2018,MATCH(P25,$D$19:INDEX($D$19:$D$2018,$H$6),1)))/(INDEX($D$19:$D$2018,MATCH(P25,$D$19:INDEX($D$19:$D$2018,$H$6),1)+1)-INDEX($D$19:$D$2018,MATCH(P25,$D$19:INDEX($D$19:$D$2018,$H$6),1))))))</f>
        <v/>
      </c>
      <c r="R25" s="8">
        <f>IF(P25=0,0,-Y25*N25/P25)</f>
        <v/>
      </c>
      <c r="S25" s="8">
        <f>IF(P25=0,0,Y25*O25/P25)</f>
        <v/>
      </c>
      <c r="T25" s="8">
        <f>IF(Y25=0,$B$7/2,$B$7/2-Z25*R25/Y25)</f>
        <v/>
      </c>
      <c r="U25" s="8">
        <f>IF(Y25=0,$B$8/2,$B$8/2+Z25*S25/Y25)</f>
        <v/>
      </c>
      <c r="V25" s="8">
        <f>SQRT((T25-L25)^2+(U25-M25)^2)</f>
        <v/>
      </c>
      <c r="Y25">
        <f>$B$10*TAN(RADIANS(Q25))</f>
        <v/>
      </c>
      <c r="Z25">
        <f>IF(OR($H$7&lt;&gt;"OK",Q25=""),"",IF(Q25&lt;=$A$19,$D$19,IF(Q25&gt;=INDEX($A$19:$A$2018,$H$6),INDEX($D$19:$D$2018,$H$6),INDEX($D$19:$D$2018,MATCH(Q25,$A$19:INDEX($A$19:$A$2018,$H$6),1))+(Q25-INDEX($A$19:$A$2018,MATCH(Q25,$A$19:INDEX($A$19:$A$2018,$H$6),1)))*(INDEX($D$19:$D$2018,MATCH(Q25,$A$19:INDEX($A$19:$A$2018,$H$6),1)+1)-INDEX($D$19:$D$2018,MATCH(Q25,$A$19:INDEX($A$19:$A$2018,$H$6),1)))/(INDEX($A$19:$A$2018,MATCH(Q25,$A$19:INDEX($A$19:$A$2018,$H$6),1)+1)-INDEX($A$19:$A$2018,MATCH(Q25,$A$19:INDEX($A$19:$A$2018,$H$6),1))))))</f>
        <v/>
      </c>
    </row>
    <row r="26">
      <c r="A26" s="11" t="n"/>
      <c r="B26" s="11" t="n"/>
      <c r="C26" s="12">
        <f>IF(A26="","",$B$9*TAN(RADIANS(A26)))</f>
        <v/>
      </c>
      <c r="D26" s="12">
        <f>IF(C26="","",C26*(1+B26/100))</f>
        <v/>
      </c>
      <c r="E26" s="12">
        <f>IF(A26="","",$B$10*TAN(RADIANS(A26)))</f>
        <v/>
      </c>
      <c r="G26" s="8" t="n">
        <v>8</v>
      </c>
      <c r="H26" s="8">
        <f>$K$4</f>
        <v/>
      </c>
      <c r="I26" s="7" t="inlineStr">
        <is>
          <t>橫</t>
        </is>
      </c>
      <c r="J26" s="8" t="n">
        <v>2</v>
      </c>
      <c r="K26" s="7" t="inlineStr">
        <is>
          <t>左下</t>
        </is>
      </c>
      <c r="L26" s="8">
        <f>$O$4-($M$4+$L$4)/2+(-1)*$M$4/2</f>
        <v/>
      </c>
      <c r="M26" s="8">
        <f>$P$4-$M$4/2+$L$4/2+1*2*$L$4+(1)*$L$4/2</f>
        <v/>
      </c>
      <c r="N26" s="8">
        <f>L26-$B$7/2</f>
        <v/>
      </c>
      <c r="O26" s="8">
        <f>M26-$B$8/2</f>
        <v/>
      </c>
      <c r="P26" s="8">
        <f>SQRT(N26^2+O26^2)</f>
        <v/>
      </c>
      <c r="Q26" s="8">
        <f>IF(OR($H$7&lt;&gt;"OK",P26=""),"",IF(P26&lt;=$D$19,$A$19,IF(P26&gt;=INDEX($D$19:$D$2018,$H$6),INDEX($A$19:$A$2018,$H$6),INDEX($A$19:$A$2018,MATCH(P26,$D$19:INDEX($D$19:$D$2018,$H$6),1))+(P26-INDEX($D$19:$D$2018,MATCH(P26,$D$19:INDEX($D$19:$D$2018,$H$6),1)))*(INDEX($A$19:$A$2018,MATCH(P26,$D$19:INDEX($D$19:$D$2018,$H$6),1)+1)-INDEX($A$19:$A$2018,MATCH(P26,$D$19:INDEX($D$19:$D$2018,$H$6),1)))/(INDEX($D$19:$D$2018,MATCH(P26,$D$19:INDEX($D$19:$D$2018,$H$6),1)+1)-INDEX($D$19:$D$2018,MATCH(P26,$D$19:INDEX($D$19:$D$2018,$H$6),1))))))</f>
        <v/>
      </c>
      <c r="R26" s="8">
        <f>IF(P26=0,0,-Y26*N26/P26)</f>
        <v/>
      </c>
      <c r="S26" s="8">
        <f>IF(P26=0,0,Y26*O26/P26)</f>
        <v/>
      </c>
      <c r="T26" s="8">
        <f>IF(Y26=0,$B$7/2,$B$7/2-Z26*R26/Y26)</f>
        <v/>
      </c>
      <c r="U26" s="8">
        <f>IF(Y26=0,$B$8/2,$B$8/2+Z26*S26/Y26)</f>
        <v/>
      </c>
      <c r="V26" s="8">
        <f>SQRT((T26-L26)^2+(U26-M26)^2)</f>
        <v/>
      </c>
      <c r="Y26">
        <f>$B$10*TAN(RADIANS(Q26))</f>
        <v/>
      </c>
      <c r="Z26">
        <f>IF(OR($H$7&lt;&gt;"OK",Q26=""),"",IF(Q26&lt;=$A$19,$D$19,IF(Q26&gt;=INDEX($A$19:$A$2018,$H$6),INDEX($D$19:$D$2018,$H$6),INDEX($D$19:$D$2018,MATCH(Q26,$A$19:INDEX($A$19:$A$2018,$H$6),1))+(Q26-INDEX($A$19:$A$2018,MATCH(Q26,$A$19:INDEX($A$19:$A$2018,$H$6),1)))*(INDEX($D$19:$D$2018,MATCH(Q26,$A$19:INDEX($A$19:$A$2018,$H$6),1)+1)-INDEX($D$19:$D$2018,MATCH(Q26,$A$19:INDEX($A$19:$A$2018,$H$6),1)))/(INDEX($A$19:$A$2018,MATCH(Q26,$A$19:INDEX($A$19:$A$2018,$H$6),1)+1)-INDEX($A$19:$A$2018,MATCH(Q26,$A$19:INDEX($A$19:$A$2018,$H$6),1))))))</f>
        <v/>
      </c>
    </row>
    <row r="27">
      <c r="A27" s="11" t="n"/>
      <c r="B27" s="11" t="n"/>
      <c r="C27" s="12">
        <f>IF(A27="","",$B$9*TAN(RADIANS(A27)))</f>
        <v/>
      </c>
      <c r="D27" s="12">
        <f>IF(C27="","",C27*(1+B27/100))</f>
        <v/>
      </c>
      <c r="E27" s="12">
        <f>IF(A27="","",$B$10*TAN(RADIANS(A27)))</f>
        <v/>
      </c>
      <c r="G27" s="8" t="n">
        <v>9</v>
      </c>
      <c r="H27" s="8">
        <f>$K$4</f>
        <v/>
      </c>
      <c r="I27" s="7" t="inlineStr">
        <is>
          <t>橫</t>
        </is>
      </c>
      <c r="J27" s="8" t="n">
        <v>3</v>
      </c>
      <c r="K27" s="7" t="inlineStr">
        <is>
          <t>左上</t>
        </is>
      </c>
      <c r="L27" s="8">
        <f>$O$4-($M$4+$L$4)/2+(-1)*$M$4/2</f>
        <v/>
      </c>
      <c r="M27" s="8">
        <f>$P$4-$M$4/2+$L$4/2+2*2*$L$4+(-1)*$L$4/2</f>
        <v/>
      </c>
      <c r="N27" s="8">
        <f>L27-$B$7/2</f>
        <v/>
      </c>
      <c r="O27" s="8">
        <f>M27-$B$8/2</f>
        <v/>
      </c>
      <c r="P27" s="8">
        <f>SQRT(N27^2+O27^2)</f>
        <v/>
      </c>
      <c r="Q27" s="8">
        <f>IF(OR($H$7&lt;&gt;"OK",P27=""),"",IF(P27&lt;=$D$19,$A$19,IF(P27&gt;=INDEX($D$19:$D$2018,$H$6),INDEX($A$19:$A$2018,$H$6),INDEX($A$19:$A$2018,MATCH(P27,$D$19:INDEX($D$19:$D$2018,$H$6),1))+(P27-INDEX($D$19:$D$2018,MATCH(P27,$D$19:INDEX($D$19:$D$2018,$H$6),1)))*(INDEX($A$19:$A$2018,MATCH(P27,$D$19:INDEX($D$19:$D$2018,$H$6),1)+1)-INDEX($A$19:$A$2018,MATCH(P27,$D$19:INDEX($D$19:$D$2018,$H$6),1)))/(INDEX($D$19:$D$2018,MATCH(P27,$D$19:INDEX($D$19:$D$2018,$H$6),1)+1)-INDEX($D$19:$D$2018,MATCH(P27,$D$19:INDEX($D$19:$D$2018,$H$6),1))))))</f>
        <v/>
      </c>
      <c r="R27" s="8">
        <f>IF(P27=0,0,-Y27*N27/P27)</f>
        <v/>
      </c>
      <c r="S27" s="8">
        <f>IF(P27=0,0,Y27*O27/P27)</f>
        <v/>
      </c>
      <c r="T27" s="8">
        <f>IF(Y27=0,$B$7/2,$B$7/2-Z27*R27/Y27)</f>
        <v/>
      </c>
      <c r="U27" s="8">
        <f>IF(Y27=0,$B$8/2,$B$8/2+Z27*S27/Y27)</f>
        <v/>
      </c>
      <c r="V27" s="8">
        <f>SQRT((T27-L27)^2+(U27-M27)^2)</f>
        <v/>
      </c>
      <c r="Y27">
        <f>$B$10*TAN(RADIANS(Q27))</f>
        <v/>
      </c>
      <c r="Z27">
        <f>IF(OR($H$7&lt;&gt;"OK",Q27=""),"",IF(Q27&lt;=$A$19,$D$19,IF(Q27&gt;=INDEX($A$19:$A$2018,$H$6),INDEX($D$19:$D$2018,$H$6),INDEX($D$19:$D$2018,MATCH(Q27,$A$19:INDEX($A$19:$A$2018,$H$6),1))+(Q27-INDEX($A$19:$A$2018,MATCH(Q27,$A$19:INDEX($A$19:$A$2018,$H$6),1)))*(INDEX($D$19:$D$2018,MATCH(Q27,$A$19:INDEX($A$19:$A$2018,$H$6),1)+1)-INDEX($D$19:$D$2018,MATCH(Q27,$A$19:INDEX($A$19:$A$2018,$H$6),1)))/(INDEX($A$19:$A$2018,MATCH(Q27,$A$19:INDEX($A$19:$A$2018,$H$6),1)+1)-INDEX($A$19:$A$2018,MATCH(Q27,$A$19:INDEX($A$19:$A$2018,$H$6),1))))))</f>
        <v/>
      </c>
    </row>
    <row r="28">
      <c r="A28" s="11" t="n"/>
      <c r="B28" s="11" t="n"/>
      <c r="C28" s="12">
        <f>IF(A28="","",$B$9*TAN(RADIANS(A28)))</f>
        <v/>
      </c>
      <c r="D28" s="12">
        <f>IF(C28="","",C28*(1+B28/100))</f>
        <v/>
      </c>
      <c r="E28" s="12">
        <f>IF(A28="","",$B$10*TAN(RADIANS(A28)))</f>
        <v/>
      </c>
      <c r="G28" s="8" t="n">
        <v>10</v>
      </c>
      <c r="H28" s="8">
        <f>$K$4</f>
        <v/>
      </c>
      <c r="I28" s="7" t="inlineStr">
        <is>
          <t>橫</t>
        </is>
      </c>
      <c r="J28" s="8" t="n">
        <v>3</v>
      </c>
      <c r="K28" s="7" t="inlineStr">
        <is>
          <t>右上</t>
        </is>
      </c>
      <c r="L28" s="8">
        <f>$O$4-($M$4+$L$4)/2+(1)*$M$4/2</f>
        <v/>
      </c>
      <c r="M28" s="8">
        <f>$P$4-$M$4/2+$L$4/2+2*2*$L$4+(-1)*$L$4/2</f>
        <v/>
      </c>
      <c r="N28" s="8">
        <f>L28-$B$7/2</f>
        <v/>
      </c>
      <c r="O28" s="8">
        <f>M28-$B$8/2</f>
        <v/>
      </c>
      <c r="P28" s="8">
        <f>SQRT(N28^2+O28^2)</f>
        <v/>
      </c>
      <c r="Q28" s="8">
        <f>IF(OR($H$7&lt;&gt;"OK",P28=""),"",IF(P28&lt;=$D$19,$A$19,IF(P28&gt;=INDEX($D$19:$D$2018,$H$6),INDEX($A$19:$A$2018,$H$6),INDEX($A$19:$A$2018,MATCH(P28,$D$19:INDEX($D$19:$D$2018,$H$6),1))+(P28-INDEX($D$19:$D$2018,MATCH(P28,$D$19:INDEX($D$19:$D$2018,$H$6),1)))*(INDEX($A$19:$A$2018,MATCH(P28,$D$19:INDEX($D$19:$D$2018,$H$6),1)+1)-INDEX($A$19:$A$2018,MATCH(P28,$D$19:INDEX($D$19:$D$2018,$H$6),1)))/(INDEX($D$19:$D$2018,MATCH(P28,$D$19:INDEX($D$19:$D$2018,$H$6),1)+1)-INDEX($D$19:$D$2018,MATCH(P28,$D$19:INDEX($D$19:$D$2018,$H$6),1))))))</f>
        <v/>
      </c>
      <c r="R28" s="8">
        <f>IF(P28=0,0,-Y28*N28/P28)</f>
        <v/>
      </c>
      <c r="S28" s="8">
        <f>IF(P28=0,0,Y28*O28/P28)</f>
        <v/>
      </c>
      <c r="T28" s="8">
        <f>IF(Y28=0,$B$7/2,$B$7/2-Z28*R28/Y28)</f>
        <v/>
      </c>
      <c r="U28" s="8">
        <f>IF(Y28=0,$B$8/2,$B$8/2+Z28*S28/Y28)</f>
        <v/>
      </c>
      <c r="V28" s="8">
        <f>SQRT((T28-L28)^2+(U28-M28)^2)</f>
        <v/>
      </c>
      <c r="Y28">
        <f>$B$10*TAN(RADIANS(Q28))</f>
        <v/>
      </c>
      <c r="Z28">
        <f>IF(OR($H$7&lt;&gt;"OK",Q28=""),"",IF(Q28&lt;=$A$19,$D$19,IF(Q28&gt;=INDEX($A$19:$A$2018,$H$6),INDEX($D$19:$D$2018,$H$6),INDEX($D$19:$D$2018,MATCH(Q28,$A$19:INDEX($A$19:$A$2018,$H$6),1))+(Q28-INDEX($A$19:$A$2018,MATCH(Q28,$A$19:INDEX($A$19:$A$2018,$H$6),1)))*(INDEX($D$19:$D$2018,MATCH(Q28,$A$19:INDEX($A$19:$A$2018,$H$6),1)+1)-INDEX($D$19:$D$2018,MATCH(Q28,$A$19:INDEX($A$19:$A$2018,$H$6),1)))/(INDEX($A$19:$A$2018,MATCH(Q28,$A$19:INDEX($A$19:$A$2018,$H$6),1)+1)-INDEX($A$19:$A$2018,MATCH(Q28,$A$19:INDEX($A$19:$A$2018,$H$6),1))))))</f>
        <v/>
      </c>
    </row>
    <row r="29">
      <c r="A29" s="11" t="n"/>
      <c r="B29" s="11" t="n"/>
      <c r="C29" s="12">
        <f>IF(A29="","",$B$9*TAN(RADIANS(A29)))</f>
        <v/>
      </c>
      <c r="D29" s="12">
        <f>IF(C29="","",C29*(1+B29/100))</f>
        <v/>
      </c>
      <c r="E29" s="12">
        <f>IF(A29="","",$B$10*TAN(RADIANS(A29)))</f>
        <v/>
      </c>
      <c r="G29" s="8" t="n">
        <v>11</v>
      </c>
      <c r="H29" s="8">
        <f>$K$4</f>
        <v/>
      </c>
      <c r="I29" s="7" t="inlineStr">
        <is>
          <t>橫</t>
        </is>
      </c>
      <c r="J29" s="8" t="n">
        <v>3</v>
      </c>
      <c r="K29" s="7" t="inlineStr">
        <is>
          <t>右下</t>
        </is>
      </c>
      <c r="L29" s="8">
        <f>$O$4-($M$4+$L$4)/2+(1)*$M$4/2</f>
        <v/>
      </c>
      <c r="M29" s="8">
        <f>$P$4-$M$4/2+$L$4/2+2*2*$L$4+(1)*$L$4/2</f>
        <v/>
      </c>
      <c r="N29" s="8">
        <f>L29-$B$7/2</f>
        <v/>
      </c>
      <c r="O29" s="8">
        <f>M29-$B$8/2</f>
        <v/>
      </c>
      <c r="P29" s="8">
        <f>SQRT(N29^2+O29^2)</f>
        <v/>
      </c>
      <c r="Q29" s="8">
        <f>IF(OR($H$7&lt;&gt;"OK",P29=""),"",IF(P29&lt;=$D$19,$A$19,IF(P29&gt;=INDEX($D$19:$D$2018,$H$6),INDEX($A$19:$A$2018,$H$6),INDEX($A$19:$A$2018,MATCH(P29,$D$19:INDEX($D$19:$D$2018,$H$6),1))+(P29-INDEX($D$19:$D$2018,MATCH(P29,$D$19:INDEX($D$19:$D$2018,$H$6),1)))*(INDEX($A$19:$A$2018,MATCH(P29,$D$19:INDEX($D$19:$D$2018,$H$6),1)+1)-INDEX($A$19:$A$2018,MATCH(P29,$D$19:INDEX($D$19:$D$2018,$H$6),1)))/(INDEX($D$19:$D$2018,MATCH(P29,$D$19:INDEX($D$19:$D$2018,$H$6),1)+1)-INDEX($D$19:$D$2018,MATCH(P29,$D$19:INDEX($D$19:$D$2018,$H$6),1))))))</f>
        <v/>
      </c>
      <c r="R29" s="8">
        <f>IF(P29=0,0,-Y29*N29/P29)</f>
        <v/>
      </c>
      <c r="S29" s="8">
        <f>IF(P29=0,0,Y29*O29/P29)</f>
        <v/>
      </c>
      <c r="T29" s="8">
        <f>IF(Y29=0,$B$7/2,$B$7/2-Z29*R29/Y29)</f>
        <v/>
      </c>
      <c r="U29" s="8">
        <f>IF(Y29=0,$B$8/2,$B$8/2+Z29*S29/Y29)</f>
        <v/>
      </c>
      <c r="V29" s="8">
        <f>SQRT((T29-L29)^2+(U29-M29)^2)</f>
        <v/>
      </c>
      <c r="Y29">
        <f>$B$10*TAN(RADIANS(Q29))</f>
        <v/>
      </c>
      <c r="Z29">
        <f>IF(OR($H$7&lt;&gt;"OK",Q29=""),"",IF(Q29&lt;=$A$19,$D$19,IF(Q29&gt;=INDEX($A$19:$A$2018,$H$6),INDEX($D$19:$D$2018,$H$6),INDEX($D$19:$D$2018,MATCH(Q29,$A$19:INDEX($A$19:$A$2018,$H$6),1))+(Q29-INDEX($A$19:$A$2018,MATCH(Q29,$A$19:INDEX($A$19:$A$2018,$H$6),1)))*(INDEX($D$19:$D$2018,MATCH(Q29,$A$19:INDEX($A$19:$A$2018,$H$6),1)+1)-INDEX($D$19:$D$2018,MATCH(Q29,$A$19:INDEX($A$19:$A$2018,$H$6),1)))/(INDEX($A$19:$A$2018,MATCH(Q29,$A$19:INDEX($A$19:$A$2018,$H$6),1)+1)-INDEX($A$19:$A$2018,MATCH(Q29,$A$19:INDEX($A$19:$A$2018,$H$6),1))))))</f>
        <v/>
      </c>
    </row>
    <row r="30">
      <c r="A30" s="11" t="n"/>
      <c r="B30" s="11" t="n"/>
      <c r="C30" s="12">
        <f>IF(A30="","",$B$9*TAN(RADIANS(A30)))</f>
        <v/>
      </c>
      <c r="D30" s="12">
        <f>IF(C30="","",C30*(1+B30/100))</f>
        <v/>
      </c>
      <c r="E30" s="12">
        <f>IF(A30="","",$B$10*TAN(RADIANS(A30)))</f>
        <v/>
      </c>
      <c r="G30" s="8" t="n">
        <v>12</v>
      </c>
      <c r="H30" s="8">
        <f>$K$4</f>
        <v/>
      </c>
      <c r="I30" s="7" t="inlineStr">
        <is>
          <t>橫</t>
        </is>
      </c>
      <c r="J30" s="8" t="n">
        <v>3</v>
      </c>
      <c r="K30" s="7" t="inlineStr">
        <is>
          <t>左下</t>
        </is>
      </c>
      <c r="L30" s="8">
        <f>$O$4-($M$4+$L$4)/2+(-1)*$M$4/2</f>
        <v/>
      </c>
      <c r="M30" s="8">
        <f>$P$4-$M$4/2+$L$4/2+2*2*$L$4+(1)*$L$4/2</f>
        <v/>
      </c>
      <c r="N30" s="8">
        <f>L30-$B$7/2</f>
        <v/>
      </c>
      <c r="O30" s="8">
        <f>M30-$B$8/2</f>
        <v/>
      </c>
      <c r="P30" s="8">
        <f>SQRT(N30^2+O30^2)</f>
        <v/>
      </c>
      <c r="Q30" s="8">
        <f>IF(OR($H$7&lt;&gt;"OK",P30=""),"",IF(P30&lt;=$D$19,$A$19,IF(P30&gt;=INDEX($D$19:$D$2018,$H$6),INDEX($A$19:$A$2018,$H$6),INDEX($A$19:$A$2018,MATCH(P30,$D$19:INDEX($D$19:$D$2018,$H$6),1))+(P30-INDEX($D$19:$D$2018,MATCH(P30,$D$19:INDEX($D$19:$D$2018,$H$6),1)))*(INDEX($A$19:$A$2018,MATCH(P30,$D$19:INDEX($D$19:$D$2018,$H$6),1)+1)-INDEX($A$19:$A$2018,MATCH(P30,$D$19:INDEX($D$19:$D$2018,$H$6),1)))/(INDEX($D$19:$D$2018,MATCH(P30,$D$19:INDEX($D$19:$D$2018,$H$6),1)+1)-INDEX($D$19:$D$2018,MATCH(P30,$D$19:INDEX($D$19:$D$2018,$H$6),1))))))</f>
        <v/>
      </c>
      <c r="R30" s="8">
        <f>IF(P30=0,0,-Y30*N30/P30)</f>
        <v/>
      </c>
      <c r="S30" s="8">
        <f>IF(P30=0,0,Y30*O30/P30)</f>
        <v/>
      </c>
      <c r="T30" s="8">
        <f>IF(Y30=0,$B$7/2,$B$7/2-Z30*R30/Y30)</f>
        <v/>
      </c>
      <c r="U30" s="8">
        <f>IF(Y30=0,$B$8/2,$B$8/2+Z30*S30/Y30)</f>
        <v/>
      </c>
      <c r="V30" s="8">
        <f>SQRT((T30-L30)^2+(U30-M30)^2)</f>
        <v/>
      </c>
      <c r="Y30">
        <f>$B$10*TAN(RADIANS(Q30))</f>
        <v/>
      </c>
      <c r="Z30">
        <f>IF(OR($H$7&lt;&gt;"OK",Q30=""),"",IF(Q30&lt;=$A$19,$D$19,IF(Q30&gt;=INDEX($A$19:$A$2018,$H$6),INDEX($D$19:$D$2018,$H$6),INDEX($D$19:$D$2018,MATCH(Q30,$A$19:INDEX($A$19:$A$2018,$H$6),1))+(Q30-INDEX($A$19:$A$2018,MATCH(Q30,$A$19:INDEX($A$19:$A$2018,$H$6),1)))*(INDEX($D$19:$D$2018,MATCH(Q30,$A$19:INDEX($A$19:$A$2018,$H$6),1)+1)-INDEX($D$19:$D$2018,MATCH(Q30,$A$19:INDEX($A$19:$A$2018,$H$6),1)))/(INDEX($A$19:$A$2018,MATCH(Q30,$A$19:INDEX($A$19:$A$2018,$H$6),1)+1)-INDEX($A$19:$A$2018,MATCH(Q30,$A$19:INDEX($A$19:$A$2018,$H$6),1))))))</f>
        <v/>
      </c>
    </row>
    <row r="31">
      <c r="A31" s="11" t="n"/>
      <c r="B31" s="11" t="n"/>
      <c r="C31" s="12">
        <f>IF(A31="","",$B$9*TAN(RADIANS(A31)))</f>
        <v/>
      </c>
      <c r="D31" s="12">
        <f>IF(C31="","",C31*(1+B31/100))</f>
        <v/>
      </c>
      <c r="E31" s="12">
        <f>IF(A31="","",$B$10*TAN(RADIANS(A31)))</f>
        <v/>
      </c>
      <c r="G31" s="8" t="n">
        <v>13</v>
      </c>
      <c r="H31" s="8">
        <f>$K$4</f>
        <v/>
      </c>
      <c r="I31" s="7" t="inlineStr">
        <is>
          <t>橫</t>
        </is>
      </c>
      <c r="J31" s="8" t="n">
        <v>4</v>
      </c>
      <c r="K31" s="7" t="inlineStr">
        <is>
          <t>左上</t>
        </is>
      </c>
      <c r="L31" s="8">
        <f>$O$4-($M$4+$L$4)/2+(-1)*$M$4/2</f>
        <v/>
      </c>
      <c r="M31" s="8">
        <f>$P$4-$M$4/2+$L$4/2+3*2*$L$4+(-1)*$L$4/2</f>
        <v/>
      </c>
      <c r="N31" s="8">
        <f>L31-$B$7/2</f>
        <v/>
      </c>
      <c r="O31" s="8">
        <f>M31-$B$8/2</f>
        <v/>
      </c>
      <c r="P31" s="8">
        <f>SQRT(N31^2+O31^2)</f>
        <v/>
      </c>
      <c r="Q31" s="8">
        <f>IF(OR($H$7&lt;&gt;"OK",P31=""),"",IF(P31&lt;=$D$19,$A$19,IF(P31&gt;=INDEX($D$19:$D$2018,$H$6),INDEX($A$19:$A$2018,$H$6),INDEX($A$19:$A$2018,MATCH(P31,$D$19:INDEX($D$19:$D$2018,$H$6),1))+(P31-INDEX($D$19:$D$2018,MATCH(P31,$D$19:INDEX($D$19:$D$2018,$H$6),1)))*(INDEX($A$19:$A$2018,MATCH(P31,$D$19:INDEX($D$19:$D$2018,$H$6),1)+1)-INDEX($A$19:$A$2018,MATCH(P31,$D$19:INDEX($D$19:$D$2018,$H$6),1)))/(INDEX($D$19:$D$2018,MATCH(P31,$D$19:INDEX($D$19:$D$2018,$H$6),1)+1)-INDEX($D$19:$D$2018,MATCH(P31,$D$19:INDEX($D$19:$D$2018,$H$6),1))))))</f>
        <v/>
      </c>
      <c r="R31" s="8">
        <f>IF(P31=0,0,-Y31*N31/P31)</f>
        <v/>
      </c>
      <c r="S31" s="8">
        <f>IF(P31=0,0,Y31*O31/P31)</f>
        <v/>
      </c>
      <c r="T31" s="8">
        <f>IF(Y31=0,$B$7/2,$B$7/2-Z31*R31/Y31)</f>
        <v/>
      </c>
      <c r="U31" s="8">
        <f>IF(Y31=0,$B$8/2,$B$8/2+Z31*S31/Y31)</f>
        <v/>
      </c>
      <c r="V31" s="8">
        <f>SQRT((T31-L31)^2+(U31-M31)^2)</f>
        <v/>
      </c>
      <c r="Y31">
        <f>$B$10*TAN(RADIANS(Q31))</f>
        <v/>
      </c>
      <c r="Z31">
        <f>IF(OR($H$7&lt;&gt;"OK",Q31=""),"",IF(Q31&lt;=$A$19,$D$19,IF(Q31&gt;=INDEX($A$19:$A$2018,$H$6),INDEX($D$19:$D$2018,$H$6),INDEX($D$19:$D$2018,MATCH(Q31,$A$19:INDEX($A$19:$A$2018,$H$6),1))+(Q31-INDEX($A$19:$A$2018,MATCH(Q31,$A$19:INDEX($A$19:$A$2018,$H$6),1)))*(INDEX($D$19:$D$2018,MATCH(Q31,$A$19:INDEX($A$19:$A$2018,$H$6),1)+1)-INDEX($D$19:$D$2018,MATCH(Q31,$A$19:INDEX($A$19:$A$2018,$H$6),1)))/(INDEX($A$19:$A$2018,MATCH(Q31,$A$19:INDEX($A$19:$A$2018,$H$6),1)+1)-INDEX($A$19:$A$2018,MATCH(Q31,$A$19:INDEX($A$19:$A$2018,$H$6),1))))))</f>
        <v/>
      </c>
    </row>
    <row r="32">
      <c r="A32" s="11" t="n"/>
      <c r="B32" s="11" t="n"/>
      <c r="C32" s="12">
        <f>IF(A32="","",$B$9*TAN(RADIANS(A32)))</f>
        <v/>
      </c>
      <c r="D32" s="12">
        <f>IF(C32="","",C32*(1+B32/100))</f>
        <v/>
      </c>
      <c r="E32" s="12">
        <f>IF(A32="","",$B$10*TAN(RADIANS(A32)))</f>
        <v/>
      </c>
      <c r="G32" s="8" t="n">
        <v>14</v>
      </c>
      <c r="H32" s="8">
        <f>$K$4</f>
        <v/>
      </c>
      <c r="I32" s="7" t="inlineStr">
        <is>
          <t>橫</t>
        </is>
      </c>
      <c r="J32" s="8" t="n">
        <v>4</v>
      </c>
      <c r="K32" s="7" t="inlineStr">
        <is>
          <t>右上</t>
        </is>
      </c>
      <c r="L32" s="8">
        <f>$O$4-($M$4+$L$4)/2+(1)*$M$4/2</f>
        <v/>
      </c>
      <c r="M32" s="8">
        <f>$P$4-$M$4/2+$L$4/2+3*2*$L$4+(-1)*$L$4/2</f>
        <v/>
      </c>
      <c r="N32" s="8">
        <f>L32-$B$7/2</f>
        <v/>
      </c>
      <c r="O32" s="8">
        <f>M32-$B$8/2</f>
        <v/>
      </c>
      <c r="P32" s="8">
        <f>SQRT(N32^2+O32^2)</f>
        <v/>
      </c>
      <c r="Q32" s="8">
        <f>IF(OR($H$7&lt;&gt;"OK",P32=""),"",IF(P32&lt;=$D$19,$A$19,IF(P32&gt;=INDEX($D$19:$D$2018,$H$6),INDEX($A$19:$A$2018,$H$6),INDEX($A$19:$A$2018,MATCH(P32,$D$19:INDEX($D$19:$D$2018,$H$6),1))+(P32-INDEX($D$19:$D$2018,MATCH(P32,$D$19:INDEX($D$19:$D$2018,$H$6),1)))*(INDEX($A$19:$A$2018,MATCH(P32,$D$19:INDEX($D$19:$D$2018,$H$6),1)+1)-INDEX($A$19:$A$2018,MATCH(P32,$D$19:INDEX($D$19:$D$2018,$H$6),1)))/(INDEX($D$19:$D$2018,MATCH(P32,$D$19:INDEX($D$19:$D$2018,$H$6),1)+1)-INDEX($D$19:$D$2018,MATCH(P32,$D$19:INDEX($D$19:$D$2018,$H$6),1))))))</f>
        <v/>
      </c>
      <c r="R32" s="8">
        <f>IF(P32=0,0,-Y32*N32/P32)</f>
        <v/>
      </c>
      <c r="S32" s="8">
        <f>IF(P32=0,0,Y32*O32/P32)</f>
        <v/>
      </c>
      <c r="T32" s="8">
        <f>IF(Y32=0,$B$7/2,$B$7/2-Z32*R32/Y32)</f>
        <v/>
      </c>
      <c r="U32" s="8">
        <f>IF(Y32=0,$B$8/2,$B$8/2+Z32*S32/Y32)</f>
        <v/>
      </c>
      <c r="V32" s="8">
        <f>SQRT((T32-L32)^2+(U32-M32)^2)</f>
        <v/>
      </c>
      <c r="Y32">
        <f>$B$10*TAN(RADIANS(Q32))</f>
        <v/>
      </c>
      <c r="Z32">
        <f>IF(OR($H$7&lt;&gt;"OK",Q32=""),"",IF(Q32&lt;=$A$19,$D$19,IF(Q32&gt;=INDEX($A$19:$A$2018,$H$6),INDEX($D$19:$D$2018,$H$6),INDEX($D$19:$D$2018,MATCH(Q32,$A$19:INDEX($A$19:$A$2018,$H$6),1))+(Q32-INDEX($A$19:$A$2018,MATCH(Q32,$A$19:INDEX($A$19:$A$2018,$H$6),1)))*(INDEX($D$19:$D$2018,MATCH(Q32,$A$19:INDEX($A$19:$A$2018,$H$6),1)+1)-INDEX($D$19:$D$2018,MATCH(Q32,$A$19:INDEX($A$19:$A$2018,$H$6),1)))/(INDEX($A$19:$A$2018,MATCH(Q32,$A$19:INDEX($A$19:$A$2018,$H$6),1)+1)-INDEX($A$19:$A$2018,MATCH(Q32,$A$19:INDEX($A$19:$A$2018,$H$6),1))))))</f>
        <v/>
      </c>
    </row>
    <row r="33">
      <c r="A33" s="11" t="n"/>
      <c r="B33" s="11" t="n"/>
      <c r="C33" s="12">
        <f>IF(A33="","",$B$9*TAN(RADIANS(A33)))</f>
        <v/>
      </c>
      <c r="D33" s="12">
        <f>IF(C33="","",C33*(1+B33/100))</f>
        <v/>
      </c>
      <c r="E33" s="12">
        <f>IF(A33="","",$B$10*TAN(RADIANS(A33)))</f>
        <v/>
      </c>
      <c r="G33" s="8" t="n">
        <v>15</v>
      </c>
      <c r="H33" s="8">
        <f>$K$4</f>
        <v/>
      </c>
      <c r="I33" s="7" t="inlineStr">
        <is>
          <t>橫</t>
        </is>
      </c>
      <c r="J33" s="8" t="n">
        <v>4</v>
      </c>
      <c r="K33" s="7" t="inlineStr">
        <is>
          <t>右下</t>
        </is>
      </c>
      <c r="L33" s="8">
        <f>$O$4-($M$4+$L$4)/2+(1)*$M$4/2</f>
        <v/>
      </c>
      <c r="M33" s="8">
        <f>$P$4-$M$4/2+$L$4/2+3*2*$L$4+(1)*$L$4/2</f>
        <v/>
      </c>
      <c r="N33" s="8">
        <f>L33-$B$7/2</f>
        <v/>
      </c>
      <c r="O33" s="8">
        <f>M33-$B$8/2</f>
        <v/>
      </c>
      <c r="P33" s="8">
        <f>SQRT(N33^2+O33^2)</f>
        <v/>
      </c>
      <c r="Q33" s="8">
        <f>IF(OR($H$7&lt;&gt;"OK",P33=""),"",IF(P33&lt;=$D$19,$A$19,IF(P33&gt;=INDEX($D$19:$D$2018,$H$6),INDEX($A$19:$A$2018,$H$6),INDEX($A$19:$A$2018,MATCH(P33,$D$19:INDEX($D$19:$D$2018,$H$6),1))+(P33-INDEX($D$19:$D$2018,MATCH(P33,$D$19:INDEX($D$19:$D$2018,$H$6),1)))*(INDEX($A$19:$A$2018,MATCH(P33,$D$19:INDEX($D$19:$D$2018,$H$6),1)+1)-INDEX($A$19:$A$2018,MATCH(P33,$D$19:INDEX($D$19:$D$2018,$H$6),1)))/(INDEX($D$19:$D$2018,MATCH(P33,$D$19:INDEX($D$19:$D$2018,$H$6),1)+1)-INDEX($D$19:$D$2018,MATCH(P33,$D$19:INDEX($D$19:$D$2018,$H$6),1))))))</f>
        <v/>
      </c>
      <c r="R33" s="8">
        <f>IF(P33=0,0,-Y33*N33/P33)</f>
        <v/>
      </c>
      <c r="S33" s="8">
        <f>IF(P33=0,0,Y33*O33/P33)</f>
        <v/>
      </c>
      <c r="T33" s="8">
        <f>IF(Y33=0,$B$7/2,$B$7/2-Z33*R33/Y33)</f>
        <v/>
      </c>
      <c r="U33" s="8">
        <f>IF(Y33=0,$B$8/2,$B$8/2+Z33*S33/Y33)</f>
        <v/>
      </c>
      <c r="V33" s="8">
        <f>SQRT((T33-L33)^2+(U33-M33)^2)</f>
        <v/>
      </c>
      <c r="Y33">
        <f>$B$10*TAN(RADIANS(Q33))</f>
        <v/>
      </c>
      <c r="Z33">
        <f>IF(OR($H$7&lt;&gt;"OK",Q33=""),"",IF(Q33&lt;=$A$19,$D$19,IF(Q33&gt;=INDEX($A$19:$A$2018,$H$6),INDEX($D$19:$D$2018,$H$6),INDEX($D$19:$D$2018,MATCH(Q33,$A$19:INDEX($A$19:$A$2018,$H$6),1))+(Q33-INDEX($A$19:$A$2018,MATCH(Q33,$A$19:INDEX($A$19:$A$2018,$H$6),1)))*(INDEX($D$19:$D$2018,MATCH(Q33,$A$19:INDEX($A$19:$A$2018,$H$6),1)+1)-INDEX($D$19:$D$2018,MATCH(Q33,$A$19:INDEX($A$19:$A$2018,$H$6),1)))/(INDEX($A$19:$A$2018,MATCH(Q33,$A$19:INDEX($A$19:$A$2018,$H$6),1)+1)-INDEX($A$19:$A$2018,MATCH(Q33,$A$19:INDEX($A$19:$A$2018,$H$6),1))))))</f>
        <v/>
      </c>
    </row>
    <row r="34">
      <c r="A34" s="11" t="n"/>
      <c r="B34" s="11" t="n"/>
      <c r="C34" s="12">
        <f>IF(A34="","",$B$9*TAN(RADIANS(A34)))</f>
        <v/>
      </c>
      <c r="D34" s="12">
        <f>IF(C34="","",C34*(1+B34/100))</f>
        <v/>
      </c>
      <c r="E34" s="12">
        <f>IF(A34="","",$B$10*TAN(RADIANS(A34)))</f>
        <v/>
      </c>
      <c r="G34" s="8" t="n">
        <v>16</v>
      </c>
      <c r="H34" s="8">
        <f>$K$4</f>
        <v/>
      </c>
      <c r="I34" s="7" t="inlineStr">
        <is>
          <t>橫</t>
        </is>
      </c>
      <c r="J34" s="8" t="n">
        <v>4</v>
      </c>
      <c r="K34" s="7" t="inlineStr">
        <is>
          <t>左下</t>
        </is>
      </c>
      <c r="L34" s="8">
        <f>$O$4-($M$4+$L$4)/2+(-1)*$M$4/2</f>
        <v/>
      </c>
      <c r="M34" s="8">
        <f>$P$4-$M$4/2+$L$4/2+3*2*$L$4+(1)*$L$4/2</f>
        <v/>
      </c>
      <c r="N34" s="8">
        <f>L34-$B$7/2</f>
        <v/>
      </c>
      <c r="O34" s="8">
        <f>M34-$B$8/2</f>
        <v/>
      </c>
      <c r="P34" s="8">
        <f>SQRT(N34^2+O34^2)</f>
        <v/>
      </c>
      <c r="Q34" s="8">
        <f>IF(OR($H$7&lt;&gt;"OK",P34=""),"",IF(P34&lt;=$D$19,$A$19,IF(P34&gt;=INDEX($D$19:$D$2018,$H$6),INDEX($A$19:$A$2018,$H$6),INDEX($A$19:$A$2018,MATCH(P34,$D$19:INDEX($D$19:$D$2018,$H$6),1))+(P34-INDEX($D$19:$D$2018,MATCH(P34,$D$19:INDEX($D$19:$D$2018,$H$6),1)))*(INDEX($A$19:$A$2018,MATCH(P34,$D$19:INDEX($D$19:$D$2018,$H$6),1)+1)-INDEX($A$19:$A$2018,MATCH(P34,$D$19:INDEX($D$19:$D$2018,$H$6),1)))/(INDEX($D$19:$D$2018,MATCH(P34,$D$19:INDEX($D$19:$D$2018,$H$6),1)+1)-INDEX($D$19:$D$2018,MATCH(P34,$D$19:INDEX($D$19:$D$2018,$H$6),1))))))</f>
        <v/>
      </c>
      <c r="R34" s="8">
        <f>IF(P34=0,0,-Y34*N34/P34)</f>
        <v/>
      </c>
      <c r="S34" s="8">
        <f>IF(P34=0,0,Y34*O34/P34)</f>
        <v/>
      </c>
      <c r="T34" s="8">
        <f>IF(Y34=0,$B$7/2,$B$7/2-Z34*R34/Y34)</f>
        <v/>
      </c>
      <c r="U34" s="8">
        <f>IF(Y34=0,$B$8/2,$B$8/2+Z34*S34/Y34)</f>
        <v/>
      </c>
      <c r="V34" s="8">
        <f>SQRT((T34-L34)^2+(U34-M34)^2)</f>
        <v/>
      </c>
      <c r="Y34">
        <f>$B$10*TAN(RADIANS(Q34))</f>
        <v/>
      </c>
      <c r="Z34">
        <f>IF(OR($H$7&lt;&gt;"OK",Q34=""),"",IF(Q34&lt;=$A$19,$D$19,IF(Q34&gt;=INDEX($A$19:$A$2018,$H$6),INDEX($D$19:$D$2018,$H$6),INDEX($D$19:$D$2018,MATCH(Q34,$A$19:INDEX($A$19:$A$2018,$H$6),1))+(Q34-INDEX($A$19:$A$2018,MATCH(Q34,$A$19:INDEX($A$19:$A$2018,$H$6),1)))*(INDEX($D$19:$D$2018,MATCH(Q34,$A$19:INDEX($A$19:$A$2018,$H$6),1)+1)-INDEX($D$19:$D$2018,MATCH(Q34,$A$19:INDEX($A$19:$A$2018,$H$6),1)))/(INDEX($A$19:$A$2018,MATCH(Q34,$A$19:INDEX($A$19:$A$2018,$H$6),1)+1)-INDEX($A$19:$A$2018,MATCH(Q34,$A$19:INDEX($A$19:$A$2018,$H$6),1))))))</f>
        <v/>
      </c>
    </row>
    <row r="35">
      <c r="A35" s="11" t="n"/>
      <c r="B35" s="11" t="n"/>
      <c r="C35" s="12">
        <f>IF(A35="","",$B$9*TAN(RADIANS(A35)))</f>
        <v/>
      </c>
      <c r="D35" s="12">
        <f>IF(C35="","",C35*(1+B35/100))</f>
        <v/>
      </c>
      <c r="E35" s="12">
        <f>IF(A35="","",$B$10*TAN(RADIANS(A35)))</f>
        <v/>
      </c>
      <c r="G35" s="8" t="n">
        <v>17</v>
      </c>
      <c r="H35" s="8">
        <f>$K$4</f>
        <v/>
      </c>
      <c r="I35" s="7" t="inlineStr">
        <is>
          <t>橫</t>
        </is>
      </c>
      <c r="J35" s="8" t="n">
        <v>5</v>
      </c>
      <c r="K35" s="7" t="inlineStr">
        <is>
          <t>左上</t>
        </is>
      </c>
      <c r="L35" s="8">
        <f>$O$4-($M$4+$L$4)/2+(-1)*$M$4/2</f>
        <v/>
      </c>
      <c r="M35" s="8">
        <f>$P$4-$M$4/2+$L$4/2+4*2*$L$4+(-1)*$L$4/2</f>
        <v/>
      </c>
      <c r="N35" s="8">
        <f>L35-$B$7/2</f>
        <v/>
      </c>
      <c r="O35" s="8">
        <f>M35-$B$8/2</f>
        <v/>
      </c>
      <c r="P35" s="8">
        <f>SQRT(N35^2+O35^2)</f>
        <v/>
      </c>
      <c r="Q35" s="8">
        <f>IF(OR($H$7&lt;&gt;"OK",P35=""),"",IF(P35&lt;=$D$19,$A$19,IF(P35&gt;=INDEX($D$19:$D$2018,$H$6),INDEX($A$19:$A$2018,$H$6),INDEX($A$19:$A$2018,MATCH(P35,$D$19:INDEX($D$19:$D$2018,$H$6),1))+(P35-INDEX($D$19:$D$2018,MATCH(P35,$D$19:INDEX($D$19:$D$2018,$H$6),1)))*(INDEX($A$19:$A$2018,MATCH(P35,$D$19:INDEX($D$19:$D$2018,$H$6),1)+1)-INDEX($A$19:$A$2018,MATCH(P35,$D$19:INDEX($D$19:$D$2018,$H$6),1)))/(INDEX($D$19:$D$2018,MATCH(P35,$D$19:INDEX($D$19:$D$2018,$H$6),1)+1)-INDEX($D$19:$D$2018,MATCH(P35,$D$19:INDEX($D$19:$D$2018,$H$6),1))))))</f>
        <v/>
      </c>
      <c r="R35" s="8">
        <f>IF(P35=0,0,-Y35*N35/P35)</f>
        <v/>
      </c>
      <c r="S35" s="8">
        <f>IF(P35=0,0,Y35*O35/P35)</f>
        <v/>
      </c>
      <c r="T35" s="8">
        <f>IF(Y35=0,$B$7/2,$B$7/2-Z35*R35/Y35)</f>
        <v/>
      </c>
      <c r="U35" s="8">
        <f>IF(Y35=0,$B$8/2,$B$8/2+Z35*S35/Y35)</f>
        <v/>
      </c>
      <c r="V35" s="8">
        <f>SQRT((T35-L35)^2+(U35-M35)^2)</f>
        <v/>
      </c>
      <c r="Y35">
        <f>$B$10*TAN(RADIANS(Q35))</f>
        <v/>
      </c>
      <c r="Z35">
        <f>IF(OR($H$7&lt;&gt;"OK",Q35=""),"",IF(Q35&lt;=$A$19,$D$19,IF(Q35&gt;=INDEX($A$19:$A$2018,$H$6),INDEX($D$19:$D$2018,$H$6),INDEX($D$19:$D$2018,MATCH(Q35,$A$19:INDEX($A$19:$A$2018,$H$6),1))+(Q35-INDEX($A$19:$A$2018,MATCH(Q35,$A$19:INDEX($A$19:$A$2018,$H$6),1)))*(INDEX($D$19:$D$2018,MATCH(Q35,$A$19:INDEX($A$19:$A$2018,$H$6),1)+1)-INDEX($D$19:$D$2018,MATCH(Q35,$A$19:INDEX($A$19:$A$2018,$H$6),1)))/(INDEX($A$19:$A$2018,MATCH(Q35,$A$19:INDEX($A$19:$A$2018,$H$6),1)+1)-INDEX($A$19:$A$2018,MATCH(Q35,$A$19:INDEX($A$19:$A$2018,$H$6),1))))))</f>
        <v/>
      </c>
    </row>
    <row r="36">
      <c r="A36" s="11" t="n"/>
      <c r="B36" s="11" t="n"/>
      <c r="C36" s="12">
        <f>IF(A36="","",$B$9*TAN(RADIANS(A36)))</f>
        <v/>
      </c>
      <c r="D36" s="12">
        <f>IF(C36="","",C36*(1+B36/100))</f>
        <v/>
      </c>
      <c r="E36" s="12">
        <f>IF(A36="","",$B$10*TAN(RADIANS(A36)))</f>
        <v/>
      </c>
      <c r="G36" s="8" t="n">
        <v>18</v>
      </c>
      <c r="H36" s="8">
        <f>$K$4</f>
        <v/>
      </c>
      <c r="I36" s="7" t="inlineStr">
        <is>
          <t>橫</t>
        </is>
      </c>
      <c r="J36" s="8" t="n">
        <v>5</v>
      </c>
      <c r="K36" s="7" t="inlineStr">
        <is>
          <t>右上</t>
        </is>
      </c>
      <c r="L36" s="8">
        <f>$O$4-($M$4+$L$4)/2+(1)*$M$4/2</f>
        <v/>
      </c>
      <c r="M36" s="8">
        <f>$P$4-$M$4/2+$L$4/2+4*2*$L$4+(-1)*$L$4/2</f>
        <v/>
      </c>
      <c r="N36" s="8">
        <f>L36-$B$7/2</f>
        <v/>
      </c>
      <c r="O36" s="8">
        <f>M36-$B$8/2</f>
        <v/>
      </c>
      <c r="P36" s="8">
        <f>SQRT(N36^2+O36^2)</f>
        <v/>
      </c>
      <c r="Q36" s="8">
        <f>IF(OR($H$7&lt;&gt;"OK",P36=""),"",IF(P36&lt;=$D$19,$A$19,IF(P36&gt;=INDEX($D$19:$D$2018,$H$6),INDEX($A$19:$A$2018,$H$6),INDEX($A$19:$A$2018,MATCH(P36,$D$19:INDEX($D$19:$D$2018,$H$6),1))+(P36-INDEX($D$19:$D$2018,MATCH(P36,$D$19:INDEX($D$19:$D$2018,$H$6),1)))*(INDEX($A$19:$A$2018,MATCH(P36,$D$19:INDEX($D$19:$D$2018,$H$6),1)+1)-INDEX($A$19:$A$2018,MATCH(P36,$D$19:INDEX($D$19:$D$2018,$H$6),1)))/(INDEX($D$19:$D$2018,MATCH(P36,$D$19:INDEX($D$19:$D$2018,$H$6),1)+1)-INDEX($D$19:$D$2018,MATCH(P36,$D$19:INDEX($D$19:$D$2018,$H$6),1))))))</f>
        <v/>
      </c>
      <c r="R36" s="8">
        <f>IF(P36=0,0,-Y36*N36/P36)</f>
        <v/>
      </c>
      <c r="S36" s="8">
        <f>IF(P36=0,0,Y36*O36/P36)</f>
        <v/>
      </c>
      <c r="T36" s="8">
        <f>IF(Y36=0,$B$7/2,$B$7/2-Z36*R36/Y36)</f>
        <v/>
      </c>
      <c r="U36" s="8">
        <f>IF(Y36=0,$B$8/2,$B$8/2+Z36*S36/Y36)</f>
        <v/>
      </c>
      <c r="V36" s="8">
        <f>SQRT((T36-L36)^2+(U36-M36)^2)</f>
        <v/>
      </c>
      <c r="Y36">
        <f>$B$10*TAN(RADIANS(Q36))</f>
        <v/>
      </c>
      <c r="Z36">
        <f>IF(OR($H$7&lt;&gt;"OK",Q36=""),"",IF(Q36&lt;=$A$19,$D$19,IF(Q36&gt;=INDEX($A$19:$A$2018,$H$6),INDEX($D$19:$D$2018,$H$6),INDEX($D$19:$D$2018,MATCH(Q36,$A$19:INDEX($A$19:$A$2018,$H$6),1))+(Q36-INDEX($A$19:$A$2018,MATCH(Q36,$A$19:INDEX($A$19:$A$2018,$H$6),1)))*(INDEX($D$19:$D$2018,MATCH(Q36,$A$19:INDEX($A$19:$A$2018,$H$6),1)+1)-INDEX($D$19:$D$2018,MATCH(Q36,$A$19:INDEX($A$19:$A$2018,$H$6),1)))/(INDEX($A$19:$A$2018,MATCH(Q36,$A$19:INDEX($A$19:$A$2018,$H$6),1)+1)-INDEX($A$19:$A$2018,MATCH(Q36,$A$19:INDEX($A$19:$A$2018,$H$6),1))))))</f>
        <v/>
      </c>
    </row>
    <row r="37">
      <c r="A37" s="11" t="n"/>
      <c r="B37" s="11" t="n"/>
      <c r="C37" s="12">
        <f>IF(A37="","",$B$9*TAN(RADIANS(A37)))</f>
        <v/>
      </c>
      <c r="D37" s="12">
        <f>IF(C37="","",C37*(1+B37/100))</f>
        <v/>
      </c>
      <c r="E37" s="12">
        <f>IF(A37="","",$B$10*TAN(RADIANS(A37)))</f>
        <v/>
      </c>
      <c r="G37" s="8" t="n">
        <v>19</v>
      </c>
      <c r="H37" s="8">
        <f>$K$4</f>
        <v/>
      </c>
      <c r="I37" s="7" t="inlineStr">
        <is>
          <t>橫</t>
        </is>
      </c>
      <c r="J37" s="8" t="n">
        <v>5</v>
      </c>
      <c r="K37" s="7" t="inlineStr">
        <is>
          <t>右下</t>
        </is>
      </c>
      <c r="L37" s="8">
        <f>$O$4-($M$4+$L$4)/2+(1)*$M$4/2</f>
        <v/>
      </c>
      <c r="M37" s="8">
        <f>$P$4-$M$4/2+$L$4/2+4*2*$L$4+(1)*$L$4/2</f>
        <v/>
      </c>
      <c r="N37" s="8">
        <f>L37-$B$7/2</f>
        <v/>
      </c>
      <c r="O37" s="8">
        <f>M37-$B$8/2</f>
        <v/>
      </c>
      <c r="P37" s="8">
        <f>SQRT(N37^2+O37^2)</f>
        <v/>
      </c>
      <c r="Q37" s="8">
        <f>IF(OR($H$7&lt;&gt;"OK",P37=""),"",IF(P37&lt;=$D$19,$A$19,IF(P37&gt;=INDEX($D$19:$D$2018,$H$6),INDEX($A$19:$A$2018,$H$6),INDEX($A$19:$A$2018,MATCH(P37,$D$19:INDEX($D$19:$D$2018,$H$6),1))+(P37-INDEX($D$19:$D$2018,MATCH(P37,$D$19:INDEX($D$19:$D$2018,$H$6),1)))*(INDEX($A$19:$A$2018,MATCH(P37,$D$19:INDEX($D$19:$D$2018,$H$6),1)+1)-INDEX($A$19:$A$2018,MATCH(P37,$D$19:INDEX($D$19:$D$2018,$H$6),1)))/(INDEX($D$19:$D$2018,MATCH(P37,$D$19:INDEX($D$19:$D$2018,$H$6),1)+1)-INDEX($D$19:$D$2018,MATCH(P37,$D$19:INDEX($D$19:$D$2018,$H$6),1))))))</f>
        <v/>
      </c>
      <c r="R37" s="8">
        <f>IF(P37=0,0,-Y37*N37/P37)</f>
        <v/>
      </c>
      <c r="S37" s="8">
        <f>IF(P37=0,0,Y37*O37/P37)</f>
        <v/>
      </c>
      <c r="T37" s="8">
        <f>IF(Y37=0,$B$7/2,$B$7/2-Z37*R37/Y37)</f>
        <v/>
      </c>
      <c r="U37" s="8">
        <f>IF(Y37=0,$B$8/2,$B$8/2+Z37*S37/Y37)</f>
        <v/>
      </c>
      <c r="V37" s="8">
        <f>SQRT((T37-L37)^2+(U37-M37)^2)</f>
        <v/>
      </c>
      <c r="Y37">
        <f>$B$10*TAN(RADIANS(Q37))</f>
        <v/>
      </c>
      <c r="Z37">
        <f>IF(OR($H$7&lt;&gt;"OK",Q37=""),"",IF(Q37&lt;=$A$19,$D$19,IF(Q37&gt;=INDEX($A$19:$A$2018,$H$6),INDEX($D$19:$D$2018,$H$6),INDEX($D$19:$D$2018,MATCH(Q37,$A$19:INDEX($A$19:$A$2018,$H$6),1))+(Q37-INDEX($A$19:$A$2018,MATCH(Q37,$A$19:INDEX($A$19:$A$2018,$H$6),1)))*(INDEX($D$19:$D$2018,MATCH(Q37,$A$19:INDEX($A$19:$A$2018,$H$6),1)+1)-INDEX($D$19:$D$2018,MATCH(Q37,$A$19:INDEX($A$19:$A$2018,$H$6),1)))/(INDEX($A$19:$A$2018,MATCH(Q37,$A$19:INDEX($A$19:$A$2018,$H$6),1)+1)-INDEX($A$19:$A$2018,MATCH(Q37,$A$19:INDEX($A$19:$A$2018,$H$6),1))))))</f>
        <v/>
      </c>
    </row>
    <row r="38">
      <c r="A38" s="11" t="n"/>
      <c r="B38" s="11" t="n"/>
      <c r="C38" s="12">
        <f>IF(A38="","",$B$9*TAN(RADIANS(A38)))</f>
        <v/>
      </c>
      <c r="D38" s="12">
        <f>IF(C38="","",C38*(1+B38/100))</f>
        <v/>
      </c>
      <c r="E38" s="12">
        <f>IF(A38="","",$B$10*TAN(RADIANS(A38)))</f>
        <v/>
      </c>
      <c r="G38" s="8" t="n">
        <v>20</v>
      </c>
      <c r="H38" s="8">
        <f>$K$4</f>
        <v/>
      </c>
      <c r="I38" s="7" t="inlineStr">
        <is>
          <t>橫</t>
        </is>
      </c>
      <c r="J38" s="8" t="n">
        <v>5</v>
      </c>
      <c r="K38" s="7" t="inlineStr">
        <is>
          <t>左下</t>
        </is>
      </c>
      <c r="L38" s="8">
        <f>$O$4-($M$4+$L$4)/2+(-1)*$M$4/2</f>
        <v/>
      </c>
      <c r="M38" s="8">
        <f>$P$4-$M$4/2+$L$4/2+4*2*$L$4+(1)*$L$4/2</f>
        <v/>
      </c>
      <c r="N38" s="8">
        <f>L38-$B$7/2</f>
        <v/>
      </c>
      <c r="O38" s="8">
        <f>M38-$B$8/2</f>
        <v/>
      </c>
      <c r="P38" s="8">
        <f>SQRT(N38^2+O38^2)</f>
        <v/>
      </c>
      <c r="Q38" s="8">
        <f>IF(OR($H$7&lt;&gt;"OK",P38=""),"",IF(P38&lt;=$D$19,$A$19,IF(P38&gt;=INDEX($D$19:$D$2018,$H$6),INDEX($A$19:$A$2018,$H$6),INDEX($A$19:$A$2018,MATCH(P38,$D$19:INDEX($D$19:$D$2018,$H$6),1))+(P38-INDEX($D$19:$D$2018,MATCH(P38,$D$19:INDEX($D$19:$D$2018,$H$6),1)))*(INDEX($A$19:$A$2018,MATCH(P38,$D$19:INDEX($D$19:$D$2018,$H$6),1)+1)-INDEX($A$19:$A$2018,MATCH(P38,$D$19:INDEX($D$19:$D$2018,$H$6),1)))/(INDEX($D$19:$D$2018,MATCH(P38,$D$19:INDEX($D$19:$D$2018,$H$6),1)+1)-INDEX($D$19:$D$2018,MATCH(P38,$D$19:INDEX($D$19:$D$2018,$H$6),1))))))</f>
        <v/>
      </c>
      <c r="R38" s="8">
        <f>IF(P38=0,0,-Y38*N38/P38)</f>
        <v/>
      </c>
      <c r="S38" s="8">
        <f>IF(P38=0,0,Y38*O38/P38)</f>
        <v/>
      </c>
      <c r="T38" s="8">
        <f>IF(Y38=0,$B$7/2,$B$7/2-Z38*R38/Y38)</f>
        <v/>
      </c>
      <c r="U38" s="8">
        <f>IF(Y38=0,$B$8/2,$B$8/2+Z38*S38/Y38)</f>
        <v/>
      </c>
      <c r="V38" s="8">
        <f>SQRT((T38-L38)^2+(U38-M38)^2)</f>
        <v/>
      </c>
      <c r="Y38">
        <f>$B$10*TAN(RADIANS(Q38))</f>
        <v/>
      </c>
      <c r="Z38">
        <f>IF(OR($H$7&lt;&gt;"OK",Q38=""),"",IF(Q38&lt;=$A$19,$D$19,IF(Q38&gt;=INDEX($A$19:$A$2018,$H$6),INDEX($D$19:$D$2018,$H$6),INDEX($D$19:$D$2018,MATCH(Q38,$A$19:INDEX($A$19:$A$2018,$H$6),1))+(Q38-INDEX($A$19:$A$2018,MATCH(Q38,$A$19:INDEX($A$19:$A$2018,$H$6),1)))*(INDEX($D$19:$D$2018,MATCH(Q38,$A$19:INDEX($A$19:$A$2018,$H$6),1)+1)-INDEX($D$19:$D$2018,MATCH(Q38,$A$19:INDEX($A$19:$A$2018,$H$6),1)))/(INDEX($A$19:$A$2018,MATCH(Q38,$A$19:INDEX($A$19:$A$2018,$H$6),1)+1)-INDEX($A$19:$A$2018,MATCH(Q38,$A$19:INDEX($A$19:$A$2018,$H$6),1))))))</f>
        <v/>
      </c>
    </row>
    <row r="39">
      <c r="A39" s="11" t="n"/>
      <c r="B39" s="11" t="n"/>
      <c r="C39" s="12">
        <f>IF(A39="","",$B$9*TAN(RADIANS(A39)))</f>
        <v/>
      </c>
      <c r="D39" s="12">
        <f>IF(C39="","",C39*(1+B39/100))</f>
        <v/>
      </c>
      <c r="E39" s="12">
        <f>IF(A39="","",$B$10*TAN(RADIANS(A39)))</f>
        <v/>
      </c>
      <c r="G39" s="8" t="n">
        <v>21</v>
      </c>
      <c r="H39" s="8">
        <f>$K$4</f>
        <v/>
      </c>
      <c r="I39" s="7" t="inlineStr">
        <is>
          <t>豎</t>
        </is>
      </c>
      <c r="J39" s="8" t="n">
        <v>1</v>
      </c>
      <c r="K39" s="7" t="inlineStr">
        <is>
          <t>左上</t>
        </is>
      </c>
      <c r="L39" s="8">
        <f>$O$4+($M$4+$L$4)/2-$M$4/2+$L$4/2+0*2*$L$4+(-1)*$L$4/2</f>
        <v/>
      </c>
      <c r="M39" s="8">
        <f>$P$4+(-1)*$M$4/2</f>
        <v/>
      </c>
      <c r="N39" s="8">
        <f>L39-$B$7/2</f>
        <v/>
      </c>
      <c r="O39" s="8">
        <f>M39-$B$8/2</f>
        <v/>
      </c>
      <c r="P39" s="8">
        <f>SQRT(N39^2+O39^2)</f>
        <v/>
      </c>
      <c r="Q39" s="8">
        <f>IF(OR($H$7&lt;&gt;"OK",P39=""),"",IF(P39&lt;=$D$19,$A$19,IF(P39&gt;=INDEX($D$19:$D$2018,$H$6),INDEX($A$19:$A$2018,$H$6),INDEX($A$19:$A$2018,MATCH(P39,$D$19:INDEX($D$19:$D$2018,$H$6),1))+(P39-INDEX($D$19:$D$2018,MATCH(P39,$D$19:INDEX($D$19:$D$2018,$H$6),1)))*(INDEX($A$19:$A$2018,MATCH(P39,$D$19:INDEX($D$19:$D$2018,$H$6),1)+1)-INDEX($A$19:$A$2018,MATCH(P39,$D$19:INDEX($D$19:$D$2018,$H$6),1)))/(INDEX($D$19:$D$2018,MATCH(P39,$D$19:INDEX($D$19:$D$2018,$H$6),1)+1)-INDEX($D$19:$D$2018,MATCH(P39,$D$19:INDEX($D$19:$D$2018,$H$6),1))))))</f>
        <v/>
      </c>
      <c r="R39" s="8">
        <f>IF(P39=0,0,-Y39*N39/P39)</f>
        <v/>
      </c>
      <c r="S39" s="8">
        <f>IF(P39=0,0,Y39*O39/P39)</f>
        <v/>
      </c>
      <c r="T39" s="8">
        <f>IF(Y39=0,$B$7/2,$B$7/2-Z39*R39/Y39)</f>
        <v/>
      </c>
      <c r="U39" s="8">
        <f>IF(Y39=0,$B$8/2,$B$8/2+Z39*S39/Y39)</f>
        <v/>
      </c>
      <c r="V39" s="8">
        <f>SQRT((T39-L39)^2+(U39-M39)^2)</f>
        <v/>
      </c>
      <c r="Y39">
        <f>$B$10*TAN(RADIANS(Q39))</f>
        <v/>
      </c>
      <c r="Z39">
        <f>IF(OR($H$7&lt;&gt;"OK",Q39=""),"",IF(Q39&lt;=$A$19,$D$19,IF(Q39&gt;=INDEX($A$19:$A$2018,$H$6),INDEX($D$19:$D$2018,$H$6),INDEX($D$19:$D$2018,MATCH(Q39,$A$19:INDEX($A$19:$A$2018,$H$6),1))+(Q39-INDEX($A$19:$A$2018,MATCH(Q39,$A$19:INDEX($A$19:$A$2018,$H$6),1)))*(INDEX($D$19:$D$2018,MATCH(Q39,$A$19:INDEX($A$19:$A$2018,$H$6),1)+1)-INDEX($D$19:$D$2018,MATCH(Q39,$A$19:INDEX($A$19:$A$2018,$H$6),1)))/(INDEX($A$19:$A$2018,MATCH(Q39,$A$19:INDEX($A$19:$A$2018,$H$6),1)+1)-INDEX($A$19:$A$2018,MATCH(Q39,$A$19:INDEX($A$19:$A$2018,$H$6),1))))))</f>
        <v/>
      </c>
    </row>
    <row r="40">
      <c r="A40" s="11" t="n"/>
      <c r="B40" s="11" t="n"/>
      <c r="C40" s="12">
        <f>IF(A40="","",$B$9*TAN(RADIANS(A40)))</f>
        <v/>
      </c>
      <c r="D40" s="12">
        <f>IF(C40="","",C40*(1+B40/100))</f>
        <v/>
      </c>
      <c r="E40" s="12">
        <f>IF(A40="","",$B$10*TAN(RADIANS(A40)))</f>
        <v/>
      </c>
      <c r="G40" s="8" t="n">
        <v>22</v>
      </c>
      <c r="H40" s="8">
        <f>$K$4</f>
        <v/>
      </c>
      <c r="I40" s="7" t="inlineStr">
        <is>
          <t>豎</t>
        </is>
      </c>
      <c r="J40" s="8" t="n">
        <v>1</v>
      </c>
      <c r="K40" s="7" t="inlineStr">
        <is>
          <t>右上</t>
        </is>
      </c>
      <c r="L40" s="8">
        <f>$O$4+($M$4+$L$4)/2-$M$4/2+$L$4/2+0*2*$L$4+(1)*$L$4/2</f>
        <v/>
      </c>
      <c r="M40" s="8">
        <f>$P$4+(-1)*$M$4/2</f>
        <v/>
      </c>
      <c r="N40" s="8">
        <f>L40-$B$7/2</f>
        <v/>
      </c>
      <c r="O40" s="8">
        <f>M40-$B$8/2</f>
        <v/>
      </c>
      <c r="P40" s="8">
        <f>SQRT(N40^2+O40^2)</f>
        <v/>
      </c>
      <c r="Q40" s="8">
        <f>IF(OR($H$7&lt;&gt;"OK",P40=""),"",IF(P40&lt;=$D$19,$A$19,IF(P40&gt;=INDEX($D$19:$D$2018,$H$6),INDEX($A$19:$A$2018,$H$6),INDEX($A$19:$A$2018,MATCH(P40,$D$19:INDEX($D$19:$D$2018,$H$6),1))+(P40-INDEX($D$19:$D$2018,MATCH(P40,$D$19:INDEX($D$19:$D$2018,$H$6),1)))*(INDEX($A$19:$A$2018,MATCH(P40,$D$19:INDEX($D$19:$D$2018,$H$6),1)+1)-INDEX($A$19:$A$2018,MATCH(P40,$D$19:INDEX($D$19:$D$2018,$H$6),1)))/(INDEX($D$19:$D$2018,MATCH(P40,$D$19:INDEX($D$19:$D$2018,$H$6),1)+1)-INDEX($D$19:$D$2018,MATCH(P40,$D$19:INDEX($D$19:$D$2018,$H$6),1))))))</f>
        <v/>
      </c>
      <c r="R40" s="8">
        <f>IF(P40=0,0,-Y40*N40/P40)</f>
        <v/>
      </c>
      <c r="S40" s="8">
        <f>IF(P40=0,0,Y40*O40/P40)</f>
        <v/>
      </c>
      <c r="T40" s="8">
        <f>IF(Y40=0,$B$7/2,$B$7/2-Z40*R40/Y40)</f>
        <v/>
      </c>
      <c r="U40" s="8">
        <f>IF(Y40=0,$B$8/2,$B$8/2+Z40*S40/Y40)</f>
        <v/>
      </c>
      <c r="V40" s="8">
        <f>SQRT((T40-L40)^2+(U40-M40)^2)</f>
        <v/>
      </c>
      <c r="Y40">
        <f>$B$10*TAN(RADIANS(Q40))</f>
        <v/>
      </c>
      <c r="Z40">
        <f>IF(OR($H$7&lt;&gt;"OK",Q40=""),"",IF(Q40&lt;=$A$19,$D$19,IF(Q40&gt;=INDEX($A$19:$A$2018,$H$6),INDEX($D$19:$D$2018,$H$6),INDEX($D$19:$D$2018,MATCH(Q40,$A$19:INDEX($A$19:$A$2018,$H$6),1))+(Q40-INDEX($A$19:$A$2018,MATCH(Q40,$A$19:INDEX($A$19:$A$2018,$H$6),1)))*(INDEX($D$19:$D$2018,MATCH(Q40,$A$19:INDEX($A$19:$A$2018,$H$6),1)+1)-INDEX($D$19:$D$2018,MATCH(Q40,$A$19:INDEX($A$19:$A$2018,$H$6),1)))/(INDEX($A$19:$A$2018,MATCH(Q40,$A$19:INDEX($A$19:$A$2018,$H$6),1)+1)-INDEX($A$19:$A$2018,MATCH(Q40,$A$19:INDEX($A$19:$A$2018,$H$6),1))))))</f>
        <v/>
      </c>
    </row>
    <row r="41">
      <c r="A41" s="11" t="n"/>
      <c r="B41" s="11" t="n"/>
      <c r="C41" s="12">
        <f>IF(A41="","",$B$9*TAN(RADIANS(A41)))</f>
        <v/>
      </c>
      <c r="D41" s="12">
        <f>IF(C41="","",C41*(1+B41/100))</f>
        <v/>
      </c>
      <c r="E41" s="12">
        <f>IF(A41="","",$B$10*TAN(RADIANS(A41)))</f>
        <v/>
      </c>
      <c r="G41" s="8" t="n">
        <v>23</v>
      </c>
      <c r="H41" s="8">
        <f>$K$4</f>
        <v/>
      </c>
      <c r="I41" s="7" t="inlineStr">
        <is>
          <t>豎</t>
        </is>
      </c>
      <c r="J41" s="8" t="n">
        <v>1</v>
      </c>
      <c r="K41" s="7" t="inlineStr">
        <is>
          <t>右下</t>
        </is>
      </c>
      <c r="L41" s="8">
        <f>$O$4+($M$4+$L$4)/2-$M$4/2+$L$4/2+0*2*$L$4+(1)*$L$4/2</f>
        <v/>
      </c>
      <c r="M41" s="8">
        <f>$P$4+(1)*$M$4/2</f>
        <v/>
      </c>
      <c r="N41" s="8">
        <f>L41-$B$7/2</f>
        <v/>
      </c>
      <c r="O41" s="8">
        <f>M41-$B$8/2</f>
        <v/>
      </c>
      <c r="P41" s="8">
        <f>SQRT(N41^2+O41^2)</f>
        <v/>
      </c>
      <c r="Q41" s="8">
        <f>IF(OR($H$7&lt;&gt;"OK",P41=""),"",IF(P41&lt;=$D$19,$A$19,IF(P41&gt;=INDEX($D$19:$D$2018,$H$6),INDEX($A$19:$A$2018,$H$6),INDEX($A$19:$A$2018,MATCH(P41,$D$19:INDEX($D$19:$D$2018,$H$6),1))+(P41-INDEX($D$19:$D$2018,MATCH(P41,$D$19:INDEX($D$19:$D$2018,$H$6),1)))*(INDEX($A$19:$A$2018,MATCH(P41,$D$19:INDEX($D$19:$D$2018,$H$6),1)+1)-INDEX($A$19:$A$2018,MATCH(P41,$D$19:INDEX($D$19:$D$2018,$H$6),1)))/(INDEX($D$19:$D$2018,MATCH(P41,$D$19:INDEX($D$19:$D$2018,$H$6),1)+1)-INDEX($D$19:$D$2018,MATCH(P41,$D$19:INDEX($D$19:$D$2018,$H$6),1))))))</f>
        <v/>
      </c>
      <c r="R41" s="8">
        <f>IF(P41=0,0,-Y41*N41/P41)</f>
        <v/>
      </c>
      <c r="S41" s="8">
        <f>IF(P41=0,0,Y41*O41/P41)</f>
        <v/>
      </c>
      <c r="T41" s="8">
        <f>IF(Y41=0,$B$7/2,$B$7/2-Z41*R41/Y41)</f>
        <v/>
      </c>
      <c r="U41" s="8">
        <f>IF(Y41=0,$B$8/2,$B$8/2+Z41*S41/Y41)</f>
        <v/>
      </c>
      <c r="V41" s="8">
        <f>SQRT((T41-L41)^2+(U41-M41)^2)</f>
        <v/>
      </c>
      <c r="Y41">
        <f>$B$10*TAN(RADIANS(Q41))</f>
        <v/>
      </c>
      <c r="Z41">
        <f>IF(OR($H$7&lt;&gt;"OK",Q41=""),"",IF(Q41&lt;=$A$19,$D$19,IF(Q41&gt;=INDEX($A$19:$A$2018,$H$6),INDEX($D$19:$D$2018,$H$6),INDEX($D$19:$D$2018,MATCH(Q41,$A$19:INDEX($A$19:$A$2018,$H$6),1))+(Q41-INDEX($A$19:$A$2018,MATCH(Q41,$A$19:INDEX($A$19:$A$2018,$H$6),1)))*(INDEX($D$19:$D$2018,MATCH(Q41,$A$19:INDEX($A$19:$A$2018,$H$6),1)+1)-INDEX($D$19:$D$2018,MATCH(Q41,$A$19:INDEX($A$19:$A$2018,$H$6),1)))/(INDEX($A$19:$A$2018,MATCH(Q41,$A$19:INDEX($A$19:$A$2018,$H$6),1)+1)-INDEX($A$19:$A$2018,MATCH(Q41,$A$19:INDEX($A$19:$A$2018,$H$6),1))))))</f>
        <v/>
      </c>
    </row>
    <row r="42">
      <c r="A42" s="11" t="n"/>
      <c r="B42" s="11" t="n"/>
      <c r="C42" s="12">
        <f>IF(A42="","",$B$9*TAN(RADIANS(A42)))</f>
        <v/>
      </c>
      <c r="D42" s="12">
        <f>IF(C42="","",C42*(1+B42/100))</f>
        <v/>
      </c>
      <c r="E42" s="12">
        <f>IF(A42="","",$B$10*TAN(RADIANS(A42)))</f>
        <v/>
      </c>
      <c r="G42" s="8" t="n">
        <v>24</v>
      </c>
      <c r="H42" s="8">
        <f>$K$4</f>
        <v/>
      </c>
      <c r="I42" s="7" t="inlineStr">
        <is>
          <t>豎</t>
        </is>
      </c>
      <c r="J42" s="8" t="n">
        <v>1</v>
      </c>
      <c r="K42" s="7" t="inlineStr">
        <is>
          <t>左下</t>
        </is>
      </c>
      <c r="L42" s="8">
        <f>$O$4+($M$4+$L$4)/2-$M$4/2+$L$4/2+0*2*$L$4+(-1)*$L$4/2</f>
        <v/>
      </c>
      <c r="M42" s="8">
        <f>$P$4+(1)*$M$4/2</f>
        <v/>
      </c>
      <c r="N42" s="8">
        <f>L42-$B$7/2</f>
        <v/>
      </c>
      <c r="O42" s="8">
        <f>M42-$B$8/2</f>
        <v/>
      </c>
      <c r="P42" s="8">
        <f>SQRT(N42^2+O42^2)</f>
        <v/>
      </c>
      <c r="Q42" s="8">
        <f>IF(OR($H$7&lt;&gt;"OK",P42=""),"",IF(P42&lt;=$D$19,$A$19,IF(P42&gt;=INDEX($D$19:$D$2018,$H$6),INDEX($A$19:$A$2018,$H$6),INDEX($A$19:$A$2018,MATCH(P42,$D$19:INDEX($D$19:$D$2018,$H$6),1))+(P42-INDEX($D$19:$D$2018,MATCH(P42,$D$19:INDEX($D$19:$D$2018,$H$6),1)))*(INDEX($A$19:$A$2018,MATCH(P42,$D$19:INDEX($D$19:$D$2018,$H$6),1)+1)-INDEX($A$19:$A$2018,MATCH(P42,$D$19:INDEX($D$19:$D$2018,$H$6),1)))/(INDEX($D$19:$D$2018,MATCH(P42,$D$19:INDEX($D$19:$D$2018,$H$6),1)+1)-INDEX($D$19:$D$2018,MATCH(P42,$D$19:INDEX($D$19:$D$2018,$H$6),1))))))</f>
        <v/>
      </c>
      <c r="R42" s="8">
        <f>IF(P42=0,0,-Y42*N42/P42)</f>
        <v/>
      </c>
      <c r="S42" s="8">
        <f>IF(P42=0,0,Y42*O42/P42)</f>
        <v/>
      </c>
      <c r="T42" s="8">
        <f>IF(Y42=0,$B$7/2,$B$7/2-Z42*R42/Y42)</f>
        <v/>
      </c>
      <c r="U42" s="8">
        <f>IF(Y42=0,$B$8/2,$B$8/2+Z42*S42/Y42)</f>
        <v/>
      </c>
      <c r="V42" s="8">
        <f>SQRT((T42-L42)^2+(U42-M42)^2)</f>
        <v/>
      </c>
      <c r="Y42">
        <f>$B$10*TAN(RADIANS(Q42))</f>
        <v/>
      </c>
      <c r="Z42">
        <f>IF(OR($H$7&lt;&gt;"OK",Q42=""),"",IF(Q42&lt;=$A$19,$D$19,IF(Q42&gt;=INDEX($A$19:$A$2018,$H$6),INDEX($D$19:$D$2018,$H$6),INDEX($D$19:$D$2018,MATCH(Q42,$A$19:INDEX($A$19:$A$2018,$H$6),1))+(Q42-INDEX($A$19:$A$2018,MATCH(Q42,$A$19:INDEX($A$19:$A$2018,$H$6),1)))*(INDEX($D$19:$D$2018,MATCH(Q42,$A$19:INDEX($A$19:$A$2018,$H$6),1)+1)-INDEX($D$19:$D$2018,MATCH(Q42,$A$19:INDEX($A$19:$A$2018,$H$6),1)))/(INDEX($A$19:$A$2018,MATCH(Q42,$A$19:INDEX($A$19:$A$2018,$H$6),1)+1)-INDEX($A$19:$A$2018,MATCH(Q42,$A$19:INDEX($A$19:$A$2018,$H$6),1))))))</f>
        <v/>
      </c>
    </row>
    <row r="43">
      <c r="A43" s="11" t="n"/>
      <c r="B43" s="11" t="n"/>
      <c r="C43" s="12">
        <f>IF(A43="","",$B$9*TAN(RADIANS(A43)))</f>
        <v/>
      </c>
      <c r="D43" s="12">
        <f>IF(C43="","",C43*(1+B43/100))</f>
        <v/>
      </c>
      <c r="E43" s="12">
        <f>IF(A43="","",$B$10*TAN(RADIANS(A43)))</f>
        <v/>
      </c>
      <c r="G43" s="8" t="n">
        <v>25</v>
      </c>
      <c r="H43" s="8">
        <f>$K$4</f>
        <v/>
      </c>
      <c r="I43" s="7" t="inlineStr">
        <is>
          <t>豎</t>
        </is>
      </c>
      <c r="J43" s="8" t="n">
        <v>2</v>
      </c>
      <c r="K43" s="7" t="inlineStr">
        <is>
          <t>左上</t>
        </is>
      </c>
      <c r="L43" s="8">
        <f>$O$4+($M$4+$L$4)/2-$M$4/2+$L$4/2+1*2*$L$4+(-1)*$L$4/2</f>
        <v/>
      </c>
      <c r="M43" s="8">
        <f>$P$4+(-1)*$M$4/2</f>
        <v/>
      </c>
      <c r="N43" s="8">
        <f>L43-$B$7/2</f>
        <v/>
      </c>
      <c r="O43" s="8">
        <f>M43-$B$8/2</f>
        <v/>
      </c>
      <c r="P43" s="8">
        <f>SQRT(N43^2+O43^2)</f>
        <v/>
      </c>
      <c r="Q43" s="8">
        <f>IF(OR($H$7&lt;&gt;"OK",P43=""),"",IF(P43&lt;=$D$19,$A$19,IF(P43&gt;=INDEX($D$19:$D$2018,$H$6),INDEX($A$19:$A$2018,$H$6),INDEX($A$19:$A$2018,MATCH(P43,$D$19:INDEX($D$19:$D$2018,$H$6),1))+(P43-INDEX($D$19:$D$2018,MATCH(P43,$D$19:INDEX($D$19:$D$2018,$H$6),1)))*(INDEX($A$19:$A$2018,MATCH(P43,$D$19:INDEX($D$19:$D$2018,$H$6),1)+1)-INDEX($A$19:$A$2018,MATCH(P43,$D$19:INDEX($D$19:$D$2018,$H$6),1)))/(INDEX($D$19:$D$2018,MATCH(P43,$D$19:INDEX($D$19:$D$2018,$H$6),1)+1)-INDEX($D$19:$D$2018,MATCH(P43,$D$19:INDEX($D$19:$D$2018,$H$6),1))))))</f>
        <v/>
      </c>
      <c r="R43" s="8">
        <f>IF(P43=0,0,-Y43*N43/P43)</f>
        <v/>
      </c>
      <c r="S43" s="8">
        <f>IF(P43=0,0,Y43*O43/P43)</f>
        <v/>
      </c>
      <c r="T43" s="8">
        <f>IF(Y43=0,$B$7/2,$B$7/2-Z43*R43/Y43)</f>
        <v/>
      </c>
      <c r="U43" s="8">
        <f>IF(Y43=0,$B$8/2,$B$8/2+Z43*S43/Y43)</f>
        <v/>
      </c>
      <c r="V43" s="8">
        <f>SQRT((T43-L43)^2+(U43-M43)^2)</f>
        <v/>
      </c>
      <c r="Y43">
        <f>$B$10*TAN(RADIANS(Q43))</f>
        <v/>
      </c>
      <c r="Z43">
        <f>IF(OR($H$7&lt;&gt;"OK",Q43=""),"",IF(Q43&lt;=$A$19,$D$19,IF(Q43&gt;=INDEX($A$19:$A$2018,$H$6),INDEX($D$19:$D$2018,$H$6),INDEX($D$19:$D$2018,MATCH(Q43,$A$19:INDEX($A$19:$A$2018,$H$6),1))+(Q43-INDEX($A$19:$A$2018,MATCH(Q43,$A$19:INDEX($A$19:$A$2018,$H$6),1)))*(INDEX($D$19:$D$2018,MATCH(Q43,$A$19:INDEX($A$19:$A$2018,$H$6),1)+1)-INDEX($D$19:$D$2018,MATCH(Q43,$A$19:INDEX($A$19:$A$2018,$H$6),1)))/(INDEX($A$19:$A$2018,MATCH(Q43,$A$19:INDEX($A$19:$A$2018,$H$6),1)+1)-INDEX($A$19:$A$2018,MATCH(Q43,$A$19:INDEX($A$19:$A$2018,$H$6),1))))))</f>
        <v/>
      </c>
    </row>
    <row r="44">
      <c r="A44" s="11" t="n"/>
      <c r="B44" s="11" t="n"/>
      <c r="C44" s="12">
        <f>IF(A44="","",$B$9*TAN(RADIANS(A44)))</f>
        <v/>
      </c>
      <c r="D44" s="12">
        <f>IF(C44="","",C44*(1+B44/100))</f>
        <v/>
      </c>
      <c r="E44" s="12">
        <f>IF(A44="","",$B$10*TAN(RADIANS(A44)))</f>
        <v/>
      </c>
      <c r="G44" s="8" t="n">
        <v>26</v>
      </c>
      <c r="H44" s="8">
        <f>$K$4</f>
        <v/>
      </c>
      <c r="I44" s="7" t="inlineStr">
        <is>
          <t>豎</t>
        </is>
      </c>
      <c r="J44" s="8" t="n">
        <v>2</v>
      </c>
      <c r="K44" s="7" t="inlineStr">
        <is>
          <t>右上</t>
        </is>
      </c>
      <c r="L44" s="8">
        <f>$O$4+($M$4+$L$4)/2-$M$4/2+$L$4/2+1*2*$L$4+(1)*$L$4/2</f>
        <v/>
      </c>
      <c r="M44" s="8">
        <f>$P$4+(-1)*$M$4/2</f>
        <v/>
      </c>
      <c r="N44" s="8">
        <f>L44-$B$7/2</f>
        <v/>
      </c>
      <c r="O44" s="8">
        <f>M44-$B$8/2</f>
        <v/>
      </c>
      <c r="P44" s="8">
        <f>SQRT(N44^2+O44^2)</f>
        <v/>
      </c>
      <c r="Q44" s="8">
        <f>IF(OR($H$7&lt;&gt;"OK",P44=""),"",IF(P44&lt;=$D$19,$A$19,IF(P44&gt;=INDEX($D$19:$D$2018,$H$6),INDEX($A$19:$A$2018,$H$6),INDEX($A$19:$A$2018,MATCH(P44,$D$19:INDEX($D$19:$D$2018,$H$6),1))+(P44-INDEX($D$19:$D$2018,MATCH(P44,$D$19:INDEX($D$19:$D$2018,$H$6),1)))*(INDEX($A$19:$A$2018,MATCH(P44,$D$19:INDEX($D$19:$D$2018,$H$6),1)+1)-INDEX($A$19:$A$2018,MATCH(P44,$D$19:INDEX($D$19:$D$2018,$H$6),1)))/(INDEX($D$19:$D$2018,MATCH(P44,$D$19:INDEX($D$19:$D$2018,$H$6),1)+1)-INDEX($D$19:$D$2018,MATCH(P44,$D$19:INDEX($D$19:$D$2018,$H$6),1))))))</f>
        <v/>
      </c>
      <c r="R44" s="8">
        <f>IF(P44=0,0,-Y44*N44/P44)</f>
        <v/>
      </c>
      <c r="S44" s="8">
        <f>IF(P44=0,0,Y44*O44/P44)</f>
        <v/>
      </c>
      <c r="T44" s="8">
        <f>IF(Y44=0,$B$7/2,$B$7/2-Z44*R44/Y44)</f>
        <v/>
      </c>
      <c r="U44" s="8">
        <f>IF(Y44=0,$B$8/2,$B$8/2+Z44*S44/Y44)</f>
        <v/>
      </c>
      <c r="V44" s="8">
        <f>SQRT((T44-L44)^2+(U44-M44)^2)</f>
        <v/>
      </c>
      <c r="Y44">
        <f>$B$10*TAN(RADIANS(Q44))</f>
        <v/>
      </c>
      <c r="Z44">
        <f>IF(OR($H$7&lt;&gt;"OK",Q44=""),"",IF(Q44&lt;=$A$19,$D$19,IF(Q44&gt;=INDEX($A$19:$A$2018,$H$6),INDEX($D$19:$D$2018,$H$6),INDEX($D$19:$D$2018,MATCH(Q44,$A$19:INDEX($A$19:$A$2018,$H$6),1))+(Q44-INDEX($A$19:$A$2018,MATCH(Q44,$A$19:INDEX($A$19:$A$2018,$H$6),1)))*(INDEX($D$19:$D$2018,MATCH(Q44,$A$19:INDEX($A$19:$A$2018,$H$6),1)+1)-INDEX($D$19:$D$2018,MATCH(Q44,$A$19:INDEX($A$19:$A$2018,$H$6),1)))/(INDEX($A$19:$A$2018,MATCH(Q44,$A$19:INDEX($A$19:$A$2018,$H$6),1)+1)-INDEX($A$19:$A$2018,MATCH(Q44,$A$19:INDEX($A$19:$A$2018,$H$6),1))))))</f>
        <v/>
      </c>
    </row>
    <row r="45">
      <c r="A45" s="11" t="n"/>
      <c r="B45" s="11" t="n"/>
      <c r="C45" s="12">
        <f>IF(A45="","",$B$9*TAN(RADIANS(A45)))</f>
        <v/>
      </c>
      <c r="D45" s="12">
        <f>IF(C45="","",C45*(1+B45/100))</f>
        <v/>
      </c>
      <c r="E45" s="12">
        <f>IF(A45="","",$B$10*TAN(RADIANS(A45)))</f>
        <v/>
      </c>
      <c r="G45" s="8" t="n">
        <v>27</v>
      </c>
      <c r="H45" s="8">
        <f>$K$4</f>
        <v/>
      </c>
      <c r="I45" s="7" t="inlineStr">
        <is>
          <t>豎</t>
        </is>
      </c>
      <c r="J45" s="8" t="n">
        <v>2</v>
      </c>
      <c r="K45" s="7" t="inlineStr">
        <is>
          <t>右下</t>
        </is>
      </c>
      <c r="L45" s="8">
        <f>$O$4+($M$4+$L$4)/2-$M$4/2+$L$4/2+1*2*$L$4+(1)*$L$4/2</f>
        <v/>
      </c>
      <c r="M45" s="8">
        <f>$P$4+(1)*$M$4/2</f>
        <v/>
      </c>
      <c r="N45" s="8">
        <f>L45-$B$7/2</f>
        <v/>
      </c>
      <c r="O45" s="8">
        <f>M45-$B$8/2</f>
        <v/>
      </c>
      <c r="P45" s="8">
        <f>SQRT(N45^2+O45^2)</f>
        <v/>
      </c>
      <c r="Q45" s="8">
        <f>IF(OR($H$7&lt;&gt;"OK",P45=""),"",IF(P45&lt;=$D$19,$A$19,IF(P45&gt;=INDEX($D$19:$D$2018,$H$6),INDEX($A$19:$A$2018,$H$6),INDEX($A$19:$A$2018,MATCH(P45,$D$19:INDEX($D$19:$D$2018,$H$6),1))+(P45-INDEX($D$19:$D$2018,MATCH(P45,$D$19:INDEX($D$19:$D$2018,$H$6),1)))*(INDEX($A$19:$A$2018,MATCH(P45,$D$19:INDEX($D$19:$D$2018,$H$6),1)+1)-INDEX($A$19:$A$2018,MATCH(P45,$D$19:INDEX($D$19:$D$2018,$H$6),1)))/(INDEX($D$19:$D$2018,MATCH(P45,$D$19:INDEX($D$19:$D$2018,$H$6),1)+1)-INDEX($D$19:$D$2018,MATCH(P45,$D$19:INDEX($D$19:$D$2018,$H$6),1))))))</f>
        <v/>
      </c>
      <c r="R45" s="8">
        <f>IF(P45=0,0,-Y45*N45/P45)</f>
        <v/>
      </c>
      <c r="S45" s="8">
        <f>IF(P45=0,0,Y45*O45/P45)</f>
        <v/>
      </c>
      <c r="T45" s="8">
        <f>IF(Y45=0,$B$7/2,$B$7/2-Z45*R45/Y45)</f>
        <v/>
      </c>
      <c r="U45" s="8">
        <f>IF(Y45=0,$B$8/2,$B$8/2+Z45*S45/Y45)</f>
        <v/>
      </c>
      <c r="V45" s="8">
        <f>SQRT((T45-L45)^2+(U45-M45)^2)</f>
        <v/>
      </c>
      <c r="Y45">
        <f>$B$10*TAN(RADIANS(Q45))</f>
        <v/>
      </c>
      <c r="Z45">
        <f>IF(OR($H$7&lt;&gt;"OK",Q45=""),"",IF(Q45&lt;=$A$19,$D$19,IF(Q45&gt;=INDEX($A$19:$A$2018,$H$6),INDEX($D$19:$D$2018,$H$6),INDEX($D$19:$D$2018,MATCH(Q45,$A$19:INDEX($A$19:$A$2018,$H$6),1))+(Q45-INDEX($A$19:$A$2018,MATCH(Q45,$A$19:INDEX($A$19:$A$2018,$H$6),1)))*(INDEX($D$19:$D$2018,MATCH(Q45,$A$19:INDEX($A$19:$A$2018,$H$6),1)+1)-INDEX($D$19:$D$2018,MATCH(Q45,$A$19:INDEX($A$19:$A$2018,$H$6),1)))/(INDEX($A$19:$A$2018,MATCH(Q45,$A$19:INDEX($A$19:$A$2018,$H$6),1)+1)-INDEX($A$19:$A$2018,MATCH(Q45,$A$19:INDEX($A$19:$A$2018,$H$6),1))))))</f>
        <v/>
      </c>
    </row>
    <row r="46">
      <c r="A46" s="11" t="n"/>
      <c r="B46" s="11" t="n"/>
      <c r="C46" s="12">
        <f>IF(A46="","",$B$9*TAN(RADIANS(A46)))</f>
        <v/>
      </c>
      <c r="D46" s="12">
        <f>IF(C46="","",C46*(1+B46/100))</f>
        <v/>
      </c>
      <c r="E46" s="12">
        <f>IF(A46="","",$B$10*TAN(RADIANS(A46)))</f>
        <v/>
      </c>
      <c r="G46" s="8" t="n">
        <v>28</v>
      </c>
      <c r="H46" s="8">
        <f>$K$4</f>
        <v/>
      </c>
      <c r="I46" s="7" t="inlineStr">
        <is>
          <t>豎</t>
        </is>
      </c>
      <c r="J46" s="8" t="n">
        <v>2</v>
      </c>
      <c r="K46" s="7" t="inlineStr">
        <is>
          <t>左下</t>
        </is>
      </c>
      <c r="L46" s="8">
        <f>$O$4+($M$4+$L$4)/2-$M$4/2+$L$4/2+1*2*$L$4+(-1)*$L$4/2</f>
        <v/>
      </c>
      <c r="M46" s="8">
        <f>$P$4+(1)*$M$4/2</f>
        <v/>
      </c>
      <c r="N46" s="8">
        <f>L46-$B$7/2</f>
        <v/>
      </c>
      <c r="O46" s="8">
        <f>M46-$B$8/2</f>
        <v/>
      </c>
      <c r="P46" s="8">
        <f>SQRT(N46^2+O46^2)</f>
        <v/>
      </c>
      <c r="Q46" s="8">
        <f>IF(OR($H$7&lt;&gt;"OK",P46=""),"",IF(P46&lt;=$D$19,$A$19,IF(P46&gt;=INDEX($D$19:$D$2018,$H$6),INDEX($A$19:$A$2018,$H$6),INDEX($A$19:$A$2018,MATCH(P46,$D$19:INDEX($D$19:$D$2018,$H$6),1))+(P46-INDEX($D$19:$D$2018,MATCH(P46,$D$19:INDEX($D$19:$D$2018,$H$6),1)))*(INDEX($A$19:$A$2018,MATCH(P46,$D$19:INDEX($D$19:$D$2018,$H$6),1)+1)-INDEX($A$19:$A$2018,MATCH(P46,$D$19:INDEX($D$19:$D$2018,$H$6),1)))/(INDEX($D$19:$D$2018,MATCH(P46,$D$19:INDEX($D$19:$D$2018,$H$6),1)+1)-INDEX($D$19:$D$2018,MATCH(P46,$D$19:INDEX($D$19:$D$2018,$H$6),1))))))</f>
        <v/>
      </c>
      <c r="R46" s="8">
        <f>IF(P46=0,0,-Y46*N46/P46)</f>
        <v/>
      </c>
      <c r="S46" s="8">
        <f>IF(P46=0,0,Y46*O46/P46)</f>
        <v/>
      </c>
      <c r="T46" s="8">
        <f>IF(Y46=0,$B$7/2,$B$7/2-Z46*R46/Y46)</f>
        <v/>
      </c>
      <c r="U46" s="8">
        <f>IF(Y46=0,$B$8/2,$B$8/2+Z46*S46/Y46)</f>
        <v/>
      </c>
      <c r="V46" s="8">
        <f>SQRT((T46-L46)^2+(U46-M46)^2)</f>
        <v/>
      </c>
      <c r="Y46">
        <f>$B$10*TAN(RADIANS(Q46))</f>
        <v/>
      </c>
      <c r="Z46">
        <f>IF(OR($H$7&lt;&gt;"OK",Q46=""),"",IF(Q46&lt;=$A$19,$D$19,IF(Q46&gt;=INDEX($A$19:$A$2018,$H$6),INDEX($D$19:$D$2018,$H$6),INDEX($D$19:$D$2018,MATCH(Q46,$A$19:INDEX($A$19:$A$2018,$H$6),1))+(Q46-INDEX($A$19:$A$2018,MATCH(Q46,$A$19:INDEX($A$19:$A$2018,$H$6),1)))*(INDEX($D$19:$D$2018,MATCH(Q46,$A$19:INDEX($A$19:$A$2018,$H$6),1)+1)-INDEX($D$19:$D$2018,MATCH(Q46,$A$19:INDEX($A$19:$A$2018,$H$6),1)))/(INDEX($A$19:$A$2018,MATCH(Q46,$A$19:INDEX($A$19:$A$2018,$H$6),1)+1)-INDEX($A$19:$A$2018,MATCH(Q46,$A$19:INDEX($A$19:$A$2018,$H$6),1))))))</f>
        <v/>
      </c>
    </row>
    <row r="47">
      <c r="A47" s="11" t="n"/>
      <c r="B47" s="11" t="n"/>
      <c r="C47" s="12">
        <f>IF(A47="","",$B$9*TAN(RADIANS(A47)))</f>
        <v/>
      </c>
      <c r="D47" s="12">
        <f>IF(C47="","",C47*(1+B47/100))</f>
        <v/>
      </c>
      <c r="E47" s="12">
        <f>IF(A47="","",$B$10*TAN(RADIANS(A47)))</f>
        <v/>
      </c>
      <c r="G47" s="8" t="n">
        <v>29</v>
      </c>
      <c r="H47" s="8">
        <f>$K$4</f>
        <v/>
      </c>
      <c r="I47" s="7" t="inlineStr">
        <is>
          <t>豎</t>
        </is>
      </c>
      <c r="J47" s="8" t="n">
        <v>3</v>
      </c>
      <c r="K47" s="7" t="inlineStr">
        <is>
          <t>左上</t>
        </is>
      </c>
      <c r="L47" s="8">
        <f>$O$4+($M$4+$L$4)/2-$M$4/2+$L$4/2+2*2*$L$4+(-1)*$L$4/2</f>
        <v/>
      </c>
      <c r="M47" s="8">
        <f>$P$4+(-1)*$M$4/2</f>
        <v/>
      </c>
      <c r="N47" s="8">
        <f>L47-$B$7/2</f>
        <v/>
      </c>
      <c r="O47" s="8">
        <f>M47-$B$8/2</f>
        <v/>
      </c>
      <c r="P47" s="8">
        <f>SQRT(N47^2+O47^2)</f>
        <v/>
      </c>
      <c r="Q47" s="8">
        <f>IF(OR($H$7&lt;&gt;"OK",P47=""),"",IF(P47&lt;=$D$19,$A$19,IF(P47&gt;=INDEX($D$19:$D$2018,$H$6),INDEX($A$19:$A$2018,$H$6),INDEX($A$19:$A$2018,MATCH(P47,$D$19:INDEX($D$19:$D$2018,$H$6),1))+(P47-INDEX($D$19:$D$2018,MATCH(P47,$D$19:INDEX($D$19:$D$2018,$H$6),1)))*(INDEX($A$19:$A$2018,MATCH(P47,$D$19:INDEX($D$19:$D$2018,$H$6),1)+1)-INDEX($A$19:$A$2018,MATCH(P47,$D$19:INDEX($D$19:$D$2018,$H$6),1)))/(INDEX($D$19:$D$2018,MATCH(P47,$D$19:INDEX($D$19:$D$2018,$H$6),1)+1)-INDEX($D$19:$D$2018,MATCH(P47,$D$19:INDEX($D$19:$D$2018,$H$6),1))))))</f>
        <v/>
      </c>
      <c r="R47" s="8">
        <f>IF(P47=0,0,-Y47*N47/P47)</f>
        <v/>
      </c>
      <c r="S47" s="8">
        <f>IF(P47=0,0,Y47*O47/P47)</f>
        <v/>
      </c>
      <c r="T47" s="8">
        <f>IF(Y47=0,$B$7/2,$B$7/2-Z47*R47/Y47)</f>
        <v/>
      </c>
      <c r="U47" s="8">
        <f>IF(Y47=0,$B$8/2,$B$8/2+Z47*S47/Y47)</f>
        <v/>
      </c>
      <c r="V47" s="8">
        <f>SQRT((T47-L47)^2+(U47-M47)^2)</f>
        <v/>
      </c>
      <c r="Y47">
        <f>$B$10*TAN(RADIANS(Q47))</f>
        <v/>
      </c>
      <c r="Z47">
        <f>IF(OR($H$7&lt;&gt;"OK",Q47=""),"",IF(Q47&lt;=$A$19,$D$19,IF(Q47&gt;=INDEX($A$19:$A$2018,$H$6),INDEX($D$19:$D$2018,$H$6),INDEX($D$19:$D$2018,MATCH(Q47,$A$19:INDEX($A$19:$A$2018,$H$6),1))+(Q47-INDEX($A$19:$A$2018,MATCH(Q47,$A$19:INDEX($A$19:$A$2018,$H$6),1)))*(INDEX($D$19:$D$2018,MATCH(Q47,$A$19:INDEX($A$19:$A$2018,$H$6),1)+1)-INDEX($D$19:$D$2018,MATCH(Q47,$A$19:INDEX($A$19:$A$2018,$H$6),1)))/(INDEX($A$19:$A$2018,MATCH(Q47,$A$19:INDEX($A$19:$A$2018,$H$6),1)+1)-INDEX($A$19:$A$2018,MATCH(Q47,$A$19:INDEX($A$19:$A$2018,$H$6),1))))))</f>
        <v/>
      </c>
    </row>
    <row r="48">
      <c r="A48" s="11" t="n"/>
      <c r="B48" s="11" t="n"/>
      <c r="C48" s="12">
        <f>IF(A48="","",$B$9*TAN(RADIANS(A48)))</f>
        <v/>
      </c>
      <c r="D48" s="12">
        <f>IF(C48="","",C48*(1+B48/100))</f>
        <v/>
      </c>
      <c r="E48" s="12">
        <f>IF(A48="","",$B$10*TAN(RADIANS(A48)))</f>
        <v/>
      </c>
      <c r="G48" s="8" t="n">
        <v>30</v>
      </c>
      <c r="H48" s="8">
        <f>$K$4</f>
        <v/>
      </c>
      <c r="I48" s="7" t="inlineStr">
        <is>
          <t>豎</t>
        </is>
      </c>
      <c r="J48" s="8" t="n">
        <v>3</v>
      </c>
      <c r="K48" s="7" t="inlineStr">
        <is>
          <t>右上</t>
        </is>
      </c>
      <c r="L48" s="8">
        <f>$O$4+($M$4+$L$4)/2-$M$4/2+$L$4/2+2*2*$L$4+(1)*$L$4/2</f>
        <v/>
      </c>
      <c r="M48" s="8">
        <f>$P$4+(-1)*$M$4/2</f>
        <v/>
      </c>
      <c r="N48" s="8">
        <f>L48-$B$7/2</f>
        <v/>
      </c>
      <c r="O48" s="8">
        <f>M48-$B$8/2</f>
        <v/>
      </c>
      <c r="P48" s="8">
        <f>SQRT(N48^2+O48^2)</f>
        <v/>
      </c>
      <c r="Q48" s="8">
        <f>IF(OR($H$7&lt;&gt;"OK",P48=""),"",IF(P48&lt;=$D$19,$A$19,IF(P48&gt;=INDEX($D$19:$D$2018,$H$6),INDEX($A$19:$A$2018,$H$6),INDEX($A$19:$A$2018,MATCH(P48,$D$19:INDEX($D$19:$D$2018,$H$6),1))+(P48-INDEX($D$19:$D$2018,MATCH(P48,$D$19:INDEX($D$19:$D$2018,$H$6),1)))*(INDEX($A$19:$A$2018,MATCH(P48,$D$19:INDEX($D$19:$D$2018,$H$6),1)+1)-INDEX($A$19:$A$2018,MATCH(P48,$D$19:INDEX($D$19:$D$2018,$H$6),1)))/(INDEX($D$19:$D$2018,MATCH(P48,$D$19:INDEX($D$19:$D$2018,$H$6),1)+1)-INDEX($D$19:$D$2018,MATCH(P48,$D$19:INDEX($D$19:$D$2018,$H$6),1))))))</f>
        <v/>
      </c>
      <c r="R48" s="8">
        <f>IF(P48=0,0,-Y48*N48/P48)</f>
        <v/>
      </c>
      <c r="S48" s="8">
        <f>IF(P48=0,0,Y48*O48/P48)</f>
        <v/>
      </c>
      <c r="T48" s="8">
        <f>IF(Y48=0,$B$7/2,$B$7/2-Z48*R48/Y48)</f>
        <v/>
      </c>
      <c r="U48" s="8">
        <f>IF(Y48=0,$B$8/2,$B$8/2+Z48*S48/Y48)</f>
        <v/>
      </c>
      <c r="V48" s="8">
        <f>SQRT((T48-L48)^2+(U48-M48)^2)</f>
        <v/>
      </c>
      <c r="Y48">
        <f>$B$10*TAN(RADIANS(Q48))</f>
        <v/>
      </c>
      <c r="Z48">
        <f>IF(OR($H$7&lt;&gt;"OK",Q48=""),"",IF(Q48&lt;=$A$19,$D$19,IF(Q48&gt;=INDEX($A$19:$A$2018,$H$6),INDEX($D$19:$D$2018,$H$6),INDEX($D$19:$D$2018,MATCH(Q48,$A$19:INDEX($A$19:$A$2018,$H$6),1))+(Q48-INDEX($A$19:$A$2018,MATCH(Q48,$A$19:INDEX($A$19:$A$2018,$H$6),1)))*(INDEX($D$19:$D$2018,MATCH(Q48,$A$19:INDEX($A$19:$A$2018,$H$6),1)+1)-INDEX($D$19:$D$2018,MATCH(Q48,$A$19:INDEX($A$19:$A$2018,$H$6),1)))/(INDEX($A$19:$A$2018,MATCH(Q48,$A$19:INDEX($A$19:$A$2018,$H$6),1)+1)-INDEX($A$19:$A$2018,MATCH(Q48,$A$19:INDEX($A$19:$A$2018,$H$6),1))))))</f>
        <v/>
      </c>
    </row>
    <row r="49">
      <c r="A49" s="11" t="n"/>
      <c r="B49" s="11" t="n"/>
      <c r="C49" s="12">
        <f>IF(A49="","",$B$9*TAN(RADIANS(A49)))</f>
        <v/>
      </c>
      <c r="D49" s="12">
        <f>IF(C49="","",C49*(1+B49/100))</f>
        <v/>
      </c>
      <c r="E49" s="12">
        <f>IF(A49="","",$B$10*TAN(RADIANS(A49)))</f>
        <v/>
      </c>
      <c r="G49" s="8" t="n">
        <v>31</v>
      </c>
      <c r="H49" s="8">
        <f>$K$4</f>
        <v/>
      </c>
      <c r="I49" s="7" t="inlineStr">
        <is>
          <t>豎</t>
        </is>
      </c>
      <c r="J49" s="8" t="n">
        <v>3</v>
      </c>
      <c r="K49" s="7" t="inlineStr">
        <is>
          <t>右下</t>
        </is>
      </c>
      <c r="L49" s="8">
        <f>$O$4+($M$4+$L$4)/2-$M$4/2+$L$4/2+2*2*$L$4+(1)*$L$4/2</f>
        <v/>
      </c>
      <c r="M49" s="8">
        <f>$P$4+(1)*$M$4/2</f>
        <v/>
      </c>
      <c r="N49" s="8">
        <f>L49-$B$7/2</f>
        <v/>
      </c>
      <c r="O49" s="8">
        <f>M49-$B$8/2</f>
        <v/>
      </c>
      <c r="P49" s="8">
        <f>SQRT(N49^2+O49^2)</f>
        <v/>
      </c>
      <c r="Q49" s="8">
        <f>IF(OR($H$7&lt;&gt;"OK",P49=""),"",IF(P49&lt;=$D$19,$A$19,IF(P49&gt;=INDEX($D$19:$D$2018,$H$6),INDEX($A$19:$A$2018,$H$6),INDEX($A$19:$A$2018,MATCH(P49,$D$19:INDEX($D$19:$D$2018,$H$6),1))+(P49-INDEX($D$19:$D$2018,MATCH(P49,$D$19:INDEX($D$19:$D$2018,$H$6),1)))*(INDEX($A$19:$A$2018,MATCH(P49,$D$19:INDEX($D$19:$D$2018,$H$6),1)+1)-INDEX($A$19:$A$2018,MATCH(P49,$D$19:INDEX($D$19:$D$2018,$H$6),1)))/(INDEX($D$19:$D$2018,MATCH(P49,$D$19:INDEX($D$19:$D$2018,$H$6),1)+1)-INDEX($D$19:$D$2018,MATCH(P49,$D$19:INDEX($D$19:$D$2018,$H$6),1))))))</f>
        <v/>
      </c>
      <c r="R49" s="8">
        <f>IF(P49=0,0,-Y49*N49/P49)</f>
        <v/>
      </c>
      <c r="S49" s="8">
        <f>IF(P49=0,0,Y49*O49/P49)</f>
        <v/>
      </c>
      <c r="T49" s="8">
        <f>IF(Y49=0,$B$7/2,$B$7/2-Z49*R49/Y49)</f>
        <v/>
      </c>
      <c r="U49" s="8">
        <f>IF(Y49=0,$B$8/2,$B$8/2+Z49*S49/Y49)</f>
        <v/>
      </c>
      <c r="V49" s="8">
        <f>SQRT((T49-L49)^2+(U49-M49)^2)</f>
        <v/>
      </c>
      <c r="Y49">
        <f>$B$10*TAN(RADIANS(Q49))</f>
        <v/>
      </c>
      <c r="Z49">
        <f>IF(OR($H$7&lt;&gt;"OK",Q49=""),"",IF(Q49&lt;=$A$19,$D$19,IF(Q49&gt;=INDEX($A$19:$A$2018,$H$6),INDEX($D$19:$D$2018,$H$6),INDEX($D$19:$D$2018,MATCH(Q49,$A$19:INDEX($A$19:$A$2018,$H$6),1))+(Q49-INDEX($A$19:$A$2018,MATCH(Q49,$A$19:INDEX($A$19:$A$2018,$H$6),1)))*(INDEX($D$19:$D$2018,MATCH(Q49,$A$19:INDEX($A$19:$A$2018,$H$6),1)+1)-INDEX($D$19:$D$2018,MATCH(Q49,$A$19:INDEX($A$19:$A$2018,$H$6),1)))/(INDEX($A$19:$A$2018,MATCH(Q49,$A$19:INDEX($A$19:$A$2018,$H$6),1)+1)-INDEX($A$19:$A$2018,MATCH(Q49,$A$19:INDEX($A$19:$A$2018,$H$6),1))))))</f>
        <v/>
      </c>
    </row>
    <row r="50">
      <c r="A50" s="11" t="n"/>
      <c r="B50" s="11" t="n"/>
      <c r="C50" s="12">
        <f>IF(A50="","",$B$9*TAN(RADIANS(A50)))</f>
        <v/>
      </c>
      <c r="D50" s="12">
        <f>IF(C50="","",C50*(1+B50/100))</f>
        <v/>
      </c>
      <c r="E50" s="12">
        <f>IF(A50="","",$B$10*TAN(RADIANS(A50)))</f>
        <v/>
      </c>
      <c r="G50" s="8" t="n">
        <v>32</v>
      </c>
      <c r="H50" s="8">
        <f>$K$4</f>
        <v/>
      </c>
      <c r="I50" s="7" t="inlineStr">
        <is>
          <t>豎</t>
        </is>
      </c>
      <c r="J50" s="8" t="n">
        <v>3</v>
      </c>
      <c r="K50" s="7" t="inlineStr">
        <is>
          <t>左下</t>
        </is>
      </c>
      <c r="L50" s="8">
        <f>$O$4+($M$4+$L$4)/2-$M$4/2+$L$4/2+2*2*$L$4+(-1)*$L$4/2</f>
        <v/>
      </c>
      <c r="M50" s="8">
        <f>$P$4+(1)*$M$4/2</f>
        <v/>
      </c>
      <c r="N50" s="8">
        <f>L50-$B$7/2</f>
        <v/>
      </c>
      <c r="O50" s="8">
        <f>M50-$B$8/2</f>
        <v/>
      </c>
      <c r="P50" s="8">
        <f>SQRT(N50^2+O50^2)</f>
        <v/>
      </c>
      <c r="Q50" s="8">
        <f>IF(OR($H$7&lt;&gt;"OK",P50=""),"",IF(P50&lt;=$D$19,$A$19,IF(P50&gt;=INDEX($D$19:$D$2018,$H$6),INDEX($A$19:$A$2018,$H$6),INDEX($A$19:$A$2018,MATCH(P50,$D$19:INDEX($D$19:$D$2018,$H$6),1))+(P50-INDEX($D$19:$D$2018,MATCH(P50,$D$19:INDEX($D$19:$D$2018,$H$6),1)))*(INDEX($A$19:$A$2018,MATCH(P50,$D$19:INDEX($D$19:$D$2018,$H$6),1)+1)-INDEX($A$19:$A$2018,MATCH(P50,$D$19:INDEX($D$19:$D$2018,$H$6),1)))/(INDEX($D$19:$D$2018,MATCH(P50,$D$19:INDEX($D$19:$D$2018,$H$6),1)+1)-INDEX($D$19:$D$2018,MATCH(P50,$D$19:INDEX($D$19:$D$2018,$H$6),1))))))</f>
        <v/>
      </c>
      <c r="R50" s="8">
        <f>IF(P50=0,0,-Y50*N50/P50)</f>
        <v/>
      </c>
      <c r="S50" s="8">
        <f>IF(P50=0,0,Y50*O50/P50)</f>
        <v/>
      </c>
      <c r="T50" s="8">
        <f>IF(Y50=0,$B$7/2,$B$7/2-Z50*R50/Y50)</f>
        <v/>
      </c>
      <c r="U50" s="8">
        <f>IF(Y50=0,$B$8/2,$B$8/2+Z50*S50/Y50)</f>
        <v/>
      </c>
      <c r="V50" s="8">
        <f>SQRT((T50-L50)^2+(U50-M50)^2)</f>
        <v/>
      </c>
      <c r="Y50">
        <f>$B$10*TAN(RADIANS(Q50))</f>
        <v/>
      </c>
      <c r="Z50">
        <f>IF(OR($H$7&lt;&gt;"OK",Q50=""),"",IF(Q50&lt;=$A$19,$D$19,IF(Q50&gt;=INDEX($A$19:$A$2018,$H$6),INDEX($D$19:$D$2018,$H$6),INDEX($D$19:$D$2018,MATCH(Q50,$A$19:INDEX($A$19:$A$2018,$H$6),1))+(Q50-INDEX($A$19:$A$2018,MATCH(Q50,$A$19:INDEX($A$19:$A$2018,$H$6),1)))*(INDEX($D$19:$D$2018,MATCH(Q50,$A$19:INDEX($A$19:$A$2018,$H$6),1)+1)-INDEX($D$19:$D$2018,MATCH(Q50,$A$19:INDEX($A$19:$A$2018,$H$6),1)))/(INDEX($A$19:$A$2018,MATCH(Q50,$A$19:INDEX($A$19:$A$2018,$H$6),1)+1)-INDEX($A$19:$A$2018,MATCH(Q50,$A$19:INDEX($A$19:$A$2018,$H$6),1))))))</f>
        <v/>
      </c>
    </row>
    <row r="51">
      <c r="A51" s="11" t="n"/>
      <c r="B51" s="11" t="n"/>
      <c r="C51" s="12">
        <f>IF(A51="","",$B$9*TAN(RADIANS(A51)))</f>
        <v/>
      </c>
      <c r="D51" s="12">
        <f>IF(C51="","",C51*(1+B51/100))</f>
        <v/>
      </c>
      <c r="E51" s="12">
        <f>IF(A51="","",$B$10*TAN(RADIANS(A51)))</f>
        <v/>
      </c>
      <c r="G51" s="8" t="n">
        <v>33</v>
      </c>
      <c r="H51" s="8">
        <f>$K$4</f>
        <v/>
      </c>
      <c r="I51" s="7" t="inlineStr">
        <is>
          <t>豎</t>
        </is>
      </c>
      <c r="J51" s="8" t="n">
        <v>4</v>
      </c>
      <c r="K51" s="7" t="inlineStr">
        <is>
          <t>左上</t>
        </is>
      </c>
      <c r="L51" s="8">
        <f>$O$4+($M$4+$L$4)/2-$M$4/2+$L$4/2+3*2*$L$4+(-1)*$L$4/2</f>
        <v/>
      </c>
      <c r="M51" s="8">
        <f>$P$4+(-1)*$M$4/2</f>
        <v/>
      </c>
      <c r="N51" s="8">
        <f>L51-$B$7/2</f>
        <v/>
      </c>
      <c r="O51" s="8">
        <f>M51-$B$8/2</f>
        <v/>
      </c>
      <c r="P51" s="8">
        <f>SQRT(N51^2+O51^2)</f>
        <v/>
      </c>
      <c r="Q51" s="8">
        <f>IF(OR($H$7&lt;&gt;"OK",P51=""),"",IF(P51&lt;=$D$19,$A$19,IF(P51&gt;=INDEX($D$19:$D$2018,$H$6),INDEX($A$19:$A$2018,$H$6),INDEX($A$19:$A$2018,MATCH(P51,$D$19:INDEX($D$19:$D$2018,$H$6),1))+(P51-INDEX($D$19:$D$2018,MATCH(P51,$D$19:INDEX($D$19:$D$2018,$H$6),1)))*(INDEX($A$19:$A$2018,MATCH(P51,$D$19:INDEX($D$19:$D$2018,$H$6),1)+1)-INDEX($A$19:$A$2018,MATCH(P51,$D$19:INDEX($D$19:$D$2018,$H$6),1)))/(INDEX($D$19:$D$2018,MATCH(P51,$D$19:INDEX($D$19:$D$2018,$H$6),1)+1)-INDEX($D$19:$D$2018,MATCH(P51,$D$19:INDEX($D$19:$D$2018,$H$6),1))))))</f>
        <v/>
      </c>
      <c r="R51" s="8">
        <f>IF(P51=0,0,-Y51*N51/P51)</f>
        <v/>
      </c>
      <c r="S51" s="8">
        <f>IF(P51=0,0,Y51*O51/P51)</f>
        <v/>
      </c>
      <c r="T51" s="8">
        <f>IF(Y51=0,$B$7/2,$B$7/2-Z51*R51/Y51)</f>
        <v/>
      </c>
      <c r="U51" s="8">
        <f>IF(Y51=0,$B$8/2,$B$8/2+Z51*S51/Y51)</f>
        <v/>
      </c>
      <c r="V51" s="8">
        <f>SQRT((T51-L51)^2+(U51-M51)^2)</f>
        <v/>
      </c>
      <c r="Y51">
        <f>$B$10*TAN(RADIANS(Q51))</f>
        <v/>
      </c>
      <c r="Z51">
        <f>IF(OR($H$7&lt;&gt;"OK",Q51=""),"",IF(Q51&lt;=$A$19,$D$19,IF(Q51&gt;=INDEX($A$19:$A$2018,$H$6),INDEX($D$19:$D$2018,$H$6),INDEX($D$19:$D$2018,MATCH(Q51,$A$19:INDEX($A$19:$A$2018,$H$6),1))+(Q51-INDEX($A$19:$A$2018,MATCH(Q51,$A$19:INDEX($A$19:$A$2018,$H$6),1)))*(INDEX($D$19:$D$2018,MATCH(Q51,$A$19:INDEX($A$19:$A$2018,$H$6),1)+1)-INDEX($D$19:$D$2018,MATCH(Q51,$A$19:INDEX($A$19:$A$2018,$H$6),1)))/(INDEX($A$19:$A$2018,MATCH(Q51,$A$19:INDEX($A$19:$A$2018,$H$6),1)+1)-INDEX($A$19:$A$2018,MATCH(Q51,$A$19:INDEX($A$19:$A$2018,$H$6),1))))))</f>
        <v/>
      </c>
    </row>
    <row r="52">
      <c r="A52" s="11" t="n"/>
      <c r="B52" s="11" t="n"/>
      <c r="C52" s="12">
        <f>IF(A52="","",$B$9*TAN(RADIANS(A52)))</f>
        <v/>
      </c>
      <c r="D52" s="12">
        <f>IF(C52="","",C52*(1+B52/100))</f>
        <v/>
      </c>
      <c r="E52" s="12">
        <f>IF(A52="","",$B$10*TAN(RADIANS(A52)))</f>
        <v/>
      </c>
      <c r="G52" s="8" t="n">
        <v>34</v>
      </c>
      <c r="H52" s="8">
        <f>$K$4</f>
        <v/>
      </c>
      <c r="I52" s="7" t="inlineStr">
        <is>
          <t>豎</t>
        </is>
      </c>
      <c r="J52" s="8" t="n">
        <v>4</v>
      </c>
      <c r="K52" s="7" t="inlineStr">
        <is>
          <t>右上</t>
        </is>
      </c>
      <c r="L52" s="8">
        <f>$O$4+($M$4+$L$4)/2-$M$4/2+$L$4/2+3*2*$L$4+(1)*$L$4/2</f>
        <v/>
      </c>
      <c r="M52" s="8">
        <f>$P$4+(-1)*$M$4/2</f>
        <v/>
      </c>
      <c r="N52" s="8">
        <f>L52-$B$7/2</f>
        <v/>
      </c>
      <c r="O52" s="8">
        <f>M52-$B$8/2</f>
        <v/>
      </c>
      <c r="P52" s="8">
        <f>SQRT(N52^2+O52^2)</f>
        <v/>
      </c>
      <c r="Q52" s="8">
        <f>IF(OR($H$7&lt;&gt;"OK",P52=""),"",IF(P52&lt;=$D$19,$A$19,IF(P52&gt;=INDEX($D$19:$D$2018,$H$6),INDEX($A$19:$A$2018,$H$6),INDEX($A$19:$A$2018,MATCH(P52,$D$19:INDEX($D$19:$D$2018,$H$6),1))+(P52-INDEX($D$19:$D$2018,MATCH(P52,$D$19:INDEX($D$19:$D$2018,$H$6),1)))*(INDEX($A$19:$A$2018,MATCH(P52,$D$19:INDEX($D$19:$D$2018,$H$6),1)+1)-INDEX($A$19:$A$2018,MATCH(P52,$D$19:INDEX($D$19:$D$2018,$H$6),1)))/(INDEX($D$19:$D$2018,MATCH(P52,$D$19:INDEX($D$19:$D$2018,$H$6),1)+1)-INDEX($D$19:$D$2018,MATCH(P52,$D$19:INDEX($D$19:$D$2018,$H$6),1))))))</f>
        <v/>
      </c>
      <c r="R52" s="8">
        <f>IF(P52=0,0,-Y52*N52/P52)</f>
        <v/>
      </c>
      <c r="S52" s="8">
        <f>IF(P52=0,0,Y52*O52/P52)</f>
        <v/>
      </c>
      <c r="T52" s="8">
        <f>IF(Y52=0,$B$7/2,$B$7/2-Z52*R52/Y52)</f>
        <v/>
      </c>
      <c r="U52" s="8">
        <f>IF(Y52=0,$B$8/2,$B$8/2+Z52*S52/Y52)</f>
        <v/>
      </c>
      <c r="V52" s="8">
        <f>SQRT((T52-L52)^2+(U52-M52)^2)</f>
        <v/>
      </c>
      <c r="Y52">
        <f>$B$10*TAN(RADIANS(Q52))</f>
        <v/>
      </c>
      <c r="Z52">
        <f>IF(OR($H$7&lt;&gt;"OK",Q52=""),"",IF(Q52&lt;=$A$19,$D$19,IF(Q52&gt;=INDEX($A$19:$A$2018,$H$6),INDEX($D$19:$D$2018,$H$6),INDEX($D$19:$D$2018,MATCH(Q52,$A$19:INDEX($A$19:$A$2018,$H$6),1))+(Q52-INDEX($A$19:$A$2018,MATCH(Q52,$A$19:INDEX($A$19:$A$2018,$H$6),1)))*(INDEX($D$19:$D$2018,MATCH(Q52,$A$19:INDEX($A$19:$A$2018,$H$6),1)+1)-INDEX($D$19:$D$2018,MATCH(Q52,$A$19:INDEX($A$19:$A$2018,$H$6),1)))/(INDEX($A$19:$A$2018,MATCH(Q52,$A$19:INDEX($A$19:$A$2018,$H$6),1)+1)-INDEX($A$19:$A$2018,MATCH(Q52,$A$19:INDEX($A$19:$A$2018,$H$6),1))))))</f>
        <v/>
      </c>
    </row>
    <row r="53">
      <c r="A53" s="11" t="n"/>
      <c r="B53" s="11" t="n"/>
      <c r="C53" s="12">
        <f>IF(A53="","",$B$9*TAN(RADIANS(A53)))</f>
        <v/>
      </c>
      <c r="D53" s="12">
        <f>IF(C53="","",C53*(1+B53/100))</f>
        <v/>
      </c>
      <c r="E53" s="12">
        <f>IF(A53="","",$B$10*TAN(RADIANS(A53)))</f>
        <v/>
      </c>
      <c r="G53" s="8" t="n">
        <v>35</v>
      </c>
      <c r="H53" s="8">
        <f>$K$4</f>
        <v/>
      </c>
      <c r="I53" s="7" t="inlineStr">
        <is>
          <t>豎</t>
        </is>
      </c>
      <c r="J53" s="8" t="n">
        <v>4</v>
      </c>
      <c r="K53" s="7" t="inlineStr">
        <is>
          <t>右下</t>
        </is>
      </c>
      <c r="L53" s="8">
        <f>$O$4+($M$4+$L$4)/2-$M$4/2+$L$4/2+3*2*$L$4+(1)*$L$4/2</f>
        <v/>
      </c>
      <c r="M53" s="8">
        <f>$P$4+(1)*$M$4/2</f>
        <v/>
      </c>
      <c r="N53" s="8">
        <f>L53-$B$7/2</f>
        <v/>
      </c>
      <c r="O53" s="8">
        <f>M53-$B$8/2</f>
        <v/>
      </c>
      <c r="P53" s="8">
        <f>SQRT(N53^2+O53^2)</f>
        <v/>
      </c>
      <c r="Q53" s="8">
        <f>IF(OR($H$7&lt;&gt;"OK",P53=""),"",IF(P53&lt;=$D$19,$A$19,IF(P53&gt;=INDEX($D$19:$D$2018,$H$6),INDEX($A$19:$A$2018,$H$6),INDEX($A$19:$A$2018,MATCH(P53,$D$19:INDEX($D$19:$D$2018,$H$6),1))+(P53-INDEX($D$19:$D$2018,MATCH(P53,$D$19:INDEX($D$19:$D$2018,$H$6),1)))*(INDEX($A$19:$A$2018,MATCH(P53,$D$19:INDEX($D$19:$D$2018,$H$6),1)+1)-INDEX($A$19:$A$2018,MATCH(P53,$D$19:INDEX($D$19:$D$2018,$H$6),1)))/(INDEX($D$19:$D$2018,MATCH(P53,$D$19:INDEX($D$19:$D$2018,$H$6),1)+1)-INDEX($D$19:$D$2018,MATCH(P53,$D$19:INDEX($D$19:$D$2018,$H$6),1))))))</f>
        <v/>
      </c>
      <c r="R53" s="8">
        <f>IF(P53=0,0,-Y53*N53/P53)</f>
        <v/>
      </c>
      <c r="S53" s="8">
        <f>IF(P53=0,0,Y53*O53/P53)</f>
        <v/>
      </c>
      <c r="T53" s="8">
        <f>IF(Y53=0,$B$7/2,$B$7/2-Z53*R53/Y53)</f>
        <v/>
      </c>
      <c r="U53" s="8">
        <f>IF(Y53=0,$B$8/2,$B$8/2+Z53*S53/Y53)</f>
        <v/>
      </c>
      <c r="V53" s="8">
        <f>SQRT((T53-L53)^2+(U53-M53)^2)</f>
        <v/>
      </c>
      <c r="Y53">
        <f>$B$10*TAN(RADIANS(Q53))</f>
        <v/>
      </c>
      <c r="Z53">
        <f>IF(OR($H$7&lt;&gt;"OK",Q53=""),"",IF(Q53&lt;=$A$19,$D$19,IF(Q53&gt;=INDEX($A$19:$A$2018,$H$6),INDEX($D$19:$D$2018,$H$6),INDEX($D$19:$D$2018,MATCH(Q53,$A$19:INDEX($A$19:$A$2018,$H$6),1))+(Q53-INDEX($A$19:$A$2018,MATCH(Q53,$A$19:INDEX($A$19:$A$2018,$H$6),1)))*(INDEX($D$19:$D$2018,MATCH(Q53,$A$19:INDEX($A$19:$A$2018,$H$6),1)+1)-INDEX($D$19:$D$2018,MATCH(Q53,$A$19:INDEX($A$19:$A$2018,$H$6),1)))/(INDEX($A$19:$A$2018,MATCH(Q53,$A$19:INDEX($A$19:$A$2018,$H$6),1)+1)-INDEX($A$19:$A$2018,MATCH(Q53,$A$19:INDEX($A$19:$A$2018,$H$6),1))))))</f>
        <v/>
      </c>
    </row>
    <row r="54">
      <c r="A54" s="11" t="n"/>
      <c r="B54" s="11" t="n"/>
      <c r="C54" s="12">
        <f>IF(A54="","",$B$9*TAN(RADIANS(A54)))</f>
        <v/>
      </c>
      <c r="D54" s="12">
        <f>IF(C54="","",C54*(1+B54/100))</f>
        <v/>
      </c>
      <c r="E54" s="12">
        <f>IF(A54="","",$B$10*TAN(RADIANS(A54)))</f>
        <v/>
      </c>
      <c r="G54" s="8" t="n">
        <v>36</v>
      </c>
      <c r="H54" s="8">
        <f>$K$4</f>
        <v/>
      </c>
      <c r="I54" s="7" t="inlineStr">
        <is>
          <t>豎</t>
        </is>
      </c>
      <c r="J54" s="8" t="n">
        <v>4</v>
      </c>
      <c r="K54" s="7" t="inlineStr">
        <is>
          <t>左下</t>
        </is>
      </c>
      <c r="L54" s="8">
        <f>$O$4+($M$4+$L$4)/2-$M$4/2+$L$4/2+3*2*$L$4+(-1)*$L$4/2</f>
        <v/>
      </c>
      <c r="M54" s="8">
        <f>$P$4+(1)*$M$4/2</f>
        <v/>
      </c>
      <c r="N54" s="8">
        <f>L54-$B$7/2</f>
        <v/>
      </c>
      <c r="O54" s="8">
        <f>M54-$B$8/2</f>
        <v/>
      </c>
      <c r="P54" s="8">
        <f>SQRT(N54^2+O54^2)</f>
        <v/>
      </c>
      <c r="Q54" s="8">
        <f>IF(OR($H$7&lt;&gt;"OK",P54=""),"",IF(P54&lt;=$D$19,$A$19,IF(P54&gt;=INDEX($D$19:$D$2018,$H$6),INDEX($A$19:$A$2018,$H$6),INDEX($A$19:$A$2018,MATCH(P54,$D$19:INDEX($D$19:$D$2018,$H$6),1))+(P54-INDEX($D$19:$D$2018,MATCH(P54,$D$19:INDEX($D$19:$D$2018,$H$6),1)))*(INDEX($A$19:$A$2018,MATCH(P54,$D$19:INDEX($D$19:$D$2018,$H$6),1)+1)-INDEX($A$19:$A$2018,MATCH(P54,$D$19:INDEX($D$19:$D$2018,$H$6),1)))/(INDEX($D$19:$D$2018,MATCH(P54,$D$19:INDEX($D$19:$D$2018,$H$6),1)+1)-INDEX($D$19:$D$2018,MATCH(P54,$D$19:INDEX($D$19:$D$2018,$H$6),1))))))</f>
        <v/>
      </c>
      <c r="R54" s="8">
        <f>IF(P54=0,0,-Y54*N54/P54)</f>
        <v/>
      </c>
      <c r="S54" s="8">
        <f>IF(P54=0,0,Y54*O54/P54)</f>
        <v/>
      </c>
      <c r="T54" s="8">
        <f>IF(Y54=0,$B$7/2,$B$7/2-Z54*R54/Y54)</f>
        <v/>
      </c>
      <c r="U54" s="8">
        <f>IF(Y54=0,$B$8/2,$B$8/2+Z54*S54/Y54)</f>
        <v/>
      </c>
      <c r="V54" s="8">
        <f>SQRT((T54-L54)^2+(U54-M54)^2)</f>
        <v/>
      </c>
      <c r="Y54">
        <f>$B$10*TAN(RADIANS(Q54))</f>
        <v/>
      </c>
      <c r="Z54">
        <f>IF(OR($H$7&lt;&gt;"OK",Q54=""),"",IF(Q54&lt;=$A$19,$D$19,IF(Q54&gt;=INDEX($A$19:$A$2018,$H$6),INDEX($D$19:$D$2018,$H$6),INDEX($D$19:$D$2018,MATCH(Q54,$A$19:INDEX($A$19:$A$2018,$H$6),1))+(Q54-INDEX($A$19:$A$2018,MATCH(Q54,$A$19:INDEX($A$19:$A$2018,$H$6),1)))*(INDEX($D$19:$D$2018,MATCH(Q54,$A$19:INDEX($A$19:$A$2018,$H$6),1)+1)-INDEX($D$19:$D$2018,MATCH(Q54,$A$19:INDEX($A$19:$A$2018,$H$6),1)))/(INDEX($A$19:$A$2018,MATCH(Q54,$A$19:INDEX($A$19:$A$2018,$H$6),1)+1)-INDEX($A$19:$A$2018,MATCH(Q54,$A$19:INDEX($A$19:$A$2018,$H$6),1))))))</f>
        <v/>
      </c>
    </row>
    <row r="55">
      <c r="A55" s="11" t="n"/>
      <c r="B55" s="11" t="n"/>
      <c r="C55" s="12">
        <f>IF(A55="","",$B$9*TAN(RADIANS(A55)))</f>
        <v/>
      </c>
      <c r="D55" s="12">
        <f>IF(C55="","",C55*(1+B55/100))</f>
        <v/>
      </c>
      <c r="E55" s="12">
        <f>IF(A55="","",$B$10*TAN(RADIANS(A55)))</f>
        <v/>
      </c>
      <c r="G55" s="8" t="n">
        <v>37</v>
      </c>
      <c r="H55" s="8">
        <f>$K$4</f>
        <v/>
      </c>
      <c r="I55" s="7" t="inlineStr">
        <is>
          <t>豎</t>
        </is>
      </c>
      <c r="J55" s="8" t="n">
        <v>5</v>
      </c>
      <c r="K55" s="7" t="inlineStr">
        <is>
          <t>左上</t>
        </is>
      </c>
      <c r="L55" s="8">
        <f>$O$4+($M$4+$L$4)/2-$M$4/2+$L$4/2+4*2*$L$4+(-1)*$L$4/2</f>
        <v/>
      </c>
      <c r="M55" s="8">
        <f>$P$4+(-1)*$M$4/2</f>
        <v/>
      </c>
      <c r="N55" s="8">
        <f>L55-$B$7/2</f>
        <v/>
      </c>
      <c r="O55" s="8">
        <f>M55-$B$8/2</f>
        <v/>
      </c>
      <c r="P55" s="8">
        <f>SQRT(N55^2+O55^2)</f>
        <v/>
      </c>
      <c r="Q55" s="8">
        <f>IF(OR($H$7&lt;&gt;"OK",P55=""),"",IF(P55&lt;=$D$19,$A$19,IF(P55&gt;=INDEX($D$19:$D$2018,$H$6),INDEX($A$19:$A$2018,$H$6),INDEX($A$19:$A$2018,MATCH(P55,$D$19:INDEX($D$19:$D$2018,$H$6),1))+(P55-INDEX($D$19:$D$2018,MATCH(P55,$D$19:INDEX($D$19:$D$2018,$H$6),1)))*(INDEX($A$19:$A$2018,MATCH(P55,$D$19:INDEX($D$19:$D$2018,$H$6),1)+1)-INDEX($A$19:$A$2018,MATCH(P55,$D$19:INDEX($D$19:$D$2018,$H$6),1)))/(INDEX($D$19:$D$2018,MATCH(P55,$D$19:INDEX($D$19:$D$2018,$H$6),1)+1)-INDEX($D$19:$D$2018,MATCH(P55,$D$19:INDEX($D$19:$D$2018,$H$6),1))))))</f>
        <v/>
      </c>
      <c r="R55" s="8">
        <f>IF(P55=0,0,-Y55*N55/P55)</f>
        <v/>
      </c>
      <c r="S55" s="8">
        <f>IF(P55=0,0,Y55*O55/P55)</f>
        <v/>
      </c>
      <c r="T55" s="8">
        <f>IF(Y55=0,$B$7/2,$B$7/2-Z55*R55/Y55)</f>
        <v/>
      </c>
      <c r="U55" s="8">
        <f>IF(Y55=0,$B$8/2,$B$8/2+Z55*S55/Y55)</f>
        <v/>
      </c>
      <c r="V55" s="8">
        <f>SQRT((T55-L55)^2+(U55-M55)^2)</f>
        <v/>
      </c>
      <c r="Y55">
        <f>$B$10*TAN(RADIANS(Q55))</f>
        <v/>
      </c>
      <c r="Z55">
        <f>IF(OR($H$7&lt;&gt;"OK",Q55=""),"",IF(Q55&lt;=$A$19,$D$19,IF(Q55&gt;=INDEX($A$19:$A$2018,$H$6),INDEX($D$19:$D$2018,$H$6),INDEX($D$19:$D$2018,MATCH(Q55,$A$19:INDEX($A$19:$A$2018,$H$6),1))+(Q55-INDEX($A$19:$A$2018,MATCH(Q55,$A$19:INDEX($A$19:$A$2018,$H$6),1)))*(INDEX($D$19:$D$2018,MATCH(Q55,$A$19:INDEX($A$19:$A$2018,$H$6),1)+1)-INDEX($D$19:$D$2018,MATCH(Q55,$A$19:INDEX($A$19:$A$2018,$H$6),1)))/(INDEX($A$19:$A$2018,MATCH(Q55,$A$19:INDEX($A$19:$A$2018,$H$6),1)+1)-INDEX($A$19:$A$2018,MATCH(Q55,$A$19:INDEX($A$19:$A$2018,$H$6),1))))))</f>
        <v/>
      </c>
    </row>
    <row r="56">
      <c r="A56" s="11" t="n"/>
      <c r="B56" s="11" t="n"/>
      <c r="C56" s="12">
        <f>IF(A56="","",$B$9*TAN(RADIANS(A56)))</f>
        <v/>
      </c>
      <c r="D56" s="12">
        <f>IF(C56="","",C56*(1+B56/100))</f>
        <v/>
      </c>
      <c r="E56" s="12">
        <f>IF(A56="","",$B$10*TAN(RADIANS(A56)))</f>
        <v/>
      </c>
      <c r="G56" s="8" t="n">
        <v>38</v>
      </c>
      <c r="H56" s="8">
        <f>$K$4</f>
        <v/>
      </c>
      <c r="I56" s="7" t="inlineStr">
        <is>
          <t>豎</t>
        </is>
      </c>
      <c r="J56" s="8" t="n">
        <v>5</v>
      </c>
      <c r="K56" s="7" t="inlineStr">
        <is>
          <t>右上</t>
        </is>
      </c>
      <c r="L56" s="8">
        <f>$O$4+($M$4+$L$4)/2-$M$4/2+$L$4/2+4*2*$L$4+(1)*$L$4/2</f>
        <v/>
      </c>
      <c r="M56" s="8">
        <f>$P$4+(-1)*$M$4/2</f>
        <v/>
      </c>
      <c r="N56" s="8">
        <f>L56-$B$7/2</f>
        <v/>
      </c>
      <c r="O56" s="8">
        <f>M56-$B$8/2</f>
        <v/>
      </c>
      <c r="P56" s="8">
        <f>SQRT(N56^2+O56^2)</f>
        <v/>
      </c>
      <c r="Q56" s="8">
        <f>IF(OR($H$7&lt;&gt;"OK",P56=""),"",IF(P56&lt;=$D$19,$A$19,IF(P56&gt;=INDEX($D$19:$D$2018,$H$6),INDEX($A$19:$A$2018,$H$6),INDEX($A$19:$A$2018,MATCH(P56,$D$19:INDEX($D$19:$D$2018,$H$6),1))+(P56-INDEX($D$19:$D$2018,MATCH(P56,$D$19:INDEX($D$19:$D$2018,$H$6),1)))*(INDEX($A$19:$A$2018,MATCH(P56,$D$19:INDEX($D$19:$D$2018,$H$6),1)+1)-INDEX($A$19:$A$2018,MATCH(P56,$D$19:INDEX($D$19:$D$2018,$H$6),1)))/(INDEX($D$19:$D$2018,MATCH(P56,$D$19:INDEX($D$19:$D$2018,$H$6),1)+1)-INDEX($D$19:$D$2018,MATCH(P56,$D$19:INDEX($D$19:$D$2018,$H$6),1))))))</f>
        <v/>
      </c>
      <c r="R56" s="8">
        <f>IF(P56=0,0,-Y56*N56/P56)</f>
        <v/>
      </c>
      <c r="S56" s="8">
        <f>IF(P56=0,0,Y56*O56/P56)</f>
        <v/>
      </c>
      <c r="T56" s="8">
        <f>IF(Y56=0,$B$7/2,$B$7/2-Z56*R56/Y56)</f>
        <v/>
      </c>
      <c r="U56" s="8">
        <f>IF(Y56=0,$B$8/2,$B$8/2+Z56*S56/Y56)</f>
        <v/>
      </c>
      <c r="V56" s="8">
        <f>SQRT((T56-L56)^2+(U56-M56)^2)</f>
        <v/>
      </c>
      <c r="Y56">
        <f>$B$10*TAN(RADIANS(Q56))</f>
        <v/>
      </c>
      <c r="Z56">
        <f>IF(OR($H$7&lt;&gt;"OK",Q56=""),"",IF(Q56&lt;=$A$19,$D$19,IF(Q56&gt;=INDEX($A$19:$A$2018,$H$6),INDEX($D$19:$D$2018,$H$6),INDEX($D$19:$D$2018,MATCH(Q56,$A$19:INDEX($A$19:$A$2018,$H$6),1))+(Q56-INDEX($A$19:$A$2018,MATCH(Q56,$A$19:INDEX($A$19:$A$2018,$H$6),1)))*(INDEX($D$19:$D$2018,MATCH(Q56,$A$19:INDEX($A$19:$A$2018,$H$6),1)+1)-INDEX($D$19:$D$2018,MATCH(Q56,$A$19:INDEX($A$19:$A$2018,$H$6),1)))/(INDEX($A$19:$A$2018,MATCH(Q56,$A$19:INDEX($A$19:$A$2018,$H$6),1)+1)-INDEX($A$19:$A$2018,MATCH(Q56,$A$19:INDEX($A$19:$A$2018,$H$6),1))))))</f>
        <v/>
      </c>
    </row>
    <row r="57">
      <c r="A57" s="11" t="n"/>
      <c r="B57" s="11" t="n"/>
      <c r="C57" s="12">
        <f>IF(A57="","",$B$9*TAN(RADIANS(A57)))</f>
        <v/>
      </c>
      <c r="D57" s="12">
        <f>IF(C57="","",C57*(1+B57/100))</f>
        <v/>
      </c>
      <c r="E57" s="12">
        <f>IF(A57="","",$B$10*TAN(RADIANS(A57)))</f>
        <v/>
      </c>
      <c r="G57" s="8" t="n">
        <v>39</v>
      </c>
      <c r="H57" s="8">
        <f>$K$4</f>
        <v/>
      </c>
      <c r="I57" s="7" t="inlineStr">
        <is>
          <t>豎</t>
        </is>
      </c>
      <c r="J57" s="8" t="n">
        <v>5</v>
      </c>
      <c r="K57" s="7" t="inlineStr">
        <is>
          <t>右下</t>
        </is>
      </c>
      <c r="L57" s="8">
        <f>$O$4+($M$4+$L$4)/2-$M$4/2+$L$4/2+4*2*$L$4+(1)*$L$4/2</f>
        <v/>
      </c>
      <c r="M57" s="8">
        <f>$P$4+(1)*$M$4/2</f>
        <v/>
      </c>
      <c r="N57" s="8">
        <f>L57-$B$7/2</f>
        <v/>
      </c>
      <c r="O57" s="8">
        <f>M57-$B$8/2</f>
        <v/>
      </c>
      <c r="P57" s="8">
        <f>SQRT(N57^2+O57^2)</f>
        <v/>
      </c>
      <c r="Q57" s="8">
        <f>IF(OR($H$7&lt;&gt;"OK",P57=""),"",IF(P57&lt;=$D$19,$A$19,IF(P57&gt;=INDEX($D$19:$D$2018,$H$6),INDEX($A$19:$A$2018,$H$6),INDEX($A$19:$A$2018,MATCH(P57,$D$19:INDEX($D$19:$D$2018,$H$6),1))+(P57-INDEX($D$19:$D$2018,MATCH(P57,$D$19:INDEX($D$19:$D$2018,$H$6),1)))*(INDEX($A$19:$A$2018,MATCH(P57,$D$19:INDEX($D$19:$D$2018,$H$6),1)+1)-INDEX($A$19:$A$2018,MATCH(P57,$D$19:INDEX($D$19:$D$2018,$H$6),1)))/(INDEX($D$19:$D$2018,MATCH(P57,$D$19:INDEX($D$19:$D$2018,$H$6),1)+1)-INDEX($D$19:$D$2018,MATCH(P57,$D$19:INDEX($D$19:$D$2018,$H$6),1))))))</f>
        <v/>
      </c>
      <c r="R57" s="8">
        <f>IF(P57=0,0,-Y57*N57/P57)</f>
        <v/>
      </c>
      <c r="S57" s="8">
        <f>IF(P57=0,0,Y57*O57/P57)</f>
        <v/>
      </c>
      <c r="T57" s="8">
        <f>IF(Y57=0,$B$7/2,$B$7/2-Z57*R57/Y57)</f>
        <v/>
      </c>
      <c r="U57" s="8">
        <f>IF(Y57=0,$B$8/2,$B$8/2+Z57*S57/Y57)</f>
        <v/>
      </c>
      <c r="V57" s="8">
        <f>SQRT((T57-L57)^2+(U57-M57)^2)</f>
        <v/>
      </c>
      <c r="Y57">
        <f>$B$10*TAN(RADIANS(Q57))</f>
        <v/>
      </c>
      <c r="Z57">
        <f>IF(OR($H$7&lt;&gt;"OK",Q57=""),"",IF(Q57&lt;=$A$19,$D$19,IF(Q57&gt;=INDEX($A$19:$A$2018,$H$6),INDEX($D$19:$D$2018,$H$6),INDEX($D$19:$D$2018,MATCH(Q57,$A$19:INDEX($A$19:$A$2018,$H$6),1))+(Q57-INDEX($A$19:$A$2018,MATCH(Q57,$A$19:INDEX($A$19:$A$2018,$H$6),1)))*(INDEX($D$19:$D$2018,MATCH(Q57,$A$19:INDEX($A$19:$A$2018,$H$6),1)+1)-INDEX($D$19:$D$2018,MATCH(Q57,$A$19:INDEX($A$19:$A$2018,$H$6),1)))/(INDEX($A$19:$A$2018,MATCH(Q57,$A$19:INDEX($A$19:$A$2018,$H$6),1)+1)-INDEX($A$19:$A$2018,MATCH(Q57,$A$19:INDEX($A$19:$A$2018,$H$6),1))))))</f>
        <v/>
      </c>
    </row>
    <row r="58">
      <c r="A58" s="11" t="n"/>
      <c r="B58" s="11" t="n"/>
      <c r="C58" s="12">
        <f>IF(A58="","",$B$9*TAN(RADIANS(A58)))</f>
        <v/>
      </c>
      <c r="D58" s="12">
        <f>IF(C58="","",C58*(1+B58/100))</f>
        <v/>
      </c>
      <c r="E58" s="12">
        <f>IF(A58="","",$B$10*TAN(RADIANS(A58)))</f>
        <v/>
      </c>
      <c r="G58" s="8" t="n">
        <v>40</v>
      </c>
      <c r="H58" s="8">
        <f>$K$4</f>
        <v/>
      </c>
      <c r="I58" s="7" t="inlineStr">
        <is>
          <t>豎</t>
        </is>
      </c>
      <c r="J58" s="8" t="n">
        <v>5</v>
      </c>
      <c r="K58" s="7" t="inlineStr">
        <is>
          <t>左下</t>
        </is>
      </c>
      <c r="L58" s="8">
        <f>$O$4+($M$4+$L$4)/2-$M$4/2+$L$4/2+4*2*$L$4+(-1)*$L$4/2</f>
        <v/>
      </c>
      <c r="M58" s="8">
        <f>$P$4+(1)*$M$4/2</f>
        <v/>
      </c>
      <c r="N58" s="8">
        <f>L58-$B$7/2</f>
        <v/>
      </c>
      <c r="O58" s="8">
        <f>M58-$B$8/2</f>
        <v/>
      </c>
      <c r="P58" s="8">
        <f>SQRT(N58^2+O58^2)</f>
        <v/>
      </c>
      <c r="Q58" s="8">
        <f>IF(OR($H$7&lt;&gt;"OK",P58=""),"",IF(P58&lt;=$D$19,$A$19,IF(P58&gt;=INDEX($D$19:$D$2018,$H$6),INDEX($A$19:$A$2018,$H$6),INDEX($A$19:$A$2018,MATCH(P58,$D$19:INDEX($D$19:$D$2018,$H$6),1))+(P58-INDEX($D$19:$D$2018,MATCH(P58,$D$19:INDEX($D$19:$D$2018,$H$6),1)))*(INDEX($A$19:$A$2018,MATCH(P58,$D$19:INDEX($D$19:$D$2018,$H$6),1)+1)-INDEX($A$19:$A$2018,MATCH(P58,$D$19:INDEX($D$19:$D$2018,$H$6),1)))/(INDEX($D$19:$D$2018,MATCH(P58,$D$19:INDEX($D$19:$D$2018,$H$6),1)+1)-INDEX($D$19:$D$2018,MATCH(P58,$D$19:INDEX($D$19:$D$2018,$H$6),1))))))</f>
        <v/>
      </c>
      <c r="R58" s="8">
        <f>IF(P58=0,0,-Y58*N58/P58)</f>
        <v/>
      </c>
      <c r="S58" s="8">
        <f>IF(P58=0,0,Y58*O58/P58)</f>
        <v/>
      </c>
      <c r="T58" s="8">
        <f>IF(Y58=0,$B$7/2,$B$7/2-Z58*R58/Y58)</f>
        <v/>
      </c>
      <c r="U58" s="8">
        <f>IF(Y58=0,$B$8/2,$B$8/2+Z58*S58/Y58)</f>
        <v/>
      </c>
      <c r="V58" s="8">
        <f>SQRT((T58-L58)^2+(U58-M58)^2)</f>
        <v/>
      </c>
      <c r="Y58">
        <f>$B$10*TAN(RADIANS(Q58))</f>
        <v/>
      </c>
      <c r="Z58">
        <f>IF(OR($H$7&lt;&gt;"OK",Q58=""),"",IF(Q58&lt;=$A$19,$D$19,IF(Q58&gt;=INDEX($A$19:$A$2018,$H$6),INDEX($D$19:$D$2018,$H$6),INDEX($D$19:$D$2018,MATCH(Q58,$A$19:INDEX($A$19:$A$2018,$H$6),1))+(Q58-INDEX($A$19:$A$2018,MATCH(Q58,$A$19:INDEX($A$19:$A$2018,$H$6),1)))*(INDEX($D$19:$D$2018,MATCH(Q58,$A$19:INDEX($A$19:$A$2018,$H$6),1)+1)-INDEX($D$19:$D$2018,MATCH(Q58,$A$19:INDEX($A$19:$A$2018,$H$6),1)))/(INDEX($A$19:$A$2018,MATCH(Q58,$A$19:INDEX($A$19:$A$2018,$H$6),1)+1)-INDEX($A$19:$A$2018,MATCH(Q58,$A$19:INDEX($A$19:$A$2018,$H$6),1))))))</f>
        <v/>
      </c>
    </row>
    <row r="59">
      <c r="A59" s="11" t="n"/>
      <c r="B59" s="11" t="n"/>
      <c r="C59" s="12">
        <f>IF(A59="","",$B$9*TAN(RADIANS(A59)))</f>
        <v/>
      </c>
      <c r="D59" s="12">
        <f>IF(C59="","",C59*(1+B59/100))</f>
        <v/>
      </c>
      <c r="E59" s="12">
        <f>IF(A59="","",$B$10*TAN(RADIANS(A59)))</f>
        <v/>
      </c>
      <c r="G59" s="8" t="n">
        <v>41</v>
      </c>
      <c r="H59" s="8">
        <f>$K$5</f>
        <v/>
      </c>
      <c r="I59" s="7" t="inlineStr">
        <is>
          <t>橫</t>
        </is>
      </c>
      <c r="J59" s="8" t="n">
        <v>1</v>
      </c>
      <c r="K59" s="7" t="inlineStr">
        <is>
          <t>左上</t>
        </is>
      </c>
      <c r="L59" s="8">
        <f>$O$5-($M$5+$L$5)/2+(-1)*$M$5/2</f>
        <v/>
      </c>
      <c r="M59" s="8">
        <f>$P$5-$M$5/2+$L$5/2+0*2*$L$5+(-1)*$L$5/2</f>
        <v/>
      </c>
      <c r="N59" s="8">
        <f>L59-$B$7/2</f>
        <v/>
      </c>
      <c r="O59" s="8">
        <f>M59-$B$8/2</f>
        <v/>
      </c>
      <c r="P59" s="8">
        <f>SQRT(N59^2+O59^2)</f>
        <v/>
      </c>
      <c r="Q59" s="8">
        <f>IF(OR($H$7&lt;&gt;"OK",P59=""),"",IF(P59&lt;=$D$19,$A$19,IF(P59&gt;=INDEX($D$19:$D$2018,$H$6),INDEX($A$19:$A$2018,$H$6),INDEX($A$19:$A$2018,MATCH(P59,$D$19:INDEX($D$19:$D$2018,$H$6),1))+(P59-INDEX($D$19:$D$2018,MATCH(P59,$D$19:INDEX($D$19:$D$2018,$H$6),1)))*(INDEX($A$19:$A$2018,MATCH(P59,$D$19:INDEX($D$19:$D$2018,$H$6),1)+1)-INDEX($A$19:$A$2018,MATCH(P59,$D$19:INDEX($D$19:$D$2018,$H$6),1)))/(INDEX($D$19:$D$2018,MATCH(P59,$D$19:INDEX($D$19:$D$2018,$H$6),1)+1)-INDEX($D$19:$D$2018,MATCH(P59,$D$19:INDEX($D$19:$D$2018,$H$6),1))))))</f>
        <v/>
      </c>
      <c r="R59" s="8">
        <f>IF(P59=0,0,-Y59*N59/P59)</f>
        <v/>
      </c>
      <c r="S59" s="8">
        <f>IF(P59=0,0,Y59*O59/P59)</f>
        <v/>
      </c>
      <c r="T59" s="8">
        <f>IF(Y59=0,$B$7/2,$B$7/2-Z59*R59/Y59)</f>
        <v/>
      </c>
      <c r="U59" s="8">
        <f>IF(Y59=0,$B$8/2,$B$8/2+Z59*S59/Y59)</f>
        <v/>
      </c>
      <c r="V59" s="8">
        <f>SQRT((T59-L59)^2+(U59-M59)^2)</f>
        <v/>
      </c>
      <c r="Y59">
        <f>$B$10*TAN(RADIANS(Q59))</f>
        <v/>
      </c>
      <c r="Z59">
        <f>IF(OR($H$7&lt;&gt;"OK",Q59=""),"",IF(Q59&lt;=$A$19,$D$19,IF(Q59&gt;=INDEX($A$19:$A$2018,$H$6),INDEX($D$19:$D$2018,$H$6),INDEX($D$19:$D$2018,MATCH(Q59,$A$19:INDEX($A$19:$A$2018,$H$6),1))+(Q59-INDEX($A$19:$A$2018,MATCH(Q59,$A$19:INDEX($A$19:$A$2018,$H$6),1)))*(INDEX($D$19:$D$2018,MATCH(Q59,$A$19:INDEX($A$19:$A$2018,$H$6),1)+1)-INDEX($D$19:$D$2018,MATCH(Q59,$A$19:INDEX($A$19:$A$2018,$H$6),1)))/(INDEX($A$19:$A$2018,MATCH(Q59,$A$19:INDEX($A$19:$A$2018,$H$6),1)+1)-INDEX($A$19:$A$2018,MATCH(Q59,$A$19:INDEX($A$19:$A$2018,$H$6),1))))))</f>
        <v/>
      </c>
    </row>
    <row r="60">
      <c r="A60" s="11" t="n"/>
      <c r="B60" s="11" t="n"/>
      <c r="C60" s="12">
        <f>IF(A60="","",$B$9*TAN(RADIANS(A60)))</f>
        <v/>
      </c>
      <c r="D60" s="12">
        <f>IF(C60="","",C60*(1+B60/100))</f>
        <v/>
      </c>
      <c r="E60" s="12">
        <f>IF(A60="","",$B$10*TAN(RADIANS(A60)))</f>
        <v/>
      </c>
      <c r="G60" s="8" t="n">
        <v>42</v>
      </c>
      <c r="H60" s="8">
        <f>$K$5</f>
        <v/>
      </c>
      <c r="I60" s="7" t="inlineStr">
        <is>
          <t>橫</t>
        </is>
      </c>
      <c r="J60" s="8" t="n">
        <v>1</v>
      </c>
      <c r="K60" s="7" t="inlineStr">
        <is>
          <t>右上</t>
        </is>
      </c>
      <c r="L60" s="8">
        <f>$O$5-($M$5+$L$5)/2+(1)*$M$5/2</f>
        <v/>
      </c>
      <c r="M60" s="8">
        <f>$P$5-$M$5/2+$L$5/2+0*2*$L$5+(-1)*$L$5/2</f>
        <v/>
      </c>
      <c r="N60" s="8">
        <f>L60-$B$7/2</f>
        <v/>
      </c>
      <c r="O60" s="8">
        <f>M60-$B$8/2</f>
        <v/>
      </c>
      <c r="P60" s="8">
        <f>SQRT(N60^2+O60^2)</f>
        <v/>
      </c>
      <c r="Q60" s="8">
        <f>IF(OR($H$7&lt;&gt;"OK",P60=""),"",IF(P60&lt;=$D$19,$A$19,IF(P60&gt;=INDEX($D$19:$D$2018,$H$6),INDEX($A$19:$A$2018,$H$6),INDEX($A$19:$A$2018,MATCH(P60,$D$19:INDEX($D$19:$D$2018,$H$6),1))+(P60-INDEX($D$19:$D$2018,MATCH(P60,$D$19:INDEX($D$19:$D$2018,$H$6),1)))*(INDEX($A$19:$A$2018,MATCH(P60,$D$19:INDEX($D$19:$D$2018,$H$6),1)+1)-INDEX($A$19:$A$2018,MATCH(P60,$D$19:INDEX($D$19:$D$2018,$H$6),1)))/(INDEX($D$19:$D$2018,MATCH(P60,$D$19:INDEX($D$19:$D$2018,$H$6),1)+1)-INDEX($D$19:$D$2018,MATCH(P60,$D$19:INDEX($D$19:$D$2018,$H$6),1))))))</f>
        <v/>
      </c>
      <c r="R60" s="8">
        <f>IF(P60=0,0,-Y60*N60/P60)</f>
        <v/>
      </c>
      <c r="S60" s="8">
        <f>IF(P60=0,0,Y60*O60/P60)</f>
        <v/>
      </c>
      <c r="T60" s="8">
        <f>IF(Y60=0,$B$7/2,$B$7/2-Z60*R60/Y60)</f>
        <v/>
      </c>
      <c r="U60" s="8">
        <f>IF(Y60=0,$B$8/2,$B$8/2+Z60*S60/Y60)</f>
        <v/>
      </c>
      <c r="V60" s="8">
        <f>SQRT((T60-L60)^2+(U60-M60)^2)</f>
        <v/>
      </c>
      <c r="Y60">
        <f>$B$10*TAN(RADIANS(Q60))</f>
        <v/>
      </c>
      <c r="Z60">
        <f>IF(OR($H$7&lt;&gt;"OK",Q60=""),"",IF(Q60&lt;=$A$19,$D$19,IF(Q60&gt;=INDEX($A$19:$A$2018,$H$6),INDEX($D$19:$D$2018,$H$6),INDEX($D$19:$D$2018,MATCH(Q60,$A$19:INDEX($A$19:$A$2018,$H$6),1))+(Q60-INDEX($A$19:$A$2018,MATCH(Q60,$A$19:INDEX($A$19:$A$2018,$H$6),1)))*(INDEX($D$19:$D$2018,MATCH(Q60,$A$19:INDEX($A$19:$A$2018,$H$6),1)+1)-INDEX($D$19:$D$2018,MATCH(Q60,$A$19:INDEX($A$19:$A$2018,$H$6),1)))/(INDEX($A$19:$A$2018,MATCH(Q60,$A$19:INDEX($A$19:$A$2018,$H$6),1)+1)-INDEX($A$19:$A$2018,MATCH(Q60,$A$19:INDEX($A$19:$A$2018,$H$6),1))))))</f>
        <v/>
      </c>
    </row>
    <row r="61">
      <c r="A61" s="11" t="n"/>
      <c r="B61" s="11" t="n"/>
      <c r="C61" s="12">
        <f>IF(A61="","",$B$9*TAN(RADIANS(A61)))</f>
        <v/>
      </c>
      <c r="D61" s="12">
        <f>IF(C61="","",C61*(1+B61/100))</f>
        <v/>
      </c>
      <c r="E61" s="12">
        <f>IF(A61="","",$B$10*TAN(RADIANS(A61)))</f>
        <v/>
      </c>
      <c r="G61" s="8" t="n">
        <v>43</v>
      </c>
      <c r="H61" s="8">
        <f>$K$5</f>
        <v/>
      </c>
      <c r="I61" s="7" t="inlineStr">
        <is>
          <t>橫</t>
        </is>
      </c>
      <c r="J61" s="8" t="n">
        <v>1</v>
      </c>
      <c r="K61" s="7" t="inlineStr">
        <is>
          <t>右下</t>
        </is>
      </c>
      <c r="L61" s="8">
        <f>$O$5-($M$5+$L$5)/2+(1)*$M$5/2</f>
        <v/>
      </c>
      <c r="M61" s="8">
        <f>$P$5-$M$5/2+$L$5/2+0*2*$L$5+(1)*$L$5/2</f>
        <v/>
      </c>
      <c r="N61" s="8">
        <f>L61-$B$7/2</f>
        <v/>
      </c>
      <c r="O61" s="8">
        <f>M61-$B$8/2</f>
        <v/>
      </c>
      <c r="P61" s="8">
        <f>SQRT(N61^2+O61^2)</f>
        <v/>
      </c>
      <c r="Q61" s="8">
        <f>IF(OR($H$7&lt;&gt;"OK",P61=""),"",IF(P61&lt;=$D$19,$A$19,IF(P61&gt;=INDEX($D$19:$D$2018,$H$6),INDEX($A$19:$A$2018,$H$6),INDEX($A$19:$A$2018,MATCH(P61,$D$19:INDEX($D$19:$D$2018,$H$6),1))+(P61-INDEX($D$19:$D$2018,MATCH(P61,$D$19:INDEX($D$19:$D$2018,$H$6),1)))*(INDEX($A$19:$A$2018,MATCH(P61,$D$19:INDEX($D$19:$D$2018,$H$6),1)+1)-INDEX($A$19:$A$2018,MATCH(P61,$D$19:INDEX($D$19:$D$2018,$H$6),1)))/(INDEX($D$19:$D$2018,MATCH(P61,$D$19:INDEX($D$19:$D$2018,$H$6),1)+1)-INDEX($D$19:$D$2018,MATCH(P61,$D$19:INDEX($D$19:$D$2018,$H$6),1))))))</f>
        <v/>
      </c>
      <c r="R61" s="8">
        <f>IF(P61=0,0,-Y61*N61/P61)</f>
        <v/>
      </c>
      <c r="S61" s="8">
        <f>IF(P61=0,0,Y61*O61/P61)</f>
        <v/>
      </c>
      <c r="T61" s="8">
        <f>IF(Y61=0,$B$7/2,$B$7/2-Z61*R61/Y61)</f>
        <v/>
      </c>
      <c r="U61" s="8">
        <f>IF(Y61=0,$B$8/2,$B$8/2+Z61*S61/Y61)</f>
        <v/>
      </c>
      <c r="V61" s="8">
        <f>SQRT((T61-L61)^2+(U61-M61)^2)</f>
        <v/>
      </c>
      <c r="Y61">
        <f>$B$10*TAN(RADIANS(Q61))</f>
        <v/>
      </c>
      <c r="Z61">
        <f>IF(OR($H$7&lt;&gt;"OK",Q61=""),"",IF(Q61&lt;=$A$19,$D$19,IF(Q61&gt;=INDEX($A$19:$A$2018,$H$6),INDEX($D$19:$D$2018,$H$6),INDEX($D$19:$D$2018,MATCH(Q61,$A$19:INDEX($A$19:$A$2018,$H$6),1))+(Q61-INDEX($A$19:$A$2018,MATCH(Q61,$A$19:INDEX($A$19:$A$2018,$H$6),1)))*(INDEX($D$19:$D$2018,MATCH(Q61,$A$19:INDEX($A$19:$A$2018,$H$6),1)+1)-INDEX($D$19:$D$2018,MATCH(Q61,$A$19:INDEX($A$19:$A$2018,$H$6),1)))/(INDEX($A$19:$A$2018,MATCH(Q61,$A$19:INDEX($A$19:$A$2018,$H$6),1)+1)-INDEX($A$19:$A$2018,MATCH(Q61,$A$19:INDEX($A$19:$A$2018,$H$6),1))))))</f>
        <v/>
      </c>
    </row>
    <row r="62">
      <c r="A62" s="11" t="n"/>
      <c r="B62" s="11" t="n"/>
      <c r="C62" s="12">
        <f>IF(A62="","",$B$9*TAN(RADIANS(A62)))</f>
        <v/>
      </c>
      <c r="D62" s="12">
        <f>IF(C62="","",C62*(1+B62/100))</f>
        <v/>
      </c>
      <c r="E62" s="12">
        <f>IF(A62="","",$B$10*TAN(RADIANS(A62)))</f>
        <v/>
      </c>
      <c r="G62" s="8" t="n">
        <v>44</v>
      </c>
      <c r="H62" s="8">
        <f>$K$5</f>
        <v/>
      </c>
      <c r="I62" s="7" t="inlineStr">
        <is>
          <t>橫</t>
        </is>
      </c>
      <c r="J62" s="8" t="n">
        <v>1</v>
      </c>
      <c r="K62" s="7" t="inlineStr">
        <is>
          <t>左下</t>
        </is>
      </c>
      <c r="L62" s="8">
        <f>$O$5-($M$5+$L$5)/2+(-1)*$M$5/2</f>
        <v/>
      </c>
      <c r="M62" s="8">
        <f>$P$5-$M$5/2+$L$5/2+0*2*$L$5+(1)*$L$5/2</f>
        <v/>
      </c>
      <c r="N62" s="8">
        <f>L62-$B$7/2</f>
        <v/>
      </c>
      <c r="O62" s="8">
        <f>M62-$B$8/2</f>
        <v/>
      </c>
      <c r="P62" s="8">
        <f>SQRT(N62^2+O62^2)</f>
        <v/>
      </c>
      <c r="Q62" s="8">
        <f>IF(OR($H$7&lt;&gt;"OK",P62=""),"",IF(P62&lt;=$D$19,$A$19,IF(P62&gt;=INDEX($D$19:$D$2018,$H$6),INDEX($A$19:$A$2018,$H$6),INDEX($A$19:$A$2018,MATCH(P62,$D$19:INDEX($D$19:$D$2018,$H$6),1))+(P62-INDEX($D$19:$D$2018,MATCH(P62,$D$19:INDEX($D$19:$D$2018,$H$6),1)))*(INDEX($A$19:$A$2018,MATCH(P62,$D$19:INDEX($D$19:$D$2018,$H$6),1)+1)-INDEX($A$19:$A$2018,MATCH(P62,$D$19:INDEX($D$19:$D$2018,$H$6),1)))/(INDEX($D$19:$D$2018,MATCH(P62,$D$19:INDEX($D$19:$D$2018,$H$6),1)+1)-INDEX($D$19:$D$2018,MATCH(P62,$D$19:INDEX($D$19:$D$2018,$H$6),1))))))</f>
        <v/>
      </c>
      <c r="R62" s="8">
        <f>IF(P62=0,0,-Y62*N62/P62)</f>
        <v/>
      </c>
      <c r="S62" s="8">
        <f>IF(P62=0,0,Y62*O62/P62)</f>
        <v/>
      </c>
      <c r="T62" s="8">
        <f>IF(Y62=0,$B$7/2,$B$7/2-Z62*R62/Y62)</f>
        <v/>
      </c>
      <c r="U62" s="8">
        <f>IF(Y62=0,$B$8/2,$B$8/2+Z62*S62/Y62)</f>
        <v/>
      </c>
      <c r="V62" s="8">
        <f>SQRT((T62-L62)^2+(U62-M62)^2)</f>
        <v/>
      </c>
      <c r="Y62">
        <f>$B$10*TAN(RADIANS(Q62))</f>
        <v/>
      </c>
      <c r="Z62">
        <f>IF(OR($H$7&lt;&gt;"OK",Q62=""),"",IF(Q62&lt;=$A$19,$D$19,IF(Q62&gt;=INDEX($A$19:$A$2018,$H$6),INDEX($D$19:$D$2018,$H$6),INDEX($D$19:$D$2018,MATCH(Q62,$A$19:INDEX($A$19:$A$2018,$H$6),1))+(Q62-INDEX($A$19:$A$2018,MATCH(Q62,$A$19:INDEX($A$19:$A$2018,$H$6),1)))*(INDEX($D$19:$D$2018,MATCH(Q62,$A$19:INDEX($A$19:$A$2018,$H$6),1)+1)-INDEX($D$19:$D$2018,MATCH(Q62,$A$19:INDEX($A$19:$A$2018,$H$6),1)))/(INDEX($A$19:$A$2018,MATCH(Q62,$A$19:INDEX($A$19:$A$2018,$H$6),1)+1)-INDEX($A$19:$A$2018,MATCH(Q62,$A$19:INDEX($A$19:$A$2018,$H$6),1))))))</f>
        <v/>
      </c>
    </row>
    <row r="63">
      <c r="A63" s="11" t="n"/>
      <c r="B63" s="11" t="n"/>
      <c r="C63" s="12">
        <f>IF(A63="","",$B$9*TAN(RADIANS(A63)))</f>
        <v/>
      </c>
      <c r="D63" s="12">
        <f>IF(C63="","",C63*(1+B63/100))</f>
        <v/>
      </c>
      <c r="E63" s="12">
        <f>IF(A63="","",$B$10*TAN(RADIANS(A63)))</f>
        <v/>
      </c>
      <c r="G63" s="8" t="n">
        <v>45</v>
      </c>
      <c r="H63" s="8">
        <f>$K$5</f>
        <v/>
      </c>
      <c r="I63" s="7" t="inlineStr">
        <is>
          <t>橫</t>
        </is>
      </c>
      <c r="J63" s="8" t="n">
        <v>2</v>
      </c>
      <c r="K63" s="7" t="inlineStr">
        <is>
          <t>左上</t>
        </is>
      </c>
      <c r="L63" s="8">
        <f>$O$5-($M$5+$L$5)/2+(-1)*$M$5/2</f>
        <v/>
      </c>
      <c r="M63" s="8">
        <f>$P$5-$M$5/2+$L$5/2+1*2*$L$5+(-1)*$L$5/2</f>
        <v/>
      </c>
      <c r="N63" s="8">
        <f>L63-$B$7/2</f>
        <v/>
      </c>
      <c r="O63" s="8">
        <f>M63-$B$8/2</f>
        <v/>
      </c>
      <c r="P63" s="8">
        <f>SQRT(N63^2+O63^2)</f>
        <v/>
      </c>
      <c r="Q63" s="8">
        <f>IF(OR($H$7&lt;&gt;"OK",P63=""),"",IF(P63&lt;=$D$19,$A$19,IF(P63&gt;=INDEX($D$19:$D$2018,$H$6),INDEX($A$19:$A$2018,$H$6),INDEX($A$19:$A$2018,MATCH(P63,$D$19:INDEX($D$19:$D$2018,$H$6),1))+(P63-INDEX($D$19:$D$2018,MATCH(P63,$D$19:INDEX($D$19:$D$2018,$H$6),1)))*(INDEX($A$19:$A$2018,MATCH(P63,$D$19:INDEX($D$19:$D$2018,$H$6),1)+1)-INDEX($A$19:$A$2018,MATCH(P63,$D$19:INDEX($D$19:$D$2018,$H$6),1)))/(INDEX($D$19:$D$2018,MATCH(P63,$D$19:INDEX($D$19:$D$2018,$H$6),1)+1)-INDEX($D$19:$D$2018,MATCH(P63,$D$19:INDEX($D$19:$D$2018,$H$6),1))))))</f>
        <v/>
      </c>
      <c r="R63" s="8">
        <f>IF(P63=0,0,-Y63*N63/P63)</f>
        <v/>
      </c>
      <c r="S63" s="8">
        <f>IF(P63=0,0,Y63*O63/P63)</f>
        <v/>
      </c>
      <c r="T63" s="8">
        <f>IF(Y63=0,$B$7/2,$B$7/2-Z63*R63/Y63)</f>
        <v/>
      </c>
      <c r="U63" s="8">
        <f>IF(Y63=0,$B$8/2,$B$8/2+Z63*S63/Y63)</f>
        <v/>
      </c>
      <c r="V63" s="8">
        <f>SQRT((T63-L63)^2+(U63-M63)^2)</f>
        <v/>
      </c>
      <c r="Y63">
        <f>$B$10*TAN(RADIANS(Q63))</f>
        <v/>
      </c>
      <c r="Z63">
        <f>IF(OR($H$7&lt;&gt;"OK",Q63=""),"",IF(Q63&lt;=$A$19,$D$19,IF(Q63&gt;=INDEX($A$19:$A$2018,$H$6),INDEX($D$19:$D$2018,$H$6),INDEX($D$19:$D$2018,MATCH(Q63,$A$19:INDEX($A$19:$A$2018,$H$6),1))+(Q63-INDEX($A$19:$A$2018,MATCH(Q63,$A$19:INDEX($A$19:$A$2018,$H$6),1)))*(INDEX($D$19:$D$2018,MATCH(Q63,$A$19:INDEX($A$19:$A$2018,$H$6),1)+1)-INDEX($D$19:$D$2018,MATCH(Q63,$A$19:INDEX($A$19:$A$2018,$H$6),1)))/(INDEX($A$19:$A$2018,MATCH(Q63,$A$19:INDEX($A$19:$A$2018,$H$6),1)+1)-INDEX($A$19:$A$2018,MATCH(Q63,$A$19:INDEX($A$19:$A$2018,$H$6),1))))))</f>
        <v/>
      </c>
    </row>
    <row r="64">
      <c r="A64" s="11" t="n"/>
      <c r="B64" s="11" t="n"/>
      <c r="C64" s="12">
        <f>IF(A64="","",$B$9*TAN(RADIANS(A64)))</f>
        <v/>
      </c>
      <c r="D64" s="12">
        <f>IF(C64="","",C64*(1+B64/100))</f>
        <v/>
      </c>
      <c r="E64" s="12">
        <f>IF(A64="","",$B$10*TAN(RADIANS(A64)))</f>
        <v/>
      </c>
      <c r="G64" s="8" t="n">
        <v>46</v>
      </c>
      <c r="H64" s="8">
        <f>$K$5</f>
        <v/>
      </c>
      <c r="I64" s="7" t="inlineStr">
        <is>
          <t>橫</t>
        </is>
      </c>
      <c r="J64" s="8" t="n">
        <v>2</v>
      </c>
      <c r="K64" s="7" t="inlineStr">
        <is>
          <t>右上</t>
        </is>
      </c>
      <c r="L64" s="8">
        <f>$O$5-($M$5+$L$5)/2+(1)*$M$5/2</f>
        <v/>
      </c>
      <c r="M64" s="8">
        <f>$P$5-$M$5/2+$L$5/2+1*2*$L$5+(-1)*$L$5/2</f>
        <v/>
      </c>
      <c r="N64" s="8">
        <f>L64-$B$7/2</f>
        <v/>
      </c>
      <c r="O64" s="8">
        <f>M64-$B$8/2</f>
        <v/>
      </c>
      <c r="P64" s="8">
        <f>SQRT(N64^2+O64^2)</f>
        <v/>
      </c>
      <c r="Q64" s="8">
        <f>IF(OR($H$7&lt;&gt;"OK",P64=""),"",IF(P64&lt;=$D$19,$A$19,IF(P64&gt;=INDEX($D$19:$D$2018,$H$6),INDEX($A$19:$A$2018,$H$6),INDEX($A$19:$A$2018,MATCH(P64,$D$19:INDEX($D$19:$D$2018,$H$6),1))+(P64-INDEX($D$19:$D$2018,MATCH(P64,$D$19:INDEX($D$19:$D$2018,$H$6),1)))*(INDEX($A$19:$A$2018,MATCH(P64,$D$19:INDEX($D$19:$D$2018,$H$6),1)+1)-INDEX($A$19:$A$2018,MATCH(P64,$D$19:INDEX($D$19:$D$2018,$H$6),1)))/(INDEX($D$19:$D$2018,MATCH(P64,$D$19:INDEX($D$19:$D$2018,$H$6),1)+1)-INDEX($D$19:$D$2018,MATCH(P64,$D$19:INDEX($D$19:$D$2018,$H$6),1))))))</f>
        <v/>
      </c>
      <c r="R64" s="8">
        <f>IF(P64=0,0,-Y64*N64/P64)</f>
        <v/>
      </c>
      <c r="S64" s="8">
        <f>IF(P64=0,0,Y64*O64/P64)</f>
        <v/>
      </c>
      <c r="T64" s="8">
        <f>IF(Y64=0,$B$7/2,$B$7/2-Z64*R64/Y64)</f>
        <v/>
      </c>
      <c r="U64" s="8">
        <f>IF(Y64=0,$B$8/2,$B$8/2+Z64*S64/Y64)</f>
        <v/>
      </c>
      <c r="V64" s="8">
        <f>SQRT((T64-L64)^2+(U64-M64)^2)</f>
        <v/>
      </c>
      <c r="Y64">
        <f>$B$10*TAN(RADIANS(Q64))</f>
        <v/>
      </c>
      <c r="Z64">
        <f>IF(OR($H$7&lt;&gt;"OK",Q64=""),"",IF(Q64&lt;=$A$19,$D$19,IF(Q64&gt;=INDEX($A$19:$A$2018,$H$6),INDEX($D$19:$D$2018,$H$6),INDEX($D$19:$D$2018,MATCH(Q64,$A$19:INDEX($A$19:$A$2018,$H$6),1))+(Q64-INDEX($A$19:$A$2018,MATCH(Q64,$A$19:INDEX($A$19:$A$2018,$H$6),1)))*(INDEX($D$19:$D$2018,MATCH(Q64,$A$19:INDEX($A$19:$A$2018,$H$6),1)+1)-INDEX($D$19:$D$2018,MATCH(Q64,$A$19:INDEX($A$19:$A$2018,$H$6),1)))/(INDEX($A$19:$A$2018,MATCH(Q64,$A$19:INDEX($A$19:$A$2018,$H$6),1)+1)-INDEX($A$19:$A$2018,MATCH(Q64,$A$19:INDEX($A$19:$A$2018,$H$6),1))))))</f>
        <v/>
      </c>
    </row>
    <row r="65">
      <c r="A65" s="11" t="n"/>
      <c r="B65" s="11" t="n"/>
      <c r="C65" s="12">
        <f>IF(A65="","",$B$9*TAN(RADIANS(A65)))</f>
        <v/>
      </c>
      <c r="D65" s="12">
        <f>IF(C65="","",C65*(1+B65/100))</f>
        <v/>
      </c>
      <c r="E65" s="12">
        <f>IF(A65="","",$B$10*TAN(RADIANS(A65)))</f>
        <v/>
      </c>
      <c r="G65" s="8" t="n">
        <v>47</v>
      </c>
      <c r="H65" s="8">
        <f>$K$5</f>
        <v/>
      </c>
      <c r="I65" s="7" t="inlineStr">
        <is>
          <t>橫</t>
        </is>
      </c>
      <c r="J65" s="8" t="n">
        <v>2</v>
      </c>
      <c r="K65" s="7" t="inlineStr">
        <is>
          <t>右下</t>
        </is>
      </c>
      <c r="L65" s="8">
        <f>$O$5-($M$5+$L$5)/2+(1)*$M$5/2</f>
        <v/>
      </c>
      <c r="M65" s="8">
        <f>$P$5-$M$5/2+$L$5/2+1*2*$L$5+(1)*$L$5/2</f>
        <v/>
      </c>
      <c r="N65" s="8">
        <f>L65-$B$7/2</f>
        <v/>
      </c>
      <c r="O65" s="8">
        <f>M65-$B$8/2</f>
        <v/>
      </c>
      <c r="P65" s="8">
        <f>SQRT(N65^2+O65^2)</f>
        <v/>
      </c>
      <c r="Q65" s="8">
        <f>IF(OR($H$7&lt;&gt;"OK",P65=""),"",IF(P65&lt;=$D$19,$A$19,IF(P65&gt;=INDEX($D$19:$D$2018,$H$6),INDEX($A$19:$A$2018,$H$6),INDEX($A$19:$A$2018,MATCH(P65,$D$19:INDEX($D$19:$D$2018,$H$6),1))+(P65-INDEX($D$19:$D$2018,MATCH(P65,$D$19:INDEX($D$19:$D$2018,$H$6),1)))*(INDEX($A$19:$A$2018,MATCH(P65,$D$19:INDEX($D$19:$D$2018,$H$6),1)+1)-INDEX($A$19:$A$2018,MATCH(P65,$D$19:INDEX($D$19:$D$2018,$H$6),1)))/(INDEX($D$19:$D$2018,MATCH(P65,$D$19:INDEX($D$19:$D$2018,$H$6),1)+1)-INDEX($D$19:$D$2018,MATCH(P65,$D$19:INDEX($D$19:$D$2018,$H$6),1))))))</f>
        <v/>
      </c>
      <c r="R65" s="8">
        <f>IF(P65=0,0,-Y65*N65/P65)</f>
        <v/>
      </c>
      <c r="S65" s="8">
        <f>IF(P65=0,0,Y65*O65/P65)</f>
        <v/>
      </c>
      <c r="T65" s="8">
        <f>IF(Y65=0,$B$7/2,$B$7/2-Z65*R65/Y65)</f>
        <v/>
      </c>
      <c r="U65" s="8">
        <f>IF(Y65=0,$B$8/2,$B$8/2+Z65*S65/Y65)</f>
        <v/>
      </c>
      <c r="V65" s="8">
        <f>SQRT((T65-L65)^2+(U65-M65)^2)</f>
        <v/>
      </c>
      <c r="Y65">
        <f>$B$10*TAN(RADIANS(Q65))</f>
        <v/>
      </c>
      <c r="Z65">
        <f>IF(OR($H$7&lt;&gt;"OK",Q65=""),"",IF(Q65&lt;=$A$19,$D$19,IF(Q65&gt;=INDEX($A$19:$A$2018,$H$6),INDEX($D$19:$D$2018,$H$6),INDEX($D$19:$D$2018,MATCH(Q65,$A$19:INDEX($A$19:$A$2018,$H$6),1))+(Q65-INDEX($A$19:$A$2018,MATCH(Q65,$A$19:INDEX($A$19:$A$2018,$H$6),1)))*(INDEX($D$19:$D$2018,MATCH(Q65,$A$19:INDEX($A$19:$A$2018,$H$6),1)+1)-INDEX($D$19:$D$2018,MATCH(Q65,$A$19:INDEX($A$19:$A$2018,$H$6),1)))/(INDEX($A$19:$A$2018,MATCH(Q65,$A$19:INDEX($A$19:$A$2018,$H$6),1)+1)-INDEX($A$19:$A$2018,MATCH(Q65,$A$19:INDEX($A$19:$A$2018,$H$6),1))))))</f>
        <v/>
      </c>
    </row>
    <row r="66">
      <c r="A66" s="11" t="n"/>
      <c r="B66" s="11" t="n"/>
      <c r="C66" s="12">
        <f>IF(A66="","",$B$9*TAN(RADIANS(A66)))</f>
        <v/>
      </c>
      <c r="D66" s="12">
        <f>IF(C66="","",C66*(1+B66/100))</f>
        <v/>
      </c>
      <c r="E66" s="12">
        <f>IF(A66="","",$B$10*TAN(RADIANS(A66)))</f>
        <v/>
      </c>
      <c r="G66" s="8" t="n">
        <v>48</v>
      </c>
      <c r="H66" s="8">
        <f>$K$5</f>
        <v/>
      </c>
      <c r="I66" s="7" t="inlineStr">
        <is>
          <t>橫</t>
        </is>
      </c>
      <c r="J66" s="8" t="n">
        <v>2</v>
      </c>
      <c r="K66" s="7" t="inlineStr">
        <is>
          <t>左下</t>
        </is>
      </c>
      <c r="L66" s="8">
        <f>$O$5-($M$5+$L$5)/2+(-1)*$M$5/2</f>
        <v/>
      </c>
      <c r="M66" s="8">
        <f>$P$5-$M$5/2+$L$5/2+1*2*$L$5+(1)*$L$5/2</f>
        <v/>
      </c>
      <c r="N66" s="8">
        <f>L66-$B$7/2</f>
        <v/>
      </c>
      <c r="O66" s="8">
        <f>M66-$B$8/2</f>
        <v/>
      </c>
      <c r="P66" s="8">
        <f>SQRT(N66^2+O66^2)</f>
        <v/>
      </c>
      <c r="Q66" s="8">
        <f>IF(OR($H$7&lt;&gt;"OK",P66=""),"",IF(P66&lt;=$D$19,$A$19,IF(P66&gt;=INDEX($D$19:$D$2018,$H$6),INDEX($A$19:$A$2018,$H$6),INDEX($A$19:$A$2018,MATCH(P66,$D$19:INDEX($D$19:$D$2018,$H$6),1))+(P66-INDEX($D$19:$D$2018,MATCH(P66,$D$19:INDEX($D$19:$D$2018,$H$6),1)))*(INDEX($A$19:$A$2018,MATCH(P66,$D$19:INDEX($D$19:$D$2018,$H$6),1)+1)-INDEX($A$19:$A$2018,MATCH(P66,$D$19:INDEX($D$19:$D$2018,$H$6),1)))/(INDEX($D$19:$D$2018,MATCH(P66,$D$19:INDEX($D$19:$D$2018,$H$6),1)+1)-INDEX($D$19:$D$2018,MATCH(P66,$D$19:INDEX($D$19:$D$2018,$H$6),1))))))</f>
        <v/>
      </c>
      <c r="R66" s="8">
        <f>IF(P66=0,0,-Y66*N66/P66)</f>
        <v/>
      </c>
      <c r="S66" s="8">
        <f>IF(P66=0,0,Y66*O66/P66)</f>
        <v/>
      </c>
      <c r="T66" s="8">
        <f>IF(Y66=0,$B$7/2,$B$7/2-Z66*R66/Y66)</f>
        <v/>
      </c>
      <c r="U66" s="8">
        <f>IF(Y66=0,$B$8/2,$B$8/2+Z66*S66/Y66)</f>
        <v/>
      </c>
      <c r="V66" s="8">
        <f>SQRT((T66-L66)^2+(U66-M66)^2)</f>
        <v/>
      </c>
      <c r="Y66">
        <f>$B$10*TAN(RADIANS(Q66))</f>
        <v/>
      </c>
      <c r="Z66">
        <f>IF(OR($H$7&lt;&gt;"OK",Q66=""),"",IF(Q66&lt;=$A$19,$D$19,IF(Q66&gt;=INDEX($A$19:$A$2018,$H$6),INDEX($D$19:$D$2018,$H$6),INDEX($D$19:$D$2018,MATCH(Q66,$A$19:INDEX($A$19:$A$2018,$H$6),1))+(Q66-INDEX($A$19:$A$2018,MATCH(Q66,$A$19:INDEX($A$19:$A$2018,$H$6),1)))*(INDEX($D$19:$D$2018,MATCH(Q66,$A$19:INDEX($A$19:$A$2018,$H$6),1)+1)-INDEX($D$19:$D$2018,MATCH(Q66,$A$19:INDEX($A$19:$A$2018,$H$6),1)))/(INDEX($A$19:$A$2018,MATCH(Q66,$A$19:INDEX($A$19:$A$2018,$H$6),1)+1)-INDEX($A$19:$A$2018,MATCH(Q66,$A$19:INDEX($A$19:$A$2018,$H$6),1))))))</f>
        <v/>
      </c>
    </row>
    <row r="67">
      <c r="A67" s="11" t="n"/>
      <c r="B67" s="11" t="n"/>
      <c r="C67" s="12">
        <f>IF(A67="","",$B$9*TAN(RADIANS(A67)))</f>
        <v/>
      </c>
      <c r="D67" s="12">
        <f>IF(C67="","",C67*(1+B67/100))</f>
        <v/>
      </c>
      <c r="E67" s="12">
        <f>IF(A67="","",$B$10*TAN(RADIANS(A67)))</f>
        <v/>
      </c>
      <c r="G67" s="8" t="n">
        <v>49</v>
      </c>
      <c r="H67" s="8">
        <f>$K$5</f>
        <v/>
      </c>
      <c r="I67" s="7" t="inlineStr">
        <is>
          <t>橫</t>
        </is>
      </c>
      <c r="J67" s="8" t="n">
        <v>3</v>
      </c>
      <c r="K67" s="7" t="inlineStr">
        <is>
          <t>左上</t>
        </is>
      </c>
      <c r="L67" s="8">
        <f>$O$5-($M$5+$L$5)/2+(-1)*$M$5/2</f>
        <v/>
      </c>
      <c r="M67" s="8">
        <f>$P$5-$M$5/2+$L$5/2+2*2*$L$5+(-1)*$L$5/2</f>
        <v/>
      </c>
      <c r="N67" s="8">
        <f>L67-$B$7/2</f>
        <v/>
      </c>
      <c r="O67" s="8">
        <f>M67-$B$8/2</f>
        <v/>
      </c>
      <c r="P67" s="8">
        <f>SQRT(N67^2+O67^2)</f>
        <v/>
      </c>
      <c r="Q67" s="8">
        <f>IF(OR($H$7&lt;&gt;"OK",P67=""),"",IF(P67&lt;=$D$19,$A$19,IF(P67&gt;=INDEX($D$19:$D$2018,$H$6),INDEX($A$19:$A$2018,$H$6),INDEX($A$19:$A$2018,MATCH(P67,$D$19:INDEX($D$19:$D$2018,$H$6),1))+(P67-INDEX($D$19:$D$2018,MATCH(P67,$D$19:INDEX($D$19:$D$2018,$H$6),1)))*(INDEX($A$19:$A$2018,MATCH(P67,$D$19:INDEX($D$19:$D$2018,$H$6),1)+1)-INDEX($A$19:$A$2018,MATCH(P67,$D$19:INDEX($D$19:$D$2018,$H$6),1)))/(INDEX($D$19:$D$2018,MATCH(P67,$D$19:INDEX($D$19:$D$2018,$H$6),1)+1)-INDEX($D$19:$D$2018,MATCH(P67,$D$19:INDEX($D$19:$D$2018,$H$6),1))))))</f>
        <v/>
      </c>
      <c r="R67" s="8">
        <f>IF(P67=0,0,-Y67*N67/P67)</f>
        <v/>
      </c>
      <c r="S67" s="8">
        <f>IF(P67=0,0,Y67*O67/P67)</f>
        <v/>
      </c>
      <c r="T67" s="8">
        <f>IF(Y67=0,$B$7/2,$B$7/2-Z67*R67/Y67)</f>
        <v/>
      </c>
      <c r="U67" s="8">
        <f>IF(Y67=0,$B$8/2,$B$8/2+Z67*S67/Y67)</f>
        <v/>
      </c>
      <c r="V67" s="8">
        <f>SQRT((T67-L67)^2+(U67-M67)^2)</f>
        <v/>
      </c>
      <c r="Y67">
        <f>$B$10*TAN(RADIANS(Q67))</f>
        <v/>
      </c>
      <c r="Z67">
        <f>IF(OR($H$7&lt;&gt;"OK",Q67=""),"",IF(Q67&lt;=$A$19,$D$19,IF(Q67&gt;=INDEX($A$19:$A$2018,$H$6),INDEX($D$19:$D$2018,$H$6),INDEX($D$19:$D$2018,MATCH(Q67,$A$19:INDEX($A$19:$A$2018,$H$6),1))+(Q67-INDEX($A$19:$A$2018,MATCH(Q67,$A$19:INDEX($A$19:$A$2018,$H$6),1)))*(INDEX($D$19:$D$2018,MATCH(Q67,$A$19:INDEX($A$19:$A$2018,$H$6),1)+1)-INDEX($D$19:$D$2018,MATCH(Q67,$A$19:INDEX($A$19:$A$2018,$H$6),1)))/(INDEX($A$19:$A$2018,MATCH(Q67,$A$19:INDEX($A$19:$A$2018,$H$6),1)+1)-INDEX($A$19:$A$2018,MATCH(Q67,$A$19:INDEX($A$19:$A$2018,$H$6),1))))))</f>
        <v/>
      </c>
    </row>
    <row r="68">
      <c r="A68" s="11" t="n"/>
      <c r="B68" s="11" t="n"/>
      <c r="C68" s="12">
        <f>IF(A68="","",$B$9*TAN(RADIANS(A68)))</f>
        <v/>
      </c>
      <c r="D68" s="12">
        <f>IF(C68="","",C68*(1+B68/100))</f>
        <v/>
      </c>
      <c r="E68" s="12">
        <f>IF(A68="","",$B$10*TAN(RADIANS(A68)))</f>
        <v/>
      </c>
      <c r="G68" s="8" t="n">
        <v>50</v>
      </c>
      <c r="H68" s="8">
        <f>$K$5</f>
        <v/>
      </c>
      <c r="I68" s="7" t="inlineStr">
        <is>
          <t>橫</t>
        </is>
      </c>
      <c r="J68" s="8" t="n">
        <v>3</v>
      </c>
      <c r="K68" s="7" t="inlineStr">
        <is>
          <t>右上</t>
        </is>
      </c>
      <c r="L68" s="8">
        <f>$O$5-($M$5+$L$5)/2+(1)*$M$5/2</f>
        <v/>
      </c>
      <c r="M68" s="8">
        <f>$P$5-$M$5/2+$L$5/2+2*2*$L$5+(-1)*$L$5/2</f>
        <v/>
      </c>
      <c r="N68" s="8">
        <f>L68-$B$7/2</f>
        <v/>
      </c>
      <c r="O68" s="8">
        <f>M68-$B$8/2</f>
        <v/>
      </c>
      <c r="P68" s="8">
        <f>SQRT(N68^2+O68^2)</f>
        <v/>
      </c>
      <c r="Q68" s="8">
        <f>IF(OR($H$7&lt;&gt;"OK",P68=""),"",IF(P68&lt;=$D$19,$A$19,IF(P68&gt;=INDEX($D$19:$D$2018,$H$6),INDEX($A$19:$A$2018,$H$6),INDEX($A$19:$A$2018,MATCH(P68,$D$19:INDEX($D$19:$D$2018,$H$6),1))+(P68-INDEX($D$19:$D$2018,MATCH(P68,$D$19:INDEX($D$19:$D$2018,$H$6),1)))*(INDEX($A$19:$A$2018,MATCH(P68,$D$19:INDEX($D$19:$D$2018,$H$6),1)+1)-INDEX($A$19:$A$2018,MATCH(P68,$D$19:INDEX($D$19:$D$2018,$H$6),1)))/(INDEX($D$19:$D$2018,MATCH(P68,$D$19:INDEX($D$19:$D$2018,$H$6),1)+1)-INDEX($D$19:$D$2018,MATCH(P68,$D$19:INDEX($D$19:$D$2018,$H$6),1))))))</f>
        <v/>
      </c>
      <c r="R68" s="8">
        <f>IF(P68=0,0,-Y68*N68/P68)</f>
        <v/>
      </c>
      <c r="S68" s="8">
        <f>IF(P68=0,0,Y68*O68/P68)</f>
        <v/>
      </c>
      <c r="T68" s="8">
        <f>IF(Y68=0,$B$7/2,$B$7/2-Z68*R68/Y68)</f>
        <v/>
      </c>
      <c r="U68" s="8">
        <f>IF(Y68=0,$B$8/2,$B$8/2+Z68*S68/Y68)</f>
        <v/>
      </c>
      <c r="V68" s="8">
        <f>SQRT((T68-L68)^2+(U68-M68)^2)</f>
        <v/>
      </c>
      <c r="Y68">
        <f>$B$10*TAN(RADIANS(Q68))</f>
        <v/>
      </c>
      <c r="Z68">
        <f>IF(OR($H$7&lt;&gt;"OK",Q68=""),"",IF(Q68&lt;=$A$19,$D$19,IF(Q68&gt;=INDEX($A$19:$A$2018,$H$6),INDEX($D$19:$D$2018,$H$6),INDEX($D$19:$D$2018,MATCH(Q68,$A$19:INDEX($A$19:$A$2018,$H$6),1))+(Q68-INDEX($A$19:$A$2018,MATCH(Q68,$A$19:INDEX($A$19:$A$2018,$H$6),1)))*(INDEX($D$19:$D$2018,MATCH(Q68,$A$19:INDEX($A$19:$A$2018,$H$6),1)+1)-INDEX($D$19:$D$2018,MATCH(Q68,$A$19:INDEX($A$19:$A$2018,$H$6),1)))/(INDEX($A$19:$A$2018,MATCH(Q68,$A$19:INDEX($A$19:$A$2018,$H$6),1)+1)-INDEX($A$19:$A$2018,MATCH(Q68,$A$19:INDEX($A$19:$A$2018,$H$6),1))))))</f>
        <v/>
      </c>
    </row>
    <row r="69">
      <c r="A69" s="11" t="n"/>
      <c r="B69" s="11" t="n"/>
      <c r="C69" s="12">
        <f>IF(A69="","",$B$9*TAN(RADIANS(A69)))</f>
        <v/>
      </c>
      <c r="D69" s="12">
        <f>IF(C69="","",C69*(1+B69/100))</f>
        <v/>
      </c>
      <c r="E69" s="12">
        <f>IF(A69="","",$B$10*TAN(RADIANS(A69)))</f>
        <v/>
      </c>
      <c r="G69" s="8" t="n">
        <v>51</v>
      </c>
      <c r="H69" s="8">
        <f>$K$5</f>
        <v/>
      </c>
      <c r="I69" s="7" t="inlineStr">
        <is>
          <t>橫</t>
        </is>
      </c>
      <c r="J69" s="8" t="n">
        <v>3</v>
      </c>
      <c r="K69" s="7" t="inlineStr">
        <is>
          <t>右下</t>
        </is>
      </c>
      <c r="L69" s="8">
        <f>$O$5-($M$5+$L$5)/2+(1)*$M$5/2</f>
        <v/>
      </c>
      <c r="M69" s="8">
        <f>$P$5-$M$5/2+$L$5/2+2*2*$L$5+(1)*$L$5/2</f>
        <v/>
      </c>
      <c r="N69" s="8">
        <f>L69-$B$7/2</f>
        <v/>
      </c>
      <c r="O69" s="8">
        <f>M69-$B$8/2</f>
        <v/>
      </c>
      <c r="P69" s="8">
        <f>SQRT(N69^2+O69^2)</f>
        <v/>
      </c>
      <c r="Q69" s="8">
        <f>IF(OR($H$7&lt;&gt;"OK",P69=""),"",IF(P69&lt;=$D$19,$A$19,IF(P69&gt;=INDEX($D$19:$D$2018,$H$6),INDEX($A$19:$A$2018,$H$6),INDEX($A$19:$A$2018,MATCH(P69,$D$19:INDEX($D$19:$D$2018,$H$6),1))+(P69-INDEX($D$19:$D$2018,MATCH(P69,$D$19:INDEX($D$19:$D$2018,$H$6),1)))*(INDEX($A$19:$A$2018,MATCH(P69,$D$19:INDEX($D$19:$D$2018,$H$6),1)+1)-INDEX($A$19:$A$2018,MATCH(P69,$D$19:INDEX($D$19:$D$2018,$H$6),1)))/(INDEX($D$19:$D$2018,MATCH(P69,$D$19:INDEX($D$19:$D$2018,$H$6),1)+1)-INDEX($D$19:$D$2018,MATCH(P69,$D$19:INDEX($D$19:$D$2018,$H$6),1))))))</f>
        <v/>
      </c>
      <c r="R69" s="8">
        <f>IF(P69=0,0,-Y69*N69/P69)</f>
        <v/>
      </c>
      <c r="S69" s="8">
        <f>IF(P69=0,0,Y69*O69/P69)</f>
        <v/>
      </c>
      <c r="T69" s="8">
        <f>IF(Y69=0,$B$7/2,$B$7/2-Z69*R69/Y69)</f>
        <v/>
      </c>
      <c r="U69" s="8">
        <f>IF(Y69=0,$B$8/2,$B$8/2+Z69*S69/Y69)</f>
        <v/>
      </c>
      <c r="V69" s="8">
        <f>SQRT((T69-L69)^2+(U69-M69)^2)</f>
        <v/>
      </c>
      <c r="Y69">
        <f>$B$10*TAN(RADIANS(Q69))</f>
        <v/>
      </c>
      <c r="Z69">
        <f>IF(OR($H$7&lt;&gt;"OK",Q69=""),"",IF(Q69&lt;=$A$19,$D$19,IF(Q69&gt;=INDEX($A$19:$A$2018,$H$6),INDEX($D$19:$D$2018,$H$6),INDEX($D$19:$D$2018,MATCH(Q69,$A$19:INDEX($A$19:$A$2018,$H$6),1))+(Q69-INDEX($A$19:$A$2018,MATCH(Q69,$A$19:INDEX($A$19:$A$2018,$H$6),1)))*(INDEX($D$19:$D$2018,MATCH(Q69,$A$19:INDEX($A$19:$A$2018,$H$6),1)+1)-INDEX($D$19:$D$2018,MATCH(Q69,$A$19:INDEX($A$19:$A$2018,$H$6),1)))/(INDEX($A$19:$A$2018,MATCH(Q69,$A$19:INDEX($A$19:$A$2018,$H$6),1)+1)-INDEX($A$19:$A$2018,MATCH(Q69,$A$19:INDEX($A$19:$A$2018,$H$6),1))))))</f>
        <v/>
      </c>
    </row>
    <row r="70">
      <c r="A70" s="11" t="n"/>
      <c r="B70" s="11" t="n"/>
      <c r="C70" s="12">
        <f>IF(A70="","",$B$9*TAN(RADIANS(A70)))</f>
        <v/>
      </c>
      <c r="D70" s="12">
        <f>IF(C70="","",C70*(1+B70/100))</f>
        <v/>
      </c>
      <c r="E70" s="12">
        <f>IF(A70="","",$B$10*TAN(RADIANS(A70)))</f>
        <v/>
      </c>
      <c r="G70" s="8" t="n">
        <v>52</v>
      </c>
      <c r="H70" s="8">
        <f>$K$5</f>
        <v/>
      </c>
      <c r="I70" s="7" t="inlineStr">
        <is>
          <t>橫</t>
        </is>
      </c>
      <c r="J70" s="8" t="n">
        <v>3</v>
      </c>
      <c r="K70" s="7" t="inlineStr">
        <is>
          <t>左下</t>
        </is>
      </c>
      <c r="L70" s="8">
        <f>$O$5-($M$5+$L$5)/2+(-1)*$M$5/2</f>
        <v/>
      </c>
      <c r="M70" s="8">
        <f>$P$5-$M$5/2+$L$5/2+2*2*$L$5+(1)*$L$5/2</f>
        <v/>
      </c>
      <c r="N70" s="8">
        <f>L70-$B$7/2</f>
        <v/>
      </c>
      <c r="O70" s="8">
        <f>M70-$B$8/2</f>
        <v/>
      </c>
      <c r="P70" s="8">
        <f>SQRT(N70^2+O70^2)</f>
        <v/>
      </c>
      <c r="Q70" s="8">
        <f>IF(OR($H$7&lt;&gt;"OK",P70=""),"",IF(P70&lt;=$D$19,$A$19,IF(P70&gt;=INDEX($D$19:$D$2018,$H$6),INDEX($A$19:$A$2018,$H$6),INDEX($A$19:$A$2018,MATCH(P70,$D$19:INDEX($D$19:$D$2018,$H$6),1))+(P70-INDEX($D$19:$D$2018,MATCH(P70,$D$19:INDEX($D$19:$D$2018,$H$6),1)))*(INDEX($A$19:$A$2018,MATCH(P70,$D$19:INDEX($D$19:$D$2018,$H$6),1)+1)-INDEX($A$19:$A$2018,MATCH(P70,$D$19:INDEX($D$19:$D$2018,$H$6),1)))/(INDEX($D$19:$D$2018,MATCH(P70,$D$19:INDEX($D$19:$D$2018,$H$6),1)+1)-INDEX($D$19:$D$2018,MATCH(P70,$D$19:INDEX($D$19:$D$2018,$H$6),1))))))</f>
        <v/>
      </c>
      <c r="R70" s="8">
        <f>IF(P70=0,0,-Y70*N70/P70)</f>
        <v/>
      </c>
      <c r="S70" s="8">
        <f>IF(P70=0,0,Y70*O70/P70)</f>
        <v/>
      </c>
      <c r="T70" s="8">
        <f>IF(Y70=0,$B$7/2,$B$7/2-Z70*R70/Y70)</f>
        <v/>
      </c>
      <c r="U70" s="8">
        <f>IF(Y70=0,$B$8/2,$B$8/2+Z70*S70/Y70)</f>
        <v/>
      </c>
      <c r="V70" s="8">
        <f>SQRT((T70-L70)^2+(U70-M70)^2)</f>
        <v/>
      </c>
      <c r="Y70">
        <f>$B$10*TAN(RADIANS(Q70))</f>
        <v/>
      </c>
      <c r="Z70">
        <f>IF(OR($H$7&lt;&gt;"OK",Q70=""),"",IF(Q70&lt;=$A$19,$D$19,IF(Q70&gt;=INDEX($A$19:$A$2018,$H$6),INDEX($D$19:$D$2018,$H$6),INDEX($D$19:$D$2018,MATCH(Q70,$A$19:INDEX($A$19:$A$2018,$H$6),1))+(Q70-INDEX($A$19:$A$2018,MATCH(Q70,$A$19:INDEX($A$19:$A$2018,$H$6),1)))*(INDEX($D$19:$D$2018,MATCH(Q70,$A$19:INDEX($A$19:$A$2018,$H$6),1)+1)-INDEX($D$19:$D$2018,MATCH(Q70,$A$19:INDEX($A$19:$A$2018,$H$6),1)))/(INDEX($A$19:$A$2018,MATCH(Q70,$A$19:INDEX($A$19:$A$2018,$H$6),1)+1)-INDEX($A$19:$A$2018,MATCH(Q70,$A$19:INDEX($A$19:$A$2018,$H$6),1))))))</f>
        <v/>
      </c>
    </row>
    <row r="71">
      <c r="A71" s="11" t="n"/>
      <c r="B71" s="11" t="n"/>
      <c r="C71" s="12">
        <f>IF(A71="","",$B$9*TAN(RADIANS(A71)))</f>
        <v/>
      </c>
      <c r="D71" s="12">
        <f>IF(C71="","",C71*(1+B71/100))</f>
        <v/>
      </c>
      <c r="E71" s="12">
        <f>IF(A71="","",$B$10*TAN(RADIANS(A71)))</f>
        <v/>
      </c>
      <c r="G71" s="8" t="n">
        <v>53</v>
      </c>
      <c r="H71" s="8">
        <f>$K$5</f>
        <v/>
      </c>
      <c r="I71" s="7" t="inlineStr">
        <is>
          <t>橫</t>
        </is>
      </c>
      <c r="J71" s="8" t="n">
        <v>4</v>
      </c>
      <c r="K71" s="7" t="inlineStr">
        <is>
          <t>左上</t>
        </is>
      </c>
      <c r="L71" s="8">
        <f>$O$5-($M$5+$L$5)/2+(-1)*$M$5/2</f>
        <v/>
      </c>
      <c r="M71" s="8">
        <f>$P$5-$M$5/2+$L$5/2+3*2*$L$5+(-1)*$L$5/2</f>
        <v/>
      </c>
      <c r="N71" s="8">
        <f>L71-$B$7/2</f>
        <v/>
      </c>
      <c r="O71" s="8">
        <f>M71-$B$8/2</f>
        <v/>
      </c>
      <c r="P71" s="8">
        <f>SQRT(N71^2+O71^2)</f>
        <v/>
      </c>
      <c r="Q71" s="8">
        <f>IF(OR($H$7&lt;&gt;"OK",P71=""),"",IF(P71&lt;=$D$19,$A$19,IF(P71&gt;=INDEX($D$19:$D$2018,$H$6),INDEX($A$19:$A$2018,$H$6),INDEX($A$19:$A$2018,MATCH(P71,$D$19:INDEX($D$19:$D$2018,$H$6),1))+(P71-INDEX($D$19:$D$2018,MATCH(P71,$D$19:INDEX($D$19:$D$2018,$H$6),1)))*(INDEX($A$19:$A$2018,MATCH(P71,$D$19:INDEX($D$19:$D$2018,$H$6),1)+1)-INDEX($A$19:$A$2018,MATCH(P71,$D$19:INDEX($D$19:$D$2018,$H$6),1)))/(INDEX($D$19:$D$2018,MATCH(P71,$D$19:INDEX($D$19:$D$2018,$H$6),1)+1)-INDEX($D$19:$D$2018,MATCH(P71,$D$19:INDEX($D$19:$D$2018,$H$6),1))))))</f>
        <v/>
      </c>
      <c r="R71" s="8">
        <f>IF(P71=0,0,-Y71*N71/P71)</f>
        <v/>
      </c>
      <c r="S71" s="8">
        <f>IF(P71=0,0,Y71*O71/P71)</f>
        <v/>
      </c>
      <c r="T71" s="8">
        <f>IF(Y71=0,$B$7/2,$B$7/2-Z71*R71/Y71)</f>
        <v/>
      </c>
      <c r="U71" s="8">
        <f>IF(Y71=0,$B$8/2,$B$8/2+Z71*S71/Y71)</f>
        <v/>
      </c>
      <c r="V71" s="8">
        <f>SQRT((T71-L71)^2+(U71-M71)^2)</f>
        <v/>
      </c>
      <c r="Y71">
        <f>$B$10*TAN(RADIANS(Q71))</f>
        <v/>
      </c>
      <c r="Z71">
        <f>IF(OR($H$7&lt;&gt;"OK",Q71=""),"",IF(Q71&lt;=$A$19,$D$19,IF(Q71&gt;=INDEX($A$19:$A$2018,$H$6),INDEX($D$19:$D$2018,$H$6),INDEX($D$19:$D$2018,MATCH(Q71,$A$19:INDEX($A$19:$A$2018,$H$6),1))+(Q71-INDEX($A$19:$A$2018,MATCH(Q71,$A$19:INDEX($A$19:$A$2018,$H$6),1)))*(INDEX($D$19:$D$2018,MATCH(Q71,$A$19:INDEX($A$19:$A$2018,$H$6),1)+1)-INDEX($D$19:$D$2018,MATCH(Q71,$A$19:INDEX($A$19:$A$2018,$H$6),1)))/(INDEX($A$19:$A$2018,MATCH(Q71,$A$19:INDEX($A$19:$A$2018,$H$6),1)+1)-INDEX($A$19:$A$2018,MATCH(Q71,$A$19:INDEX($A$19:$A$2018,$H$6),1))))))</f>
        <v/>
      </c>
    </row>
    <row r="72">
      <c r="A72" s="11" t="n"/>
      <c r="B72" s="11" t="n"/>
      <c r="C72" s="12">
        <f>IF(A72="","",$B$9*TAN(RADIANS(A72)))</f>
        <v/>
      </c>
      <c r="D72" s="12">
        <f>IF(C72="","",C72*(1+B72/100))</f>
        <v/>
      </c>
      <c r="E72" s="12">
        <f>IF(A72="","",$B$10*TAN(RADIANS(A72)))</f>
        <v/>
      </c>
      <c r="G72" s="8" t="n">
        <v>54</v>
      </c>
      <c r="H72" s="8">
        <f>$K$5</f>
        <v/>
      </c>
      <c r="I72" s="7" t="inlineStr">
        <is>
          <t>橫</t>
        </is>
      </c>
      <c r="J72" s="8" t="n">
        <v>4</v>
      </c>
      <c r="K72" s="7" t="inlineStr">
        <is>
          <t>右上</t>
        </is>
      </c>
      <c r="L72" s="8">
        <f>$O$5-($M$5+$L$5)/2+(1)*$M$5/2</f>
        <v/>
      </c>
      <c r="M72" s="8">
        <f>$P$5-$M$5/2+$L$5/2+3*2*$L$5+(-1)*$L$5/2</f>
        <v/>
      </c>
      <c r="N72" s="8">
        <f>L72-$B$7/2</f>
        <v/>
      </c>
      <c r="O72" s="8">
        <f>M72-$B$8/2</f>
        <v/>
      </c>
      <c r="P72" s="8">
        <f>SQRT(N72^2+O72^2)</f>
        <v/>
      </c>
      <c r="Q72" s="8">
        <f>IF(OR($H$7&lt;&gt;"OK",P72=""),"",IF(P72&lt;=$D$19,$A$19,IF(P72&gt;=INDEX($D$19:$D$2018,$H$6),INDEX($A$19:$A$2018,$H$6),INDEX($A$19:$A$2018,MATCH(P72,$D$19:INDEX($D$19:$D$2018,$H$6),1))+(P72-INDEX($D$19:$D$2018,MATCH(P72,$D$19:INDEX($D$19:$D$2018,$H$6),1)))*(INDEX($A$19:$A$2018,MATCH(P72,$D$19:INDEX($D$19:$D$2018,$H$6),1)+1)-INDEX($A$19:$A$2018,MATCH(P72,$D$19:INDEX($D$19:$D$2018,$H$6),1)))/(INDEX($D$19:$D$2018,MATCH(P72,$D$19:INDEX($D$19:$D$2018,$H$6),1)+1)-INDEX($D$19:$D$2018,MATCH(P72,$D$19:INDEX($D$19:$D$2018,$H$6),1))))))</f>
        <v/>
      </c>
      <c r="R72" s="8">
        <f>IF(P72=0,0,-Y72*N72/P72)</f>
        <v/>
      </c>
      <c r="S72" s="8">
        <f>IF(P72=0,0,Y72*O72/P72)</f>
        <v/>
      </c>
      <c r="T72" s="8">
        <f>IF(Y72=0,$B$7/2,$B$7/2-Z72*R72/Y72)</f>
        <v/>
      </c>
      <c r="U72" s="8">
        <f>IF(Y72=0,$B$8/2,$B$8/2+Z72*S72/Y72)</f>
        <v/>
      </c>
      <c r="V72" s="8">
        <f>SQRT((T72-L72)^2+(U72-M72)^2)</f>
        <v/>
      </c>
      <c r="Y72">
        <f>$B$10*TAN(RADIANS(Q72))</f>
        <v/>
      </c>
      <c r="Z72">
        <f>IF(OR($H$7&lt;&gt;"OK",Q72=""),"",IF(Q72&lt;=$A$19,$D$19,IF(Q72&gt;=INDEX($A$19:$A$2018,$H$6),INDEX($D$19:$D$2018,$H$6),INDEX($D$19:$D$2018,MATCH(Q72,$A$19:INDEX($A$19:$A$2018,$H$6),1))+(Q72-INDEX($A$19:$A$2018,MATCH(Q72,$A$19:INDEX($A$19:$A$2018,$H$6),1)))*(INDEX($D$19:$D$2018,MATCH(Q72,$A$19:INDEX($A$19:$A$2018,$H$6),1)+1)-INDEX($D$19:$D$2018,MATCH(Q72,$A$19:INDEX($A$19:$A$2018,$H$6),1)))/(INDEX($A$19:$A$2018,MATCH(Q72,$A$19:INDEX($A$19:$A$2018,$H$6),1)+1)-INDEX($A$19:$A$2018,MATCH(Q72,$A$19:INDEX($A$19:$A$2018,$H$6),1))))))</f>
        <v/>
      </c>
    </row>
    <row r="73">
      <c r="A73" s="11" t="n"/>
      <c r="B73" s="11" t="n"/>
      <c r="C73" s="12">
        <f>IF(A73="","",$B$9*TAN(RADIANS(A73)))</f>
        <v/>
      </c>
      <c r="D73" s="12">
        <f>IF(C73="","",C73*(1+B73/100))</f>
        <v/>
      </c>
      <c r="E73" s="12">
        <f>IF(A73="","",$B$10*TAN(RADIANS(A73)))</f>
        <v/>
      </c>
      <c r="G73" s="8" t="n">
        <v>55</v>
      </c>
      <c r="H73" s="8">
        <f>$K$5</f>
        <v/>
      </c>
      <c r="I73" s="7" t="inlineStr">
        <is>
          <t>橫</t>
        </is>
      </c>
      <c r="J73" s="8" t="n">
        <v>4</v>
      </c>
      <c r="K73" s="7" t="inlineStr">
        <is>
          <t>右下</t>
        </is>
      </c>
      <c r="L73" s="8">
        <f>$O$5-($M$5+$L$5)/2+(1)*$M$5/2</f>
        <v/>
      </c>
      <c r="M73" s="8">
        <f>$P$5-$M$5/2+$L$5/2+3*2*$L$5+(1)*$L$5/2</f>
        <v/>
      </c>
      <c r="N73" s="8">
        <f>L73-$B$7/2</f>
        <v/>
      </c>
      <c r="O73" s="8">
        <f>M73-$B$8/2</f>
        <v/>
      </c>
      <c r="P73" s="8">
        <f>SQRT(N73^2+O73^2)</f>
        <v/>
      </c>
      <c r="Q73" s="8">
        <f>IF(OR($H$7&lt;&gt;"OK",P73=""),"",IF(P73&lt;=$D$19,$A$19,IF(P73&gt;=INDEX($D$19:$D$2018,$H$6),INDEX($A$19:$A$2018,$H$6),INDEX($A$19:$A$2018,MATCH(P73,$D$19:INDEX($D$19:$D$2018,$H$6),1))+(P73-INDEX($D$19:$D$2018,MATCH(P73,$D$19:INDEX($D$19:$D$2018,$H$6),1)))*(INDEX($A$19:$A$2018,MATCH(P73,$D$19:INDEX($D$19:$D$2018,$H$6),1)+1)-INDEX($A$19:$A$2018,MATCH(P73,$D$19:INDEX($D$19:$D$2018,$H$6),1)))/(INDEX($D$19:$D$2018,MATCH(P73,$D$19:INDEX($D$19:$D$2018,$H$6),1)+1)-INDEX($D$19:$D$2018,MATCH(P73,$D$19:INDEX($D$19:$D$2018,$H$6),1))))))</f>
        <v/>
      </c>
      <c r="R73" s="8">
        <f>IF(P73=0,0,-Y73*N73/P73)</f>
        <v/>
      </c>
      <c r="S73" s="8">
        <f>IF(P73=0,0,Y73*O73/P73)</f>
        <v/>
      </c>
      <c r="T73" s="8">
        <f>IF(Y73=0,$B$7/2,$B$7/2-Z73*R73/Y73)</f>
        <v/>
      </c>
      <c r="U73" s="8">
        <f>IF(Y73=0,$B$8/2,$B$8/2+Z73*S73/Y73)</f>
        <v/>
      </c>
      <c r="V73" s="8">
        <f>SQRT((T73-L73)^2+(U73-M73)^2)</f>
        <v/>
      </c>
      <c r="Y73">
        <f>$B$10*TAN(RADIANS(Q73))</f>
        <v/>
      </c>
      <c r="Z73">
        <f>IF(OR($H$7&lt;&gt;"OK",Q73=""),"",IF(Q73&lt;=$A$19,$D$19,IF(Q73&gt;=INDEX($A$19:$A$2018,$H$6),INDEX($D$19:$D$2018,$H$6),INDEX($D$19:$D$2018,MATCH(Q73,$A$19:INDEX($A$19:$A$2018,$H$6),1))+(Q73-INDEX($A$19:$A$2018,MATCH(Q73,$A$19:INDEX($A$19:$A$2018,$H$6),1)))*(INDEX($D$19:$D$2018,MATCH(Q73,$A$19:INDEX($A$19:$A$2018,$H$6),1)+1)-INDEX($D$19:$D$2018,MATCH(Q73,$A$19:INDEX($A$19:$A$2018,$H$6),1)))/(INDEX($A$19:$A$2018,MATCH(Q73,$A$19:INDEX($A$19:$A$2018,$H$6),1)+1)-INDEX($A$19:$A$2018,MATCH(Q73,$A$19:INDEX($A$19:$A$2018,$H$6),1))))))</f>
        <v/>
      </c>
    </row>
    <row r="74">
      <c r="A74" s="11" t="n"/>
      <c r="B74" s="11" t="n"/>
      <c r="C74" s="12">
        <f>IF(A74="","",$B$9*TAN(RADIANS(A74)))</f>
        <v/>
      </c>
      <c r="D74" s="12">
        <f>IF(C74="","",C74*(1+B74/100))</f>
        <v/>
      </c>
      <c r="E74" s="12">
        <f>IF(A74="","",$B$10*TAN(RADIANS(A74)))</f>
        <v/>
      </c>
      <c r="G74" s="8" t="n">
        <v>56</v>
      </c>
      <c r="H74" s="8">
        <f>$K$5</f>
        <v/>
      </c>
      <c r="I74" s="7" t="inlineStr">
        <is>
          <t>橫</t>
        </is>
      </c>
      <c r="J74" s="8" t="n">
        <v>4</v>
      </c>
      <c r="K74" s="7" t="inlineStr">
        <is>
          <t>左下</t>
        </is>
      </c>
      <c r="L74" s="8">
        <f>$O$5-($M$5+$L$5)/2+(-1)*$M$5/2</f>
        <v/>
      </c>
      <c r="M74" s="8">
        <f>$P$5-$M$5/2+$L$5/2+3*2*$L$5+(1)*$L$5/2</f>
        <v/>
      </c>
      <c r="N74" s="8">
        <f>L74-$B$7/2</f>
        <v/>
      </c>
      <c r="O74" s="8">
        <f>M74-$B$8/2</f>
        <v/>
      </c>
      <c r="P74" s="8">
        <f>SQRT(N74^2+O74^2)</f>
        <v/>
      </c>
      <c r="Q74" s="8">
        <f>IF(OR($H$7&lt;&gt;"OK",P74=""),"",IF(P74&lt;=$D$19,$A$19,IF(P74&gt;=INDEX($D$19:$D$2018,$H$6),INDEX($A$19:$A$2018,$H$6),INDEX($A$19:$A$2018,MATCH(P74,$D$19:INDEX($D$19:$D$2018,$H$6),1))+(P74-INDEX($D$19:$D$2018,MATCH(P74,$D$19:INDEX($D$19:$D$2018,$H$6),1)))*(INDEX($A$19:$A$2018,MATCH(P74,$D$19:INDEX($D$19:$D$2018,$H$6),1)+1)-INDEX($A$19:$A$2018,MATCH(P74,$D$19:INDEX($D$19:$D$2018,$H$6),1)))/(INDEX($D$19:$D$2018,MATCH(P74,$D$19:INDEX($D$19:$D$2018,$H$6),1)+1)-INDEX($D$19:$D$2018,MATCH(P74,$D$19:INDEX($D$19:$D$2018,$H$6),1))))))</f>
        <v/>
      </c>
      <c r="R74" s="8">
        <f>IF(P74=0,0,-Y74*N74/P74)</f>
        <v/>
      </c>
      <c r="S74" s="8">
        <f>IF(P74=0,0,Y74*O74/P74)</f>
        <v/>
      </c>
      <c r="T74" s="8">
        <f>IF(Y74=0,$B$7/2,$B$7/2-Z74*R74/Y74)</f>
        <v/>
      </c>
      <c r="U74" s="8">
        <f>IF(Y74=0,$B$8/2,$B$8/2+Z74*S74/Y74)</f>
        <v/>
      </c>
      <c r="V74" s="8">
        <f>SQRT((T74-L74)^2+(U74-M74)^2)</f>
        <v/>
      </c>
      <c r="Y74">
        <f>$B$10*TAN(RADIANS(Q74))</f>
        <v/>
      </c>
      <c r="Z74">
        <f>IF(OR($H$7&lt;&gt;"OK",Q74=""),"",IF(Q74&lt;=$A$19,$D$19,IF(Q74&gt;=INDEX($A$19:$A$2018,$H$6),INDEX($D$19:$D$2018,$H$6),INDEX($D$19:$D$2018,MATCH(Q74,$A$19:INDEX($A$19:$A$2018,$H$6),1))+(Q74-INDEX($A$19:$A$2018,MATCH(Q74,$A$19:INDEX($A$19:$A$2018,$H$6),1)))*(INDEX($D$19:$D$2018,MATCH(Q74,$A$19:INDEX($A$19:$A$2018,$H$6),1)+1)-INDEX($D$19:$D$2018,MATCH(Q74,$A$19:INDEX($A$19:$A$2018,$H$6),1)))/(INDEX($A$19:$A$2018,MATCH(Q74,$A$19:INDEX($A$19:$A$2018,$H$6),1)+1)-INDEX($A$19:$A$2018,MATCH(Q74,$A$19:INDEX($A$19:$A$2018,$H$6),1))))))</f>
        <v/>
      </c>
    </row>
    <row r="75">
      <c r="A75" s="11" t="n"/>
      <c r="B75" s="11" t="n"/>
      <c r="C75" s="12">
        <f>IF(A75="","",$B$9*TAN(RADIANS(A75)))</f>
        <v/>
      </c>
      <c r="D75" s="12">
        <f>IF(C75="","",C75*(1+B75/100))</f>
        <v/>
      </c>
      <c r="E75" s="12">
        <f>IF(A75="","",$B$10*TAN(RADIANS(A75)))</f>
        <v/>
      </c>
      <c r="G75" s="8" t="n">
        <v>57</v>
      </c>
      <c r="H75" s="8">
        <f>$K$5</f>
        <v/>
      </c>
      <c r="I75" s="7" t="inlineStr">
        <is>
          <t>橫</t>
        </is>
      </c>
      <c r="J75" s="8" t="n">
        <v>5</v>
      </c>
      <c r="K75" s="7" t="inlineStr">
        <is>
          <t>左上</t>
        </is>
      </c>
      <c r="L75" s="8">
        <f>$O$5-($M$5+$L$5)/2+(-1)*$M$5/2</f>
        <v/>
      </c>
      <c r="M75" s="8">
        <f>$P$5-$M$5/2+$L$5/2+4*2*$L$5+(-1)*$L$5/2</f>
        <v/>
      </c>
      <c r="N75" s="8">
        <f>L75-$B$7/2</f>
        <v/>
      </c>
      <c r="O75" s="8">
        <f>M75-$B$8/2</f>
        <v/>
      </c>
      <c r="P75" s="8">
        <f>SQRT(N75^2+O75^2)</f>
        <v/>
      </c>
      <c r="Q75" s="8">
        <f>IF(OR($H$7&lt;&gt;"OK",P75=""),"",IF(P75&lt;=$D$19,$A$19,IF(P75&gt;=INDEX($D$19:$D$2018,$H$6),INDEX($A$19:$A$2018,$H$6),INDEX($A$19:$A$2018,MATCH(P75,$D$19:INDEX($D$19:$D$2018,$H$6),1))+(P75-INDEX($D$19:$D$2018,MATCH(P75,$D$19:INDEX($D$19:$D$2018,$H$6),1)))*(INDEX($A$19:$A$2018,MATCH(P75,$D$19:INDEX($D$19:$D$2018,$H$6),1)+1)-INDEX($A$19:$A$2018,MATCH(P75,$D$19:INDEX($D$19:$D$2018,$H$6),1)))/(INDEX($D$19:$D$2018,MATCH(P75,$D$19:INDEX($D$19:$D$2018,$H$6),1)+1)-INDEX($D$19:$D$2018,MATCH(P75,$D$19:INDEX($D$19:$D$2018,$H$6),1))))))</f>
        <v/>
      </c>
      <c r="R75" s="8">
        <f>IF(P75=0,0,-Y75*N75/P75)</f>
        <v/>
      </c>
      <c r="S75" s="8">
        <f>IF(P75=0,0,Y75*O75/P75)</f>
        <v/>
      </c>
      <c r="T75" s="8">
        <f>IF(Y75=0,$B$7/2,$B$7/2-Z75*R75/Y75)</f>
        <v/>
      </c>
      <c r="U75" s="8">
        <f>IF(Y75=0,$B$8/2,$B$8/2+Z75*S75/Y75)</f>
        <v/>
      </c>
      <c r="V75" s="8">
        <f>SQRT((T75-L75)^2+(U75-M75)^2)</f>
        <v/>
      </c>
      <c r="Y75">
        <f>$B$10*TAN(RADIANS(Q75))</f>
        <v/>
      </c>
      <c r="Z75">
        <f>IF(OR($H$7&lt;&gt;"OK",Q75=""),"",IF(Q75&lt;=$A$19,$D$19,IF(Q75&gt;=INDEX($A$19:$A$2018,$H$6),INDEX($D$19:$D$2018,$H$6),INDEX($D$19:$D$2018,MATCH(Q75,$A$19:INDEX($A$19:$A$2018,$H$6),1))+(Q75-INDEX($A$19:$A$2018,MATCH(Q75,$A$19:INDEX($A$19:$A$2018,$H$6),1)))*(INDEX($D$19:$D$2018,MATCH(Q75,$A$19:INDEX($A$19:$A$2018,$H$6),1)+1)-INDEX($D$19:$D$2018,MATCH(Q75,$A$19:INDEX($A$19:$A$2018,$H$6),1)))/(INDEX($A$19:$A$2018,MATCH(Q75,$A$19:INDEX($A$19:$A$2018,$H$6),1)+1)-INDEX($A$19:$A$2018,MATCH(Q75,$A$19:INDEX($A$19:$A$2018,$H$6),1))))))</f>
        <v/>
      </c>
    </row>
    <row r="76">
      <c r="A76" s="11" t="n"/>
      <c r="B76" s="11" t="n"/>
      <c r="C76" s="12">
        <f>IF(A76="","",$B$9*TAN(RADIANS(A76)))</f>
        <v/>
      </c>
      <c r="D76" s="12">
        <f>IF(C76="","",C76*(1+B76/100))</f>
        <v/>
      </c>
      <c r="E76" s="12">
        <f>IF(A76="","",$B$10*TAN(RADIANS(A76)))</f>
        <v/>
      </c>
      <c r="G76" s="8" t="n">
        <v>58</v>
      </c>
      <c r="H76" s="8">
        <f>$K$5</f>
        <v/>
      </c>
      <c r="I76" s="7" t="inlineStr">
        <is>
          <t>橫</t>
        </is>
      </c>
      <c r="J76" s="8" t="n">
        <v>5</v>
      </c>
      <c r="K76" s="7" t="inlineStr">
        <is>
          <t>右上</t>
        </is>
      </c>
      <c r="L76" s="8">
        <f>$O$5-($M$5+$L$5)/2+(1)*$M$5/2</f>
        <v/>
      </c>
      <c r="M76" s="8">
        <f>$P$5-$M$5/2+$L$5/2+4*2*$L$5+(-1)*$L$5/2</f>
        <v/>
      </c>
      <c r="N76" s="8">
        <f>L76-$B$7/2</f>
        <v/>
      </c>
      <c r="O76" s="8">
        <f>M76-$B$8/2</f>
        <v/>
      </c>
      <c r="P76" s="8">
        <f>SQRT(N76^2+O76^2)</f>
        <v/>
      </c>
      <c r="Q76" s="8">
        <f>IF(OR($H$7&lt;&gt;"OK",P76=""),"",IF(P76&lt;=$D$19,$A$19,IF(P76&gt;=INDEX($D$19:$D$2018,$H$6),INDEX($A$19:$A$2018,$H$6),INDEX($A$19:$A$2018,MATCH(P76,$D$19:INDEX($D$19:$D$2018,$H$6),1))+(P76-INDEX($D$19:$D$2018,MATCH(P76,$D$19:INDEX($D$19:$D$2018,$H$6),1)))*(INDEX($A$19:$A$2018,MATCH(P76,$D$19:INDEX($D$19:$D$2018,$H$6),1)+1)-INDEX($A$19:$A$2018,MATCH(P76,$D$19:INDEX($D$19:$D$2018,$H$6),1)))/(INDEX($D$19:$D$2018,MATCH(P76,$D$19:INDEX($D$19:$D$2018,$H$6),1)+1)-INDEX($D$19:$D$2018,MATCH(P76,$D$19:INDEX($D$19:$D$2018,$H$6),1))))))</f>
        <v/>
      </c>
      <c r="R76" s="8">
        <f>IF(P76=0,0,-Y76*N76/P76)</f>
        <v/>
      </c>
      <c r="S76" s="8">
        <f>IF(P76=0,0,Y76*O76/P76)</f>
        <v/>
      </c>
      <c r="T76" s="8">
        <f>IF(Y76=0,$B$7/2,$B$7/2-Z76*R76/Y76)</f>
        <v/>
      </c>
      <c r="U76" s="8">
        <f>IF(Y76=0,$B$8/2,$B$8/2+Z76*S76/Y76)</f>
        <v/>
      </c>
      <c r="V76" s="8">
        <f>SQRT((T76-L76)^2+(U76-M76)^2)</f>
        <v/>
      </c>
      <c r="Y76">
        <f>$B$10*TAN(RADIANS(Q76))</f>
        <v/>
      </c>
      <c r="Z76">
        <f>IF(OR($H$7&lt;&gt;"OK",Q76=""),"",IF(Q76&lt;=$A$19,$D$19,IF(Q76&gt;=INDEX($A$19:$A$2018,$H$6),INDEX($D$19:$D$2018,$H$6),INDEX($D$19:$D$2018,MATCH(Q76,$A$19:INDEX($A$19:$A$2018,$H$6),1))+(Q76-INDEX($A$19:$A$2018,MATCH(Q76,$A$19:INDEX($A$19:$A$2018,$H$6),1)))*(INDEX($D$19:$D$2018,MATCH(Q76,$A$19:INDEX($A$19:$A$2018,$H$6),1)+1)-INDEX($D$19:$D$2018,MATCH(Q76,$A$19:INDEX($A$19:$A$2018,$H$6),1)))/(INDEX($A$19:$A$2018,MATCH(Q76,$A$19:INDEX($A$19:$A$2018,$H$6),1)+1)-INDEX($A$19:$A$2018,MATCH(Q76,$A$19:INDEX($A$19:$A$2018,$H$6),1))))))</f>
        <v/>
      </c>
    </row>
    <row r="77">
      <c r="A77" s="11" t="n"/>
      <c r="B77" s="11" t="n"/>
      <c r="C77" s="12">
        <f>IF(A77="","",$B$9*TAN(RADIANS(A77)))</f>
        <v/>
      </c>
      <c r="D77" s="12">
        <f>IF(C77="","",C77*(1+B77/100))</f>
        <v/>
      </c>
      <c r="E77" s="12">
        <f>IF(A77="","",$B$10*TAN(RADIANS(A77)))</f>
        <v/>
      </c>
      <c r="G77" s="8" t="n">
        <v>59</v>
      </c>
      <c r="H77" s="8">
        <f>$K$5</f>
        <v/>
      </c>
      <c r="I77" s="7" t="inlineStr">
        <is>
          <t>橫</t>
        </is>
      </c>
      <c r="J77" s="8" t="n">
        <v>5</v>
      </c>
      <c r="K77" s="7" t="inlineStr">
        <is>
          <t>右下</t>
        </is>
      </c>
      <c r="L77" s="8">
        <f>$O$5-($M$5+$L$5)/2+(1)*$M$5/2</f>
        <v/>
      </c>
      <c r="M77" s="8">
        <f>$P$5-$M$5/2+$L$5/2+4*2*$L$5+(1)*$L$5/2</f>
        <v/>
      </c>
      <c r="N77" s="8">
        <f>L77-$B$7/2</f>
        <v/>
      </c>
      <c r="O77" s="8">
        <f>M77-$B$8/2</f>
        <v/>
      </c>
      <c r="P77" s="8">
        <f>SQRT(N77^2+O77^2)</f>
        <v/>
      </c>
      <c r="Q77" s="8">
        <f>IF(OR($H$7&lt;&gt;"OK",P77=""),"",IF(P77&lt;=$D$19,$A$19,IF(P77&gt;=INDEX($D$19:$D$2018,$H$6),INDEX($A$19:$A$2018,$H$6),INDEX($A$19:$A$2018,MATCH(P77,$D$19:INDEX($D$19:$D$2018,$H$6),1))+(P77-INDEX($D$19:$D$2018,MATCH(P77,$D$19:INDEX($D$19:$D$2018,$H$6),1)))*(INDEX($A$19:$A$2018,MATCH(P77,$D$19:INDEX($D$19:$D$2018,$H$6),1)+1)-INDEX($A$19:$A$2018,MATCH(P77,$D$19:INDEX($D$19:$D$2018,$H$6),1)))/(INDEX($D$19:$D$2018,MATCH(P77,$D$19:INDEX($D$19:$D$2018,$H$6),1)+1)-INDEX($D$19:$D$2018,MATCH(P77,$D$19:INDEX($D$19:$D$2018,$H$6),1))))))</f>
        <v/>
      </c>
      <c r="R77" s="8">
        <f>IF(P77=0,0,-Y77*N77/P77)</f>
        <v/>
      </c>
      <c r="S77" s="8">
        <f>IF(P77=0,0,Y77*O77/P77)</f>
        <v/>
      </c>
      <c r="T77" s="8">
        <f>IF(Y77=0,$B$7/2,$B$7/2-Z77*R77/Y77)</f>
        <v/>
      </c>
      <c r="U77" s="8">
        <f>IF(Y77=0,$B$8/2,$B$8/2+Z77*S77/Y77)</f>
        <v/>
      </c>
      <c r="V77" s="8">
        <f>SQRT((T77-L77)^2+(U77-M77)^2)</f>
        <v/>
      </c>
      <c r="Y77">
        <f>$B$10*TAN(RADIANS(Q77))</f>
        <v/>
      </c>
      <c r="Z77">
        <f>IF(OR($H$7&lt;&gt;"OK",Q77=""),"",IF(Q77&lt;=$A$19,$D$19,IF(Q77&gt;=INDEX($A$19:$A$2018,$H$6),INDEX($D$19:$D$2018,$H$6),INDEX($D$19:$D$2018,MATCH(Q77,$A$19:INDEX($A$19:$A$2018,$H$6),1))+(Q77-INDEX($A$19:$A$2018,MATCH(Q77,$A$19:INDEX($A$19:$A$2018,$H$6),1)))*(INDEX($D$19:$D$2018,MATCH(Q77,$A$19:INDEX($A$19:$A$2018,$H$6),1)+1)-INDEX($D$19:$D$2018,MATCH(Q77,$A$19:INDEX($A$19:$A$2018,$H$6),1)))/(INDEX($A$19:$A$2018,MATCH(Q77,$A$19:INDEX($A$19:$A$2018,$H$6),1)+1)-INDEX($A$19:$A$2018,MATCH(Q77,$A$19:INDEX($A$19:$A$2018,$H$6),1))))))</f>
        <v/>
      </c>
    </row>
    <row r="78">
      <c r="A78" s="11" t="n"/>
      <c r="B78" s="11" t="n"/>
      <c r="C78" s="12">
        <f>IF(A78="","",$B$9*TAN(RADIANS(A78)))</f>
        <v/>
      </c>
      <c r="D78" s="12">
        <f>IF(C78="","",C78*(1+B78/100))</f>
        <v/>
      </c>
      <c r="E78" s="12">
        <f>IF(A78="","",$B$10*TAN(RADIANS(A78)))</f>
        <v/>
      </c>
      <c r="G78" s="8" t="n">
        <v>60</v>
      </c>
      <c r="H78" s="8">
        <f>$K$5</f>
        <v/>
      </c>
      <c r="I78" s="7" t="inlineStr">
        <is>
          <t>橫</t>
        </is>
      </c>
      <c r="J78" s="8" t="n">
        <v>5</v>
      </c>
      <c r="K78" s="7" t="inlineStr">
        <is>
          <t>左下</t>
        </is>
      </c>
      <c r="L78" s="8">
        <f>$O$5-($M$5+$L$5)/2+(-1)*$M$5/2</f>
        <v/>
      </c>
      <c r="M78" s="8">
        <f>$P$5-$M$5/2+$L$5/2+4*2*$L$5+(1)*$L$5/2</f>
        <v/>
      </c>
      <c r="N78" s="8">
        <f>L78-$B$7/2</f>
        <v/>
      </c>
      <c r="O78" s="8">
        <f>M78-$B$8/2</f>
        <v/>
      </c>
      <c r="P78" s="8">
        <f>SQRT(N78^2+O78^2)</f>
        <v/>
      </c>
      <c r="Q78" s="8">
        <f>IF(OR($H$7&lt;&gt;"OK",P78=""),"",IF(P78&lt;=$D$19,$A$19,IF(P78&gt;=INDEX($D$19:$D$2018,$H$6),INDEX($A$19:$A$2018,$H$6),INDEX($A$19:$A$2018,MATCH(P78,$D$19:INDEX($D$19:$D$2018,$H$6),1))+(P78-INDEX($D$19:$D$2018,MATCH(P78,$D$19:INDEX($D$19:$D$2018,$H$6),1)))*(INDEX($A$19:$A$2018,MATCH(P78,$D$19:INDEX($D$19:$D$2018,$H$6),1)+1)-INDEX($A$19:$A$2018,MATCH(P78,$D$19:INDEX($D$19:$D$2018,$H$6),1)))/(INDEX($D$19:$D$2018,MATCH(P78,$D$19:INDEX($D$19:$D$2018,$H$6),1)+1)-INDEX($D$19:$D$2018,MATCH(P78,$D$19:INDEX($D$19:$D$2018,$H$6),1))))))</f>
        <v/>
      </c>
      <c r="R78" s="8">
        <f>IF(P78=0,0,-Y78*N78/P78)</f>
        <v/>
      </c>
      <c r="S78" s="8">
        <f>IF(P78=0,0,Y78*O78/P78)</f>
        <v/>
      </c>
      <c r="T78" s="8">
        <f>IF(Y78=0,$B$7/2,$B$7/2-Z78*R78/Y78)</f>
        <v/>
      </c>
      <c r="U78" s="8">
        <f>IF(Y78=0,$B$8/2,$B$8/2+Z78*S78/Y78)</f>
        <v/>
      </c>
      <c r="V78" s="8">
        <f>SQRT((T78-L78)^2+(U78-M78)^2)</f>
        <v/>
      </c>
      <c r="Y78">
        <f>$B$10*TAN(RADIANS(Q78))</f>
        <v/>
      </c>
      <c r="Z78">
        <f>IF(OR($H$7&lt;&gt;"OK",Q78=""),"",IF(Q78&lt;=$A$19,$D$19,IF(Q78&gt;=INDEX($A$19:$A$2018,$H$6),INDEX($D$19:$D$2018,$H$6),INDEX($D$19:$D$2018,MATCH(Q78,$A$19:INDEX($A$19:$A$2018,$H$6),1))+(Q78-INDEX($A$19:$A$2018,MATCH(Q78,$A$19:INDEX($A$19:$A$2018,$H$6),1)))*(INDEX($D$19:$D$2018,MATCH(Q78,$A$19:INDEX($A$19:$A$2018,$H$6),1)+1)-INDEX($D$19:$D$2018,MATCH(Q78,$A$19:INDEX($A$19:$A$2018,$H$6),1)))/(INDEX($A$19:$A$2018,MATCH(Q78,$A$19:INDEX($A$19:$A$2018,$H$6),1)+1)-INDEX($A$19:$A$2018,MATCH(Q78,$A$19:INDEX($A$19:$A$2018,$H$6),1))))))</f>
        <v/>
      </c>
    </row>
    <row r="79">
      <c r="A79" s="11" t="n"/>
      <c r="B79" s="11" t="n"/>
      <c r="C79" s="12">
        <f>IF(A79="","",$B$9*TAN(RADIANS(A79)))</f>
        <v/>
      </c>
      <c r="D79" s="12">
        <f>IF(C79="","",C79*(1+B79/100))</f>
        <v/>
      </c>
      <c r="E79" s="12">
        <f>IF(A79="","",$B$10*TAN(RADIANS(A79)))</f>
        <v/>
      </c>
      <c r="G79" s="8" t="n">
        <v>61</v>
      </c>
      <c r="H79" s="8">
        <f>$K$5</f>
        <v/>
      </c>
      <c r="I79" s="7" t="inlineStr">
        <is>
          <t>豎</t>
        </is>
      </c>
      <c r="J79" s="8" t="n">
        <v>1</v>
      </c>
      <c r="K79" s="7" t="inlineStr">
        <is>
          <t>左上</t>
        </is>
      </c>
      <c r="L79" s="8">
        <f>$O$5+($M$5+$L$5)/2-$M$5/2+$L$5/2+0*2*$L$5+(-1)*$L$5/2</f>
        <v/>
      </c>
      <c r="M79" s="8">
        <f>$P$5+(-1)*$M$5/2</f>
        <v/>
      </c>
      <c r="N79" s="8">
        <f>L79-$B$7/2</f>
        <v/>
      </c>
      <c r="O79" s="8">
        <f>M79-$B$8/2</f>
        <v/>
      </c>
      <c r="P79" s="8">
        <f>SQRT(N79^2+O79^2)</f>
        <v/>
      </c>
      <c r="Q79" s="8">
        <f>IF(OR($H$7&lt;&gt;"OK",P79=""),"",IF(P79&lt;=$D$19,$A$19,IF(P79&gt;=INDEX($D$19:$D$2018,$H$6),INDEX($A$19:$A$2018,$H$6),INDEX($A$19:$A$2018,MATCH(P79,$D$19:INDEX($D$19:$D$2018,$H$6),1))+(P79-INDEX($D$19:$D$2018,MATCH(P79,$D$19:INDEX($D$19:$D$2018,$H$6),1)))*(INDEX($A$19:$A$2018,MATCH(P79,$D$19:INDEX($D$19:$D$2018,$H$6),1)+1)-INDEX($A$19:$A$2018,MATCH(P79,$D$19:INDEX($D$19:$D$2018,$H$6),1)))/(INDEX($D$19:$D$2018,MATCH(P79,$D$19:INDEX($D$19:$D$2018,$H$6),1)+1)-INDEX($D$19:$D$2018,MATCH(P79,$D$19:INDEX($D$19:$D$2018,$H$6),1))))))</f>
        <v/>
      </c>
      <c r="R79" s="8">
        <f>IF(P79=0,0,-Y79*N79/P79)</f>
        <v/>
      </c>
      <c r="S79" s="8">
        <f>IF(P79=0,0,Y79*O79/P79)</f>
        <v/>
      </c>
      <c r="T79" s="8">
        <f>IF(Y79=0,$B$7/2,$B$7/2-Z79*R79/Y79)</f>
        <v/>
      </c>
      <c r="U79" s="8">
        <f>IF(Y79=0,$B$8/2,$B$8/2+Z79*S79/Y79)</f>
        <v/>
      </c>
      <c r="V79" s="8">
        <f>SQRT((T79-L79)^2+(U79-M79)^2)</f>
        <v/>
      </c>
      <c r="Y79">
        <f>$B$10*TAN(RADIANS(Q79))</f>
        <v/>
      </c>
      <c r="Z79">
        <f>IF(OR($H$7&lt;&gt;"OK",Q79=""),"",IF(Q79&lt;=$A$19,$D$19,IF(Q79&gt;=INDEX($A$19:$A$2018,$H$6),INDEX($D$19:$D$2018,$H$6),INDEX($D$19:$D$2018,MATCH(Q79,$A$19:INDEX($A$19:$A$2018,$H$6),1))+(Q79-INDEX($A$19:$A$2018,MATCH(Q79,$A$19:INDEX($A$19:$A$2018,$H$6),1)))*(INDEX($D$19:$D$2018,MATCH(Q79,$A$19:INDEX($A$19:$A$2018,$H$6),1)+1)-INDEX($D$19:$D$2018,MATCH(Q79,$A$19:INDEX($A$19:$A$2018,$H$6),1)))/(INDEX($A$19:$A$2018,MATCH(Q79,$A$19:INDEX($A$19:$A$2018,$H$6),1)+1)-INDEX($A$19:$A$2018,MATCH(Q79,$A$19:INDEX($A$19:$A$2018,$H$6),1))))))</f>
        <v/>
      </c>
    </row>
    <row r="80">
      <c r="A80" s="11" t="n"/>
      <c r="B80" s="11" t="n"/>
      <c r="C80" s="12">
        <f>IF(A80="","",$B$9*TAN(RADIANS(A80)))</f>
        <v/>
      </c>
      <c r="D80" s="12">
        <f>IF(C80="","",C80*(1+B80/100))</f>
        <v/>
      </c>
      <c r="E80" s="12">
        <f>IF(A80="","",$B$10*TAN(RADIANS(A80)))</f>
        <v/>
      </c>
      <c r="G80" s="8" t="n">
        <v>62</v>
      </c>
      <c r="H80" s="8">
        <f>$K$5</f>
        <v/>
      </c>
      <c r="I80" s="7" t="inlineStr">
        <is>
          <t>豎</t>
        </is>
      </c>
      <c r="J80" s="8" t="n">
        <v>1</v>
      </c>
      <c r="K80" s="7" t="inlineStr">
        <is>
          <t>右上</t>
        </is>
      </c>
      <c r="L80" s="8">
        <f>$O$5+($M$5+$L$5)/2-$M$5/2+$L$5/2+0*2*$L$5+(1)*$L$5/2</f>
        <v/>
      </c>
      <c r="M80" s="8">
        <f>$P$5+(-1)*$M$5/2</f>
        <v/>
      </c>
      <c r="N80" s="8">
        <f>L80-$B$7/2</f>
        <v/>
      </c>
      <c r="O80" s="8">
        <f>M80-$B$8/2</f>
        <v/>
      </c>
      <c r="P80" s="8">
        <f>SQRT(N80^2+O80^2)</f>
        <v/>
      </c>
      <c r="Q80" s="8">
        <f>IF(OR($H$7&lt;&gt;"OK",P80=""),"",IF(P80&lt;=$D$19,$A$19,IF(P80&gt;=INDEX($D$19:$D$2018,$H$6),INDEX($A$19:$A$2018,$H$6),INDEX($A$19:$A$2018,MATCH(P80,$D$19:INDEX($D$19:$D$2018,$H$6),1))+(P80-INDEX($D$19:$D$2018,MATCH(P80,$D$19:INDEX($D$19:$D$2018,$H$6),1)))*(INDEX($A$19:$A$2018,MATCH(P80,$D$19:INDEX($D$19:$D$2018,$H$6),1)+1)-INDEX($A$19:$A$2018,MATCH(P80,$D$19:INDEX($D$19:$D$2018,$H$6),1)))/(INDEX($D$19:$D$2018,MATCH(P80,$D$19:INDEX($D$19:$D$2018,$H$6),1)+1)-INDEX($D$19:$D$2018,MATCH(P80,$D$19:INDEX($D$19:$D$2018,$H$6),1))))))</f>
        <v/>
      </c>
      <c r="R80" s="8">
        <f>IF(P80=0,0,-Y80*N80/P80)</f>
        <v/>
      </c>
      <c r="S80" s="8">
        <f>IF(P80=0,0,Y80*O80/P80)</f>
        <v/>
      </c>
      <c r="T80" s="8">
        <f>IF(Y80=0,$B$7/2,$B$7/2-Z80*R80/Y80)</f>
        <v/>
      </c>
      <c r="U80" s="8">
        <f>IF(Y80=0,$B$8/2,$B$8/2+Z80*S80/Y80)</f>
        <v/>
      </c>
      <c r="V80" s="8">
        <f>SQRT((T80-L80)^2+(U80-M80)^2)</f>
        <v/>
      </c>
      <c r="Y80">
        <f>$B$10*TAN(RADIANS(Q80))</f>
        <v/>
      </c>
      <c r="Z80">
        <f>IF(OR($H$7&lt;&gt;"OK",Q80=""),"",IF(Q80&lt;=$A$19,$D$19,IF(Q80&gt;=INDEX($A$19:$A$2018,$H$6),INDEX($D$19:$D$2018,$H$6),INDEX($D$19:$D$2018,MATCH(Q80,$A$19:INDEX($A$19:$A$2018,$H$6),1))+(Q80-INDEX($A$19:$A$2018,MATCH(Q80,$A$19:INDEX($A$19:$A$2018,$H$6),1)))*(INDEX($D$19:$D$2018,MATCH(Q80,$A$19:INDEX($A$19:$A$2018,$H$6),1)+1)-INDEX($D$19:$D$2018,MATCH(Q80,$A$19:INDEX($A$19:$A$2018,$H$6),1)))/(INDEX($A$19:$A$2018,MATCH(Q80,$A$19:INDEX($A$19:$A$2018,$H$6),1)+1)-INDEX($A$19:$A$2018,MATCH(Q80,$A$19:INDEX($A$19:$A$2018,$H$6),1))))))</f>
        <v/>
      </c>
    </row>
    <row r="81">
      <c r="A81" s="11" t="n"/>
      <c r="B81" s="11" t="n"/>
      <c r="C81" s="12">
        <f>IF(A81="","",$B$9*TAN(RADIANS(A81)))</f>
        <v/>
      </c>
      <c r="D81" s="12">
        <f>IF(C81="","",C81*(1+B81/100))</f>
        <v/>
      </c>
      <c r="E81" s="12">
        <f>IF(A81="","",$B$10*TAN(RADIANS(A81)))</f>
        <v/>
      </c>
      <c r="G81" s="8" t="n">
        <v>63</v>
      </c>
      <c r="H81" s="8">
        <f>$K$5</f>
        <v/>
      </c>
      <c r="I81" s="7" t="inlineStr">
        <is>
          <t>豎</t>
        </is>
      </c>
      <c r="J81" s="8" t="n">
        <v>1</v>
      </c>
      <c r="K81" s="7" t="inlineStr">
        <is>
          <t>右下</t>
        </is>
      </c>
      <c r="L81" s="8">
        <f>$O$5+($M$5+$L$5)/2-$M$5/2+$L$5/2+0*2*$L$5+(1)*$L$5/2</f>
        <v/>
      </c>
      <c r="M81" s="8">
        <f>$P$5+(1)*$M$5/2</f>
        <v/>
      </c>
      <c r="N81" s="8">
        <f>L81-$B$7/2</f>
        <v/>
      </c>
      <c r="O81" s="8">
        <f>M81-$B$8/2</f>
        <v/>
      </c>
      <c r="P81" s="8">
        <f>SQRT(N81^2+O81^2)</f>
        <v/>
      </c>
      <c r="Q81" s="8">
        <f>IF(OR($H$7&lt;&gt;"OK",P81=""),"",IF(P81&lt;=$D$19,$A$19,IF(P81&gt;=INDEX($D$19:$D$2018,$H$6),INDEX($A$19:$A$2018,$H$6),INDEX($A$19:$A$2018,MATCH(P81,$D$19:INDEX($D$19:$D$2018,$H$6),1))+(P81-INDEX($D$19:$D$2018,MATCH(P81,$D$19:INDEX($D$19:$D$2018,$H$6),1)))*(INDEX($A$19:$A$2018,MATCH(P81,$D$19:INDEX($D$19:$D$2018,$H$6),1)+1)-INDEX($A$19:$A$2018,MATCH(P81,$D$19:INDEX($D$19:$D$2018,$H$6),1)))/(INDEX($D$19:$D$2018,MATCH(P81,$D$19:INDEX($D$19:$D$2018,$H$6),1)+1)-INDEX($D$19:$D$2018,MATCH(P81,$D$19:INDEX($D$19:$D$2018,$H$6),1))))))</f>
        <v/>
      </c>
      <c r="R81" s="8">
        <f>IF(P81=0,0,-Y81*N81/P81)</f>
        <v/>
      </c>
      <c r="S81" s="8">
        <f>IF(P81=0,0,Y81*O81/P81)</f>
        <v/>
      </c>
      <c r="T81" s="8">
        <f>IF(Y81=0,$B$7/2,$B$7/2-Z81*R81/Y81)</f>
        <v/>
      </c>
      <c r="U81" s="8">
        <f>IF(Y81=0,$B$8/2,$B$8/2+Z81*S81/Y81)</f>
        <v/>
      </c>
      <c r="V81" s="8">
        <f>SQRT((T81-L81)^2+(U81-M81)^2)</f>
        <v/>
      </c>
      <c r="Y81">
        <f>$B$10*TAN(RADIANS(Q81))</f>
        <v/>
      </c>
      <c r="Z81">
        <f>IF(OR($H$7&lt;&gt;"OK",Q81=""),"",IF(Q81&lt;=$A$19,$D$19,IF(Q81&gt;=INDEX($A$19:$A$2018,$H$6),INDEX($D$19:$D$2018,$H$6),INDEX($D$19:$D$2018,MATCH(Q81,$A$19:INDEX($A$19:$A$2018,$H$6),1))+(Q81-INDEX($A$19:$A$2018,MATCH(Q81,$A$19:INDEX($A$19:$A$2018,$H$6),1)))*(INDEX($D$19:$D$2018,MATCH(Q81,$A$19:INDEX($A$19:$A$2018,$H$6),1)+1)-INDEX($D$19:$D$2018,MATCH(Q81,$A$19:INDEX($A$19:$A$2018,$H$6),1)))/(INDEX($A$19:$A$2018,MATCH(Q81,$A$19:INDEX($A$19:$A$2018,$H$6),1)+1)-INDEX($A$19:$A$2018,MATCH(Q81,$A$19:INDEX($A$19:$A$2018,$H$6),1))))))</f>
        <v/>
      </c>
    </row>
    <row r="82">
      <c r="A82" s="11" t="n"/>
      <c r="B82" s="11" t="n"/>
      <c r="C82" s="12">
        <f>IF(A82="","",$B$9*TAN(RADIANS(A82)))</f>
        <v/>
      </c>
      <c r="D82" s="12">
        <f>IF(C82="","",C82*(1+B82/100))</f>
        <v/>
      </c>
      <c r="E82" s="12">
        <f>IF(A82="","",$B$10*TAN(RADIANS(A82)))</f>
        <v/>
      </c>
      <c r="G82" s="8" t="n">
        <v>64</v>
      </c>
      <c r="H82" s="8">
        <f>$K$5</f>
        <v/>
      </c>
      <c r="I82" s="7" t="inlineStr">
        <is>
          <t>豎</t>
        </is>
      </c>
      <c r="J82" s="8" t="n">
        <v>1</v>
      </c>
      <c r="K82" s="7" t="inlineStr">
        <is>
          <t>左下</t>
        </is>
      </c>
      <c r="L82" s="8">
        <f>$O$5+($M$5+$L$5)/2-$M$5/2+$L$5/2+0*2*$L$5+(-1)*$L$5/2</f>
        <v/>
      </c>
      <c r="M82" s="8">
        <f>$P$5+(1)*$M$5/2</f>
        <v/>
      </c>
      <c r="N82" s="8">
        <f>L82-$B$7/2</f>
        <v/>
      </c>
      <c r="O82" s="8">
        <f>M82-$B$8/2</f>
        <v/>
      </c>
      <c r="P82" s="8">
        <f>SQRT(N82^2+O82^2)</f>
        <v/>
      </c>
      <c r="Q82" s="8">
        <f>IF(OR($H$7&lt;&gt;"OK",P82=""),"",IF(P82&lt;=$D$19,$A$19,IF(P82&gt;=INDEX($D$19:$D$2018,$H$6),INDEX($A$19:$A$2018,$H$6),INDEX($A$19:$A$2018,MATCH(P82,$D$19:INDEX($D$19:$D$2018,$H$6),1))+(P82-INDEX($D$19:$D$2018,MATCH(P82,$D$19:INDEX($D$19:$D$2018,$H$6),1)))*(INDEX($A$19:$A$2018,MATCH(P82,$D$19:INDEX($D$19:$D$2018,$H$6),1)+1)-INDEX($A$19:$A$2018,MATCH(P82,$D$19:INDEX($D$19:$D$2018,$H$6),1)))/(INDEX($D$19:$D$2018,MATCH(P82,$D$19:INDEX($D$19:$D$2018,$H$6),1)+1)-INDEX($D$19:$D$2018,MATCH(P82,$D$19:INDEX($D$19:$D$2018,$H$6),1))))))</f>
        <v/>
      </c>
      <c r="R82" s="8">
        <f>IF(P82=0,0,-Y82*N82/P82)</f>
        <v/>
      </c>
      <c r="S82" s="8">
        <f>IF(P82=0,0,Y82*O82/P82)</f>
        <v/>
      </c>
      <c r="T82" s="8">
        <f>IF(Y82=0,$B$7/2,$B$7/2-Z82*R82/Y82)</f>
        <v/>
      </c>
      <c r="U82" s="8">
        <f>IF(Y82=0,$B$8/2,$B$8/2+Z82*S82/Y82)</f>
        <v/>
      </c>
      <c r="V82" s="8">
        <f>SQRT((T82-L82)^2+(U82-M82)^2)</f>
        <v/>
      </c>
      <c r="Y82">
        <f>$B$10*TAN(RADIANS(Q82))</f>
        <v/>
      </c>
      <c r="Z82">
        <f>IF(OR($H$7&lt;&gt;"OK",Q82=""),"",IF(Q82&lt;=$A$19,$D$19,IF(Q82&gt;=INDEX($A$19:$A$2018,$H$6),INDEX($D$19:$D$2018,$H$6),INDEX($D$19:$D$2018,MATCH(Q82,$A$19:INDEX($A$19:$A$2018,$H$6),1))+(Q82-INDEX($A$19:$A$2018,MATCH(Q82,$A$19:INDEX($A$19:$A$2018,$H$6),1)))*(INDEX($D$19:$D$2018,MATCH(Q82,$A$19:INDEX($A$19:$A$2018,$H$6),1)+1)-INDEX($D$19:$D$2018,MATCH(Q82,$A$19:INDEX($A$19:$A$2018,$H$6),1)))/(INDEX($A$19:$A$2018,MATCH(Q82,$A$19:INDEX($A$19:$A$2018,$H$6),1)+1)-INDEX($A$19:$A$2018,MATCH(Q82,$A$19:INDEX($A$19:$A$2018,$H$6),1))))))</f>
        <v/>
      </c>
    </row>
    <row r="83">
      <c r="A83" s="11" t="n"/>
      <c r="B83" s="11" t="n"/>
      <c r="C83" s="12">
        <f>IF(A83="","",$B$9*TAN(RADIANS(A83)))</f>
        <v/>
      </c>
      <c r="D83" s="12">
        <f>IF(C83="","",C83*(1+B83/100))</f>
        <v/>
      </c>
      <c r="E83" s="12">
        <f>IF(A83="","",$B$10*TAN(RADIANS(A83)))</f>
        <v/>
      </c>
      <c r="G83" s="8" t="n">
        <v>65</v>
      </c>
      <c r="H83" s="8">
        <f>$K$5</f>
        <v/>
      </c>
      <c r="I83" s="7" t="inlineStr">
        <is>
          <t>豎</t>
        </is>
      </c>
      <c r="J83" s="8" t="n">
        <v>2</v>
      </c>
      <c r="K83" s="7" t="inlineStr">
        <is>
          <t>左上</t>
        </is>
      </c>
      <c r="L83" s="8">
        <f>$O$5+($M$5+$L$5)/2-$M$5/2+$L$5/2+1*2*$L$5+(-1)*$L$5/2</f>
        <v/>
      </c>
      <c r="M83" s="8">
        <f>$P$5+(-1)*$M$5/2</f>
        <v/>
      </c>
      <c r="N83" s="8">
        <f>L83-$B$7/2</f>
        <v/>
      </c>
      <c r="O83" s="8">
        <f>M83-$B$8/2</f>
        <v/>
      </c>
      <c r="P83" s="8">
        <f>SQRT(N83^2+O83^2)</f>
        <v/>
      </c>
      <c r="Q83" s="8">
        <f>IF(OR($H$7&lt;&gt;"OK",P83=""),"",IF(P83&lt;=$D$19,$A$19,IF(P83&gt;=INDEX($D$19:$D$2018,$H$6),INDEX($A$19:$A$2018,$H$6),INDEX($A$19:$A$2018,MATCH(P83,$D$19:INDEX($D$19:$D$2018,$H$6),1))+(P83-INDEX($D$19:$D$2018,MATCH(P83,$D$19:INDEX($D$19:$D$2018,$H$6),1)))*(INDEX($A$19:$A$2018,MATCH(P83,$D$19:INDEX($D$19:$D$2018,$H$6),1)+1)-INDEX($A$19:$A$2018,MATCH(P83,$D$19:INDEX($D$19:$D$2018,$H$6),1)))/(INDEX($D$19:$D$2018,MATCH(P83,$D$19:INDEX($D$19:$D$2018,$H$6),1)+1)-INDEX($D$19:$D$2018,MATCH(P83,$D$19:INDEX($D$19:$D$2018,$H$6),1))))))</f>
        <v/>
      </c>
      <c r="R83" s="8">
        <f>IF(P83=0,0,-Y83*N83/P83)</f>
        <v/>
      </c>
      <c r="S83" s="8">
        <f>IF(P83=0,0,Y83*O83/P83)</f>
        <v/>
      </c>
      <c r="T83" s="8">
        <f>IF(Y83=0,$B$7/2,$B$7/2-Z83*R83/Y83)</f>
        <v/>
      </c>
      <c r="U83" s="8">
        <f>IF(Y83=0,$B$8/2,$B$8/2+Z83*S83/Y83)</f>
        <v/>
      </c>
      <c r="V83" s="8">
        <f>SQRT((T83-L83)^2+(U83-M83)^2)</f>
        <v/>
      </c>
      <c r="Y83">
        <f>$B$10*TAN(RADIANS(Q83))</f>
        <v/>
      </c>
      <c r="Z83">
        <f>IF(OR($H$7&lt;&gt;"OK",Q83=""),"",IF(Q83&lt;=$A$19,$D$19,IF(Q83&gt;=INDEX($A$19:$A$2018,$H$6),INDEX($D$19:$D$2018,$H$6),INDEX($D$19:$D$2018,MATCH(Q83,$A$19:INDEX($A$19:$A$2018,$H$6),1))+(Q83-INDEX($A$19:$A$2018,MATCH(Q83,$A$19:INDEX($A$19:$A$2018,$H$6),1)))*(INDEX($D$19:$D$2018,MATCH(Q83,$A$19:INDEX($A$19:$A$2018,$H$6),1)+1)-INDEX($D$19:$D$2018,MATCH(Q83,$A$19:INDEX($A$19:$A$2018,$H$6),1)))/(INDEX($A$19:$A$2018,MATCH(Q83,$A$19:INDEX($A$19:$A$2018,$H$6),1)+1)-INDEX($A$19:$A$2018,MATCH(Q83,$A$19:INDEX($A$19:$A$2018,$H$6),1))))))</f>
        <v/>
      </c>
    </row>
    <row r="84">
      <c r="A84" s="11" t="n"/>
      <c r="B84" s="11" t="n"/>
      <c r="C84" s="12">
        <f>IF(A84="","",$B$9*TAN(RADIANS(A84)))</f>
        <v/>
      </c>
      <c r="D84" s="12">
        <f>IF(C84="","",C84*(1+B84/100))</f>
        <v/>
      </c>
      <c r="E84" s="12">
        <f>IF(A84="","",$B$10*TAN(RADIANS(A84)))</f>
        <v/>
      </c>
      <c r="G84" s="8" t="n">
        <v>66</v>
      </c>
      <c r="H84" s="8">
        <f>$K$5</f>
        <v/>
      </c>
      <c r="I84" s="7" t="inlineStr">
        <is>
          <t>豎</t>
        </is>
      </c>
      <c r="J84" s="8" t="n">
        <v>2</v>
      </c>
      <c r="K84" s="7" t="inlineStr">
        <is>
          <t>右上</t>
        </is>
      </c>
      <c r="L84" s="8">
        <f>$O$5+($M$5+$L$5)/2-$M$5/2+$L$5/2+1*2*$L$5+(1)*$L$5/2</f>
        <v/>
      </c>
      <c r="M84" s="8">
        <f>$P$5+(-1)*$M$5/2</f>
        <v/>
      </c>
      <c r="N84" s="8">
        <f>L84-$B$7/2</f>
        <v/>
      </c>
      <c r="O84" s="8">
        <f>M84-$B$8/2</f>
        <v/>
      </c>
      <c r="P84" s="8">
        <f>SQRT(N84^2+O84^2)</f>
        <v/>
      </c>
      <c r="Q84" s="8">
        <f>IF(OR($H$7&lt;&gt;"OK",P84=""),"",IF(P84&lt;=$D$19,$A$19,IF(P84&gt;=INDEX($D$19:$D$2018,$H$6),INDEX($A$19:$A$2018,$H$6),INDEX($A$19:$A$2018,MATCH(P84,$D$19:INDEX($D$19:$D$2018,$H$6),1))+(P84-INDEX($D$19:$D$2018,MATCH(P84,$D$19:INDEX($D$19:$D$2018,$H$6),1)))*(INDEX($A$19:$A$2018,MATCH(P84,$D$19:INDEX($D$19:$D$2018,$H$6),1)+1)-INDEX($A$19:$A$2018,MATCH(P84,$D$19:INDEX($D$19:$D$2018,$H$6),1)))/(INDEX($D$19:$D$2018,MATCH(P84,$D$19:INDEX($D$19:$D$2018,$H$6),1)+1)-INDEX($D$19:$D$2018,MATCH(P84,$D$19:INDEX($D$19:$D$2018,$H$6),1))))))</f>
        <v/>
      </c>
      <c r="R84" s="8">
        <f>IF(P84=0,0,-Y84*N84/P84)</f>
        <v/>
      </c>
      <c r="S84" s="8">
        <f>IF(P84=0,0,Y84*O84/P84)</f>
        <v/>
      </c>
      <c r="T84" s="8">
        <f>IF(Y84=0,$B$7/2,$B$7/2-Z84*R84/Y84)</f>
        <v/>
      </c>
      <c r="U84" s="8">
        <f>IF(Y84=0,$B$8/2,$B$8/2+Z84*S84/Y84)</f>
        <v/>
      </c>
      <c r="V84" s="8">
        <f>SQRT((T84-L84)^2+(U84-M84)^2)</f>
        <v/>
      </c>
      <c r="Y84">
        <f>$B$10*TAN(RADIANS(Q84))</f>
        <v/>
      </c>
      <c r="Z84">
        <f>IF(OR($H$7&lt;&gt;"OK",Q84=""),"",IF(Q84&lt;=$A$19,$D$19,IF(Q84&gt;=INDEX($A$19:$A$2018,$H$6),INDEX($D$19:$D$2018,$H$6),INDEX($D$19:$D$2018,MATCH(Q84,$A$19:INDEX($A$19:$A$2018,$H$6),1))+(Q84-INDEX($A$19:$A$2018,MATCH(Q84,$A$19:INDEX($A$19:$A$2018,$H$6),1)))*(INDEX($D$19:$D$2018,MATCH(Q84,$A$19:INDEX($A$19:$A$2018,$H$6),1)+1)-INDEX($D$19:$D$2018,MATCH(Q84,$A$19:INDEX($A$19:$A$2018,$H$6),1)))/(INDEX($A$19:$A$2018,MATCH(Q84,$A$19:INDEX($A$19:$A$2018,$H$6),1)+1)-INDEX($A$19:$A$2018,MATCH(Q84,$A$19:INDEX($A$19:$A$2018,$H$6),1))))))</f>
        <v/>
      </c>
    </row>
    <row r="85">
      <c r="A85" s="11" t="n"/>
      <c r="B85" s="11" t="n"/>
      <c r="C85" s="12">
        <f>IF(A85="","",$B$9*TAN(RADIANS(A85)))</f>
        <v/>
      </c>
      <c r="D85" s="12">
        <f>IF(C85="","",C85*(1+B85/100))</f>
        <v/>
      </c>
      <c r="E85" s="12">
        <f>IF(A85="","",$B$10*TAN(RADIANS(A85)))</f>
        <v/>
      </c>
      <c r="G85" s="8" t="n">
        <v>67</v>
      </c>
      <c r="H85" s="8">
        <f>$K$5</f>
        <v/>
      </c>
      <c r="I85" s="7" t="inlineStr">
        <is>
          <t>豎</t>
        </is>
      </c>
      <c r="J85" s="8" t="n">
        <v>2</v>
      </c>
      <c r="K85" s="7" t="inlineStr">
        <is>
          <t>右下</t>
        </is>
      </c>
      <c r="L85" s="8">
        <f>$O$5+($M$5+$L$5)/2-$M$5/2+$L$5/2+1*2*$L$5+(1)*$L$5/2</f>
        <v/>
      </c>
      <c r="M85" s="8">
        <f>$P$5+(1)*$M$5/2</f>
        <v/>
      </c>
      <c r="N85" s="8">
        <f>L85-$B$7/2</f>
        <v/>
      </c>
      <c r="O85" s="8">
        <f>M85-$B$8/2</f>
        <v/>
      </c>
      <c r="P85" s="8">
        <f>SQRT(N85^2+O85^2)</f>
        <v/>
      </c>
      <c r="Q85" s="8">
        <f>IF(OR($H$7&lt;&gt;"OK",P85=""),"",IF(P85&lt;=$D$19,$A$19,IF(P85&gt;=INDEX($D$19:$D$2018,$H$6),INDEX($A$19:$A$2018,$H$6),INDEX($A$19:$A$2018,MATCH(P85,$D$19:INDEX($D$19:$D$2018,$H$6),1))+(P85-INDEX($D$19:$D$2018,MATCH(P85,$D$19:INDEX($D$19:$D$2018,$H$6),1)))*(INDEX($A$19:$A$2018,MATCH(P85,$D$19:INDEX($D$19:$D$2018,$H$6),1)+1)-INDEX($A$19:$A$2018,MATCH(P85,$D$19:INDEX($D$19:$D$2018,$H$6),1)))/(INDEX($D$19:$D$2018,MATCH(P85,$D$19:INDEX($D$19:$D$2018,$H$6),1)+1)-INDEX($D$19:$D$2018,MATCH(P85,$D$19:INDEX($D$19:$D$2018,$H$6),1))))))</f>
        <v/>
      </c>
      <c r="R85" s="8">
        <f>IF(P85=0,0,-Y85*N85/P85)</f>
        <v/>
      </c>
      <c r="S85" s="8">
        <f>IF(P85=0,0,Y85*O85/P85)</f>
        <v/>
      </c>
      <c r="T85" s="8">
        <f>IF(Y85=0,$B$7/2,$B$7/2-Z85*R85/Y85)</f>
        <v/>
      </c>
      <c r="U85" s="8">
        <f>IF(Y85=0,$B$8/2,$B$8/2+Z85*S85/Y85)</f>
        <v/>
      </c>
      <c r="V85" s="8">
        <f>SQRT((T85-L85)^2+(U85-M85)^2)</f>
        <v/>
      </c>
      <c r="Y85">
        <f>$B$10*TAN(RADIANS(Q85))</f>
        <v/>
      </c>
      <c r="Z85">
        <f>IF(OR($H$7&lt;&gt;"OK",Q85=""),"",IF(Q85&lt;=$A$19,$D$19,IF(Q85&gt;=INDEX($A$19:$A$2018,$H$6),INDEX($D$19:$D$2018,$H$6),INDEX($D$19:$D$2018,MATCH(Q85,$A$19:INDEX($A$19:$A$2018,$H$6),1))+(Q85-INDEX($A$19:$A$2018,MATCH(Q85,$A$19:INDEX($A$19:$A$2018,$H$6),1)))*(INDEX($D$19:$D$2018,MATCH(Q85,$A$19:INDEX($A$19:$A$2018,$H$6),1)+1)-INDEX($D$19:$D$2018,MATCH(Q85,$A$19:INDEX($A$19:$A$2018,$H$6),1)))/(INDEX($A$19:$A$2018,MATCH(Q85,$A$19:INDEX($A$19:$A$2018,$H$6),1)+1)-INDEX($A$19:$A$2018,MATCH(Q85,$A$19:INDEX($A$19:$A$2018,$H$6),1))))))</f>
        <v/>
      </c>
    </row>
    <row r="86">
      <c r="A86" s="11" t="n"/>
      <c r="B86" s="11" t="n"/>
      <c r="C86" s="12">
        <f>IF(A86="","",$B$9*TAN(RADIANS(A86)))</f>
        <v/>
      </c>
      <c r="D86" s="12">
        <f>IF(C86="","",C86*(1+B86/100))</f>
        <v/>
      </c>
      <c r="E86" s="12">
        <f>IF(A86="","",$B$10*TAN(RADIANS(A86)))</f>
        <v/>
      </c>
      <c r="G86" s="8" t="n">
        <v>68</v>
      </c>
      <c r="H86" s="8">
        <f>$K$5</f>
        <v/>
      </c>
      <c r="I86" s="7" t="inlineStr">
        <is>
          <t>豎</t>
        </is>
      </c>
      <c r="J86" s="8" t="n">
        <v>2</v>
      </c>
      <c r="K86" s="7" t="inlineStr">
        <is>
          <t>左下</t>
        </is>
      </c>
      <c r="L86" s="8">
        <f>$O$5+($M$5+$L$5)/2-$M$5/2+$L$5/2+1*2*$L$5+(-1)*$L$5/2</f>
        <v/>
      </c>
      <c r="M86" s="8">
        <f>$P$5+(1)*$M$5/2</f>
        <v/>
      </c>
      <c r="N86" s="8">
        <f>L86-$B$7/2</f>
        <v/>
      </c>
      <c r="O86" s="8">
        <f>M86-$B$8/2</f>
        <v/>
      </c>
      <c r="P86" s="8">
        <f>SQRT(N86^2+O86^2)</f>
        <v/>
      </c>
      <c r="Q86" s="8">
        <f>IF(OR($H$7&lt;&gt;"OK",P86=""),"",IF(P86&lt;=$D$19,$A$19,IF(P86&gt;=INDEX($D$19:$D$2018,$H$6),INDEX($A$19:$A$2018,$H$6),INDEX($A$19:$A$2018,MATCH(P86,$D$19:INDEX($D$19:$D$2018,$H$6),1))+(P86-INDEX($D$19:$D$2018,MATCH(P86,$D$19:INDEX($D$19:$D$2018,$H$6),1)))*(INDEX($A$19:$A$2018,MATCH(P86,$D$19:INDEX($D$19:$D$2018,$H$6),1)+1)-INDEX($A$19:$A$2018,MATCH(P86,$D$19:INDEX($D$19:$D$2018,$H$6),1)))/(INDEX($D$19:$D$2018,MATCH(P86,$D$19:INDEX($D$19:$D$2018,$H$6),1)+1)-INDEX($D$19:$D$2018,MATCH(P86,$D$19:INDEX($D$19:$D$2018,$H$6),1))))))</f>
        <v/>
      </c>
      <c r="R86" s="8">
        <f>IF(P86=0,0,-Y86*N86/P86)</f>
        <v/>
      </c>
      <c r="S86" s="8">
        <f>IF(P86=0,0,Y86*O86/P86)</f>
        <v/>
      </c>
      <c r="T86" s="8">
        <f>IF(Y86=0,$B$7/2,$B$7/2-Z86*R86/Y86)</f>
        <v/>
      </c>
      <c r="U86" s="8">
        <f>IF(Y86=0,$B$8/2,$B$8/2+Z86*S86/Y86)</f>
        <v/>
      </c>
      <c r="V86" s="8">
        <f>SQRT((T86-L86)^2+(U86-M86)^2)</f>
        <v/>
      </c>
      <c r="Y86">
        <f>$B$10*TAN(RADIANS(Q86))</f>
        <v/>
      </c>
      <c r="Z86">
        <f>IF(OR($H$7&lt;&gt;"OK",Q86=""),"",IF(Q86&lt;=$A$19,$D$19,IF(Q86&gt;=INDEX($A$19:$A$2018,$H$6),INDEX($D$19:$D$2018,$H$6),INDEX($D$19:$D$2018,MATCH(Q86,$A$19:INDEX($A$19:$A$2018,$H$6),1))+(Q86-INDEX($A$19:$A$2018,MATCH(Q86,$A$19:INDEX($A$19:$A$2018,$H$6),1)))*(INDEX($D$19:$D$2018,MATCH(Q86,$A$19:INDEX($A$19:$A$2018,$H$6),1)+1)-INDEX($D$19:$D$2018,MATCH(Q86,$A$19:INDEX($A$19:$A$2018,$H$6),1)))/(INDEX($A$19:$A$2018,MATCH(Q86,$A$19:INDEX($A$19:$A$2018,$H$6),1)+1)-INDEX($A$19:$A$2018,MATCH(Q86,$A$19:INDEX($A$19:$A$2018,$H$6),1))))))</f>
        <v/>
      </c>
    </row>
    <row r="87">
      <c r="A87" s="11" t="n"/>
      <c r="B87" s="11" t="n"/>
      <c r="C87" s="12">
        <f>IF(A87="","",$B$9*TAN(RADIANS(A87)))</f>
        <v/>
      </c>
      <c r="D87" s="12">
        <f>IF(C87="","",C87*(1+B87/100))</f>
        <v/>
      </c>
      <c r="E87" s="12">
        <f>IF(A87="","",$B$10*TAN(RADIANS(A87)))</f>
        <v/>
      </c>
      <c r="G87" s="8" t="n">
        <v>69</v>
      </c>
      <c r="H87" s="8">
        <f>$K$5</f>
        <v/>
      </c>
      <c r="I87" s="7" t="inlineStr">
        <is>
          <t>豎</t>
        </is>
      </c>
      <c r="J87" s="8" t="n">
        <v>3</v>
      </c>
      <c r="K87" s="7" t="inlineStr">
        <is>
          <t>左上</t>
        </is>
      </c>
      <c r="L87" s="8">
        <f>$O$5+($M$5+$L$5)/2-$M$5/2+$L$5/2+2*2*$L$5+(-1)*$L$5/2</f>
        <v/>
      </c>
      <c r="M87" s="8">
        <f>$P$5+(-1)*$M$5/2</f>
        <v/>
      </c>
      <c r="N87" s="8">
        <f>L87-$B$7/2</f>
        <v/>
      </c>
      <c r="O87" s="8">
        <f>M87-$B$8/2</f>
        <v/>
      </c>
      <c r="P87" s="8">
        <f>SQRT(N87^2+O87^2)</f>
        <v/>
      </c>
      <c r="Q87" s="8">
        <f>IF(OR($H$7&lt;&gt;"OK",P87=""),"",IF(P87&lt;=$D$19,$A$19,IF(P87&gt;=INDEX($D$19:$D$2018,$H$6),INDEX($A$19:$A$2018,$H$6),INDEX($A$19:$A$2018,MATCH(P87,$D$19:INDEX($D$19:$D$2018,$H$6),1))+(P87-INDEX($D$19:$D$2018,MATCH(P87,$D$19:INDEX($D$19:$D$2018,$H$6),1)))*(INDEX($A$19:$A$2018,MATCH(P87,$D$19:INDEX($D$19:$D$2018,$H$6),1)+1)-INDEX($A$19:$A$2018,MATCH(P87,$D$19:INDEX($D$19:$D$2018,$H$6),1)))/(INDEX($D$19:$D$2018,MATCH(P87,$D$19:INDEX($D$19:$D$2018,$H$6),1)+1)-INDEX($D$19:$D$2018,MATCH(P87,$D$19:INDEX($D$19:$D$2018,$H$6),1))))))</f>
        <v/>
      </c>
      <c r="R87" s="8">
        <f>IF(P87=0,0,-Y87*N87/P87)</f>
        <v/>
      </c>
      <c r="S87" s="8">
        <f>IF(P87=0,0,Y87*O87/P87)</f>
        <v/>
      </c>
      <c r="T87" s="8">
        <f>IF(Y87=0,$B$7/2,$B$7/2-Z87*R87/Y87)</f>
        <v/>
      </c>
      <c r="U87" s="8">
        <f>IF(Y87=0,$B$8/2,$B$8/2+Z87*S87/Y87)</f>
        <v/>
      </c>
      <c r="V87" s="8">
        <f>SQRT((T87-L87)^2+(U87-M87)^2)</f>
        <v/>
      </c>
      <c r="Y87">
        <f>$B$10*TAN(RADIANS(Q87))</f>
        <v/>
      </c>
      <c r="Z87">
        <f>IF(OR($H$7&lt;&gt;"OK",Q87=""),"",IF(Q87&lt;=$A$19,$D$19,IF(Q87&gt;=INDEX($A$19:$A$2018,$H$6),INDEX($D$19:$D$2018,$H$6),INDEX($D$19:$D$2018,MATCH(Q87,$A$19:INDEX($A$19:$A$2018,$H$6),1))+(Q87-INDEX($A$19:$A$2018,MATCH(Q87,$A$19:INDEX($A$19:$A$2018,$H$6),1)))*(INDEX($D$19:$D$2018,MATCH(Q87,$A$19:INDEX($A$19:$A$2018,$H$6),1)+1)-INDEX($D$19:$D$2018,MATCH(Q87,$A$19:INDEX($A$19:$A$2018,$H$6),1)))/(INDEX($A$19:$A$2018,MATCH(Q87,$A$19:INDEX($A$19:$A$2018,$H$6),1)+1)-INDEX($A$19:$A$2018,MATCH(Q87,$A$19:INDEX($A$19:$A$2018,$H$6),1))))))</f>
        <v/>
      </c>
    </row>
    <row r="88">
      <c r="A88" s="11" t="n"/>
      <c r="B88" s="11" t="n"/>
      <c r="C88" s="12">
        <f>IF(A88="","",$B$9*TAN(RADIANS(A88)))</f>
        <v/>
      </c>
      <c r="D88" s="12">
        <f>IF(C88="","",C88*(1+B88/100))</f>
        <v/>
      </c>
      <c r="E88" s="12">
        <f>IF(A88="","",$B$10*TAN(RADIANS(A88)))</f>
        <v/>
      </c>
      <c r="G88" s="8" t="n">
        <v>70</v>
      </c>
      <c r="H88" s="8">
        <f>$K$5</f>
        <v/>
      </c>
      <c r="I88" s="7" t="inlineStr">
        <is>
          <t>豎</t>
        </is>
      </c>
      <c r="J88" s="8" t="n">
        <v>3</v>
      </c>
      <c r="K88" s="7" t="inlineStr">
        <is>
          <t>右上</t>
        </is>
      </c>
      <c r="L88" s="8">
        <f>$O$5+($M$5+$L$5)/2-$M$5/2+$L$5/2+2*2*$L$5+(1)*$L$5/2</f>
        <v/>
      </c>
      <c r="M88" s="8">
        <f>$P$5+(-1)*$M$5/2</f>
        <v/>
      </c>
      <c r="N88" s="8">
        <f>L88-$B$7/2</f>
        <v/>
      </c>
      <c r="O88" s="8">
        <f>M88-$B$8/2</f>
        <v/>
      </c>
      <c r="P88" s="8">
        <f>SQRT(N88^2+O88^2)</f>
        <v/>
      </c>
      <c r="Q88" s="8">
        <f>IF(OR($H$7&lt;&gt;"OK",P88=""),"",IF(P88&lt;=$D$19,$A$19,IF(P88&gt;=INDEX($D$19:$D$2018,$H$6),INDEX($A$19:$A$2018,$H$6),INDEX($A$19:$A$2018,MATCH(P88,$D$19:INDEX($D$19:$D$2018,$H$6),1))+(P88-INDEX($D$19:$D$2018,MATCH(P88,$D$19:INDEX($D$19:$D$2018,$H$6),1)))*(INDEX($A$19:$A$2018,MATCH(P88,$D$19:INDEX($D$19:$D$2018,$H$6),1)+1)-INDEX($A$19:$A$2018,MATCH(P88,$D$19:INDEX($D$19:$D$2018,$H$6),1)))/(INDEX($D$19:$D$2018,MATCH(P88,$D$19:INDEX($D$19:$D$2018,$H$6),1)+1)-INDEX($D$19:$D$2018,MATCH(P88,$D$19:INDEX($D$19:$D$2018,$H$6),1))))))</f>
        <v/>
      </c>
      <c r="R88" s="8">
        <f>IF(P88=0,0,-Y88*N88/P88)</f>
        <v/>
      </c>
      <c r="S88" s="8">
        <f>IF(P88=0,0,Y88*O88/P88)</f>
        <v/>
      </c>
      <c r="T88" s="8">
        <f>IF(Y88=0,$B$7/2,$B$7/2-Z88*R88/Y88)</f>
        <v/>
      </c>
      <c r="U88" s="8">
        <f>IF(Y88=0,$B$8/2,$B$8/2+Z88*S88/Y88)</f>
        <v/>
      </c>
      <c r="V88" s="8">
        <f>SQRT((T88-L88)^2+(U88-M88)^2)</f>
        <v/>
      </c>
      <c r="Y88">
        <f>$B$10*TAN(RADIANS(Q88))</f>
        <v/>
      </c>
      <c r="Z88">
        <f>IF(OR($H$7&lt;&gt;"OK",Q88=""),"",IF(Q88&lt;=$A$19,$D$19,IF(Q88&gt;=INDEX($A$19:$A$2018,$H$6),INDEX($D$19:$D$2018,$H$6),INDEX($D$19:$D$2018,MATCH(Q88,$A$19:INDEX($A$19:$A$2018,$H$6),1))+(Q88-INDEX($A$19:$A$2018,MATCH(Q88,$A$19:INDEX($A$19:$A$2018,$H$6),1)))*(INDEX($D$19:$D$2018,MATCH(Q88,$A$19:INDEX($A$19:$A$2018,$H$6),1)+1)-INDEX($D$19:$D$2018,MATCH(Q88,$A$19:INDEX($A$19:$A$2018,$H$6),1)))/(INDEX($A$19:$A$2018,MATCH(Q88,$A$19:INDEX($A$19:$A$2018,$H$6),1)+1)-INDEX($A$19:$A$2018,MATCH(Q88,$A$19:INDEX($A$19:$A$2018,$H$6),1))))))</f>
        <v/>
      </c>
    </row>
    <row r="89">
      <c r="A89" s="11" t="n"/>
      <c r="B89" s="11" t="n"/>
      <c r="C89" s="12">
        <f>IF(A89="","",$B$9*TAN(RADIANS(A89)))</f>
        <v/>
      </c>
      <c r="D89" s="12">
        <f>IF(C89="","",C89*(1+B89/100))</f>
        <v/>
      </c>
      <c r="E89" s="12">
        <f>IF(A89="","",$B$10*TAN(RADIANS(A89)))</f>
        <v/>
      </c>
      <c r="G89" s="8" t="n">
        <v>71</v>
      </c>
      <c r="H89" s="8">
        <f>$K$5</f>
        <v/>
      </c>
      <c r="I89" s="7" t="inlineStr">
        <is>
          <t>豎</t>
        </is>
      </c>
      <c r="J89" s="8" t="n">
        <v>3</v>
      </c>
      <c r="K89" s="7" t="inlineStr">
        <is>
          <t>右下</t>
        </is>
      </c>
      <c r="L89" s="8">
        <f>$O$5+($M$5+$L$5)/2-$M$5/2+$L$5/2+2*2*$L$5+(1)*$L$5/2</f>
        <v/>
      </c>
      <c r="M89" s="8">
        <f>$P$5+(1)*$M$5/2</f>
        <v/>
      </c>
      <c r="N89" s="8">
        <f>L89-$B$7/2</f>
        <v/>
      </c>
      <c r="O89" s="8">
        <f>M89-$B$8/2</f>
        <v/>
      </c>
      <c r="P89" s="8">
        <f>SQRT(N89^2+O89^2)</f>
        <v/>
      </c>
      <c r="Q89" s="8">
        <f>IF(OR($H$7&lt;&gt;"OK",P89=""),"",IF(P89&lt;=$D$19,$A$19,IF(P89&gt;=INDEX($D$19:$D$2018,$H$6),INDEX($A$19:$A$2018,$H$6),INDEX($A$19:$A$2018,MATCH(P89,$D$19:INDEX($D$19:$D$2018,$H$6),1))+(P89-INDEX($D$19:$D$2018,MATCH(P89,$D$19:INDEX($D$19:$D$2018,$H$6),1)))*(INDEX($A$19:$A$2018,MATCH(P89,$D$19:INDEX($D$19:$D$2018,$H$6),1)+1)-INDEX($A$19:$A$2018,MATCH(P89,$D$19:INDEX($D$19:$D$2018,$H$6),1)))/(INDEX($D$19:$D$2018,MATCH(P89,$D$19:INDEX($D$19:$D$2018,$H$6),1)+1)-INDEX($D$19:$D$2018,MATCH(P89,$D$19:INDEX($D$19:$D$2018,$H$6),1))))))</f>
        <v/>
      </c>
      <c r="R89" s="8">
        <f>IF(P89=0,0,-Y89*N89/P89)</f>
        <v/>
      </c>
      <c r="S89" s="8">
        <f>IF(P89=0,0,Y89*O89/P89)</f>
        <v/>
      </c>
      <c r="T89" s="8">
        <f>IF(Y89=0,$B$7/2,$B$7/2-Z89*R89/Y89)</f>
        <v/>
      </c>
      <c r="U89" s="8">
        <f>IF(Y89=0,$B$8/2,$B$8/2+Z89*S89/Y89)</f>
        <v/>
      </c>
      <c r="V89" s="8">
        <f>SQRT((T89-L89)^2+(U89-M89)^2)</f>
        <v/>
      </c>
      <c r="Y89">
        <f>$B$10*TAN(RADIANS(Q89))</f>
        <v/>
      </c>
      <c r="Z89">
        <f>IF(OR($H$7&lt;&gt;"OK",Q89=""),"",IF(Q89&lt;=$A$19,$D$19,IF(Q89&gt;=INDEX($A$19:$A$2018,$H$6),INDEX($D$19:$D$2018,$H$6),INDEX($D$19:$D$2018,MATCH(Q89,$A$19:INDEX($A$19:$A$2018,$H$6),1))+(Q89-INDEX($A$19:$A$2018,MATCH(Q89,$A$19:INDEX($A$19:$A$2018,$H$6),1)))*(INDEX($D$19:$D$2018,MATCH(Q89,$A$19:INDEX($A$19:$A$2018,$H$6),1)+1)-INDEX($D$19:$D$2018,MATCH(Q89,$A$19:INDEX($A$19:$A$2018,$H$6),1)))/(INDEX($A$19:$A$2018,MATCH(Q89,$A$19:INDEX($A$19:$A$2018,$H$6),1)+1)-INDEX($A$19:$A$2018,MATCH(Q89,$A$19:INDEX($A$19:$A$2018,$H$6),1))))))</f>
        <v/>
      </c>
    </row>
    <row r="90">
      <c r="A90" s="11" t="n"/>
      <c r="B90" s="11" t="n"/>
      <c r="C90" s="12">
        <f>IF(A90="","",$B$9*TAN(RADIANS(A90)))</f>
        <v/>
      </c>
      <c r="D90" s="12">
        <f>IF(C90="","",C90*(1+B90/100))</f>
        <v/>
      </c>
      <c r="E90" s="12">
        <f>IF(A90="","",$B$10*TAN(RADIANS(A90)))</f>
        <v/>
      </c>
      <c r="G90" s="8" t="n">
        <v>72</v>
      </c>
      <c r="H90" s="8">
        <f>$K$5</f>
        <v/>
      </c>
      <c r="I90" s="7" t="inlineStr">
        <is>
          <t>豎</t>
        </is>
      </c>
      <c r="J90" s="8" t="n">
        <v>3</v>
      </c>
      <c r="K90" s="7" t="inlineStr">
        <is>
          <t>左下</t>
        </is>
      </c>
      <c r="L90" s="8">
        <f>$O$5+($M$5+$L$5)/2-$M$5/2+$L$5/2+2*2*$L$5+(-1)*$L$5/2</f>
        <v/>
      </c>
      <c r="M90" s="8">
        <f>$P$5+(1)*$M$5/2</f>
        <v/>
      </c>
      <c r="N90" s="8">
        <f>L90-$B$7/2</f>
        <v/>
      </c>
      <c r="O90" s="8">
        <f>M90-$B$8/2</f>
        <v/>
      </c>
      <c r="P90" s="8">
        <f>SQRT(N90^2+O90^2)</f>
        <v/>
      </c>
      <c r="Q90" s="8">
        <f>IF(OR($H$7&lt;&gt;"OK",P90=""),"",IF(P90&lt;=$D$19,$A$19,IF(P90&gt;=INDEX($D$19:$D$2018,$H$6),INDEX($A$19:$A$2018,$H$6),INDEX($A$19:$A$2018,MATCH(P90,$D$19:INDEX($D$19:$D$2018,$H$6),1))+(P90-INDEX($D$19:$D$2018,MATCH(P90,$D$19:INDEX($D$19:$D$2018,$H$6),1)))*(INDEX($A$19:$A$2018,MATCH(P90,$D$19:INDEX($D$19:$D$2018,$H$6),1)+1)-INDEX($A$19:$A$2018,MATCH(P90,$D$19:INDEX($D$19:$D$2018,$H$6),1)))/(INDEX($D$19:$D$2018,MATCH(P90,$D$19:INDEX($D$19:$D$2018,$H$6),1)+1)-INDEX($D$19:$D$2018,MATCH(P90,$D$19:INDEX($D$19:$D$2018,$H$6),1))))))</f>
        <v/>
      </c>
      <c r="R90" s="8">
        <f>IF(P90=0,0,-Y90*N90/P90)</f>
        <v/>
      </c>
      <c r="S90" s="8">
        <f>IF(P90=0,0,Y90*O90/P90)</f>
        <v/>
      </c>
      <c r="T90" s="8">
        <f>IF(Y90=0,$B$7/2,$B$7/2-Z90*R90/Y90)</f>
        <v/>
      </c>
      <c r="U90" s="8">
        <f>IF(Y90=0,$B$8/2,$B$8/2+Z90*S90/Y90)</f>
        <v/>
      </c>
      <c r="V90" s="8">
        <f>SQRT((T90-L90)^2+(U90-M90)^2)</f>
        <v/>
      </c>
      <c r="Y90">
        <f>$B$10*TAN(RADIANS(Q90))</f>
        <v/>
      </c>
      <c r="Z90">
        <f>IF(OR($H$7&lt;&gt;"OK",Q90=""),"",IF(Q90&lt;=$A$19,$D$19,IF(Q90&gt;=INDEX($A$19:$A$2018,$H$6),INDEX($D$19:$D$2018,$H$6),INDEX($D$19:$D$2018,MATCH(Q90,$A$19:INDEX($A$19:$A$2018,$H$6),1))+(Q90-INDEX($A$19:$A$2018,MATCH(Q90,$A$19:INDEX($A$19:$A$2018,$H$6),1)))*(INDEX($D$19:$D$2018,MATCH(Q90,$A$19:INDEX($A$19:$A$2018,$H$6),1)+1)-INDEX($D$19:$D$2018,MATCH(Q90,$A$19:INDEX($A$19:$A$2018,$H$6),1)))/(INDEX($A$19:$A$2018,MATCH(Q90,$A$19:INDEX($A$19:$A$2018,$H$6),1)+1)-INDEX($A$19:$A$2018,MATCH(Q90,$A$19:INDEX($A$19:$A$2018,$H$6),1))))))</f>
        <v/>
      </c>
    </row>
    <row r="91">
      <c r="A91" s="11" t="n"/>
      <c r="B91" s="11" t="n"/>
      <c r="C91" s="12">
        <f>IF(A91="","",$B$9*TAN(RADIANS(A91)))</f>
        <v/>
      </c>
      <c r="D91" s="12">
        <f>IF(C91="","",C91*(1+B91/100))</f>
        <v/>
      </c>
      <c r="E91" s="12">
        <f>IF(A91="","",$B$10*TAN(RADIANS(A91)))</f>
        <v/>
      </c>
      <c r="G91" s="8" t="n">
        <v>73</v>
      </c>
      <c r="H91" s="8">
        <f>$K$5</f>
        <v/>
      </c>
      <c r="I91" s="7" t="inlineStr">
        <is>
          <t>豎</t>
        </is>
      </c>
      <c r="J91" s="8" t="n">
        <v>4</v>
      </c>
      <c r="K91" s="7" t="inlineStr">
        <is>
          <t>左上</t>
        </is>
      </c>
      <c r="L91" s="8">
        <f>$O$5+($M$5+$L$5)/2-$M$5/2+$L$5/2+3*2*$L$5+(-1)*$L$5/2</f>
        <v/>
      </c>
      <c r="M91" s="8">
        <f>$P$5+(-1)*$M$5/2</f>
        <v/>
      </c>
      <c r="N91" s="8">
        <f>L91-$B$7/2</f>
        <v/>
      </c>
      <c r="O91" s="8">
        <f>M91-$B$8/2</f>
        <v/>
      </c>
      <c r="P91" s="8">
        <f>SQRT(N91^2+O91^2)</f>
        <v/>
      </c>
      <c r="Q91" s="8">
        <f>IF(OR($H$7&lt;&gt;"OK",P91=""),"",IF(P91&lt;=$D$19,$A$19,IF(P91&gt;=INDEX($D$19:$D$2018,$H$6),INDEX($A$19:$A$2018,$H$6),INDEX($A$19:$A$2018,MATCH(P91,$D$19:INDEX($D$19:$D$2018,$H$6),1))+(P91-INDEX($D$19:$D$2018,MATCH(P91,$D$19:INDEX($D$19:$D$2018,$H$6),1)))*(INDEX($A$19:$A$2018,MATCH(P91,$D$19:INDEX($D$19:$D$2018,$H$6),1)+1)-INDEX($A$19:$A$2018,MATCH(P91,$D$19:INDEX($D$19:$D$2018,$H$6),1)))/(INDEX($D$19:$D$2018,MATCH(P91,$D$19:INDEX($D$19:$D$2018,$H$6),1)+1)-INDEX($D$19:$D$2018,MATCH(P91,$D$19:INDEX($D$19:$D$2018,$H$6),1))))))</f>
        <v/>
      </c>
      <c r="R91" s="8">
        <f>IF(P91=0,0,-Y91*N91/P91)</f>
        <v/>
      </c>
      <c r="S91" s="8">
        <f>IF(P91=0,0,Y91*O91/P91)</f>
        <v/>
      </c>
      <c r="T91" s="8">
        <f>IF(Y91=0,$B$7/2,$B$7/2-Z91*R91/Y91)</f>
        <v/>
      </c>
      <c r="U91" s="8">
        <f>IF(Y91=0,$B$8/2,$B$8/2+Z91*S91/Y91)</f>
        <v/>
      </c>
      <c r="V91" s="8">
        <f>SQRT((T91-L91)^2+(U91-M91)^2)</f>
        <v/>
      </c>
      <c r="Y91">
        <f>$B$10*TAN(RADIANS(Q91))</f>
        <v/>
      </c>
      <c r="Z91">
        <f>IF(OR($H$7&lt;&gt;"OK",Q91=""),"",IF(Q91&lt;=$A$19,$D$19,IF(Q91&gt;=INDEX($A$19:$A$2018,$H$6),INDEX($D$19:$D$2018,$H$6),INDEX($D$19:$D$2018,MATCH(Q91,$A$19:INDEX($A$19:$A$2018,$H$6),1))+(Q91-INDEX($A$19:$A$2018,MATCH(Q91,$A$19:INDEX($A$19:$A$2018,$H$6),1)))*(INDEX($D$19:$D$2018,MATCH(Q91,$A$19:INDEX($A$19:$A$2018,$H$6),1)+1)-INDEX($D$19:$D$2018,MATCH(Q91,$A$19:INDEX($A$19:$A$2018,$H$6),1)))/(INDEX($A$19:$A$2018,MATCH(Q91,$A$19:INDEX($A$19:$A$2018,$H$6),1)+1)-INDEX($A$19:$A$2018,MATCH(Q91,$A$19:INDEX($A$19:$A$2018,$H$6),1))))))</f>
        <v/>
      </c>
    </row>
    <row r="92">
      <c r="A92" s="11" t="n"/>
      <c r="B92" s="11" t="n"/>
      <c r="C92" s="12">
        <f>IF(A92="","",$B$9*TAN(RADIANS(A92)))</f>
        <v/>
      </c>
      <c r="D92" s="12">
        <f>IF(C92="","",C92*(1+B92/100))</f>
        <v/>
      </c>
      <c r="E92" s="12">
        <f>IF(A92="","",$B$10*TAN(RADIANS(A92)))</f>
        <v/>
      </c>
      <c r="G92" s="8" t="n">
        <v>74</v>
      </c>
      <c r="H92" s="8">
        <f>$K$5</f>
        <v/>
      </c>
      <c r="I92" s="7" t="inlineStr">
        <is>
          <t>豎</t>
        </is>
      </c>
      <c r="J92" s="8" t="n">
        <v>4</v>
      </c>
      <c r="K92" s="7" t="inlineStr">
        <is>
          <t>右上</t>
        </is>
      </c>
      <c r="L92" s="8">
        <f>$O$5+($M$5+$L$5)/2-$M$5/2+$L$5/2+3*2*$L$5+(1)*$L$5/2</f>
        <v/>
      </c>
      <c r="M92" s="8">
        <f>$P$5+(-1)*$M$5/2</f>
        <v/>
      </c>
      <c r="N92" s="8">
        <f>L92-$B$7/2</f>
        <v/>
      </c>
      <c r="O92" s="8">
        <f>M92-$B$8/2</f>
        <v/>
      </c>
      <c r="P92" s="8">
        <f>SQRT(N92^2+O92^2)</f>
        <v/>
      </c>
      <c r="Q92" s="8">
        <f>IF(OR($H$7&lt;&gt;"OK",P92=""),"",IF(P92&lt;=$D$19,$A$19,IF(P92&gt;=INDEX($D$19:$D$2018,$H$6),INDEX($A$19:$A$2018,$H$6),INDEX($A$19:$A$2018,MATCH(P92,$D$19:INDEX($D$19:$D$2018,$H$6),1))+(P92-INDEX($D$19:$D$2018,MATCH(P92,$D$19:INDEX($D$19:$D$2018,$H$6),1)))*(INDEX($A$19:$A$2018,MATCH(P92,$D$19:INDEX($D$19:$D$2018,$H$6),1)+1)-INDEX($A$19:$A$2018,MATCH(P92,$D$19:INDEX($D$19:$D$2018,$H$6),1)))/(INDEX($D$19:$D$2018,MATCH(P92,$D$19:INDEX($D$19:$D$2018,$H$6),1)+1)-INDEX($D$19:$D$2018,MATCH(P92,$D$19:INDEX($D$19:$D$2018,$H$6),1))))))</f>
        <v/>
      </c>
      <c r="R92" s="8">
        <f>IF(P92=0,0,-Y92*N92/P92)</f>
        <v/>
      </c>
      <c r="S92" s="8">
        <f>IF(P92=0,0,Y92*O92/P92)</f>
        <v/>
      </c>
      <c r="T92" s="8">
        <f>IF(Y92=0,$B$7/2,$B$7/2-Z92*R92/Y92)</f>
        <v/>
      </c>
      <c r="U92" s="8">
        <f>IF(Y92=0,$B$8/2,$B$8/2+Z92*S92/Y92)</f>
        <v/>
      </c>
      <c r="V92" s="8">
        <f>SQRT((T92-L92)^2+(U92-M92)^2)</f>
        <v/>
      </c>
      <c r="Y92">
        <f>$B$10*TAN(RADIANS(Q92))</f>
        <v/>
      </c>
      <c r="Z92">
        <f>IF(OR($H$7&lt;&gt;"OK",Q92=""),"",IF(Q92&lt;=$A$19,$D$19,IF(Q92&gt;=INDEX($A$19:$A$2018,$H$6),INDEX($D$19:$D$2018,$H$6),INDEX($D$19:$D$2018,MATCH(Q92,$A$19:INDEX($A$19:$A$2018,$H$6),1))+(Q92-INDEX($A$19:$A$2018,MATCH(Q92,$A$19:INDEX($A$19:$A$2018,$H$6),1)))*(INDEX($D$19:$D$2018,MATCH(Q92,$A$19:INDEX($A$19:$A$2018,$H$6),1)+1)-INDEX($D$19:$D$2018,MATCH(Q92,$A$19:INDEX($A$19:$A$2018,$H$6),1)))/(INDEX($A$19:$A$2018,MATCH(Q92,$A$19:INDEX($A$19:$A$2018,$H$6),1)+1)-INDEX($A$19:$A$2018,MATCH(Q92,$A$19:INDEX($A$19:$A$2018,$H$6),1))))))</f>
        <v/>
      </c>
    </row>
    <row r="93">
      <c r="A93" s="11" t="n"/>
      <c r="B93" s="11" t="n"/>
      <c r="C93" s="12">
        <f>IF(A93="","",$B$9*TAN(RADIANS(A93)))</f>
        <v/>
      </c>
      <c r="D93" s="12">
        <f>IF(C93="","",C93*(1+B93/100))</f>
        <v/>
      </c>
      <c r="E93" s="12">
        <f>IF(A93="","",$B$10*TAN(RADIANS(A93)))</f>
        <v/>
      </c>
      <c r="G93" s="8" t="n">
        <v>75</v>
      </c>
      <c r="H93" s="8">
        <f>$K$5</f>
        <v/>
      </c>
      <c r="I93" s="7" t="inlineStr">
        <is>
          <t>豎</t>
        </is>
      </c>
      <c r="J93" s="8" t="n">
        <v>4</v>
      </c>
      <c r="K93" s="7" t="inlineStr">
        <is>
          <t>右下</t>
        </is>
      </c>
      <c r="L93" s="8">
        <f>$O$5+($M$5+$L$5)/2-$M$5/2+$L$5/2+3*2*$L$5+(1)*$L$5/2</f>
        <v/>
      </c>
      <c r="M93" s="8">
        <f>$P$5+(1)*$M$5/2</f>
        <v/>
      </c>
      <c r="N93" s="8">
        <f>L93-$B$7/2</f>
        <v/>
      </c>
      <c r="O93" s="8">
        <f>M93-$B$8/2</f>
        <v/>
      </c>
      <c r="P93" s="8">
        <f>SQRT(N93^2+O93^2)</f>
        <v/>
      </c>
      <c r="Q93" s="8">
        <f>IF(OR($H$7&lt;&gt;"OK",P93=""),"",IF(P93&lt;=$D$19,$A$19,IF(P93&gt;=INDEX($D$19:$D$2018,$H$6),INDEX($A$19:$A$2018,$H$6),INDEX($A$19:$A$2018,MATCH(P93,$D$19:INDEX($D$19:$D$2018,$H$6),1))+(P93-INDEX($D$19:$D$2018,MATCH(P93,$D$19:INDEX($D$19:$D$2018,$H$6),1)))*(INDEX($A$19:$A$2018,MATCH(P93,$D$19:INDEX($D$19:$D$2018,$H$6),1)+1)-INDEX($A$19:$A$2018,MATCH(P93,$D$19:INDEX($D$19:$D$2018,$H$6),1)))/(INDEX($D$19:$D$2018,MATCH(P93,$D$19:INDEX($D$19:$D$2018,$H$6),1)+1)-INDEX($D$19:$D$2018,MATCH(P93,$D$19:INDEX($D$19:$D$2018,$H$6),1))))))</f>
        <v/>
      </c>
      <c r="R93" s="8">
        <f>IF(P93=0,0,-Y93*N93/P93)</f>
        <v/>
      </c>
      <c r="S93" s="8">
        <f>IF(P93=0,0,Y93*O93/P93)</f>
        <v/>
      </c>
      <c r="T93" s="8">
        <f>IF(Y93=0,$B$7/2,$B$7/2-Z93*R93/Y93)</f>
        <v/>
      </c>
      <c r="U93" s="8">
        <f>IF(Y93=0,$B$8/2,$B$8/2+Z93*S93/Y93)</f>
        <v/>
      </c>
      <c r="V93" s="8">
        <f>SQRT((T93-L93)^2+(U93-M93)^2)</f>
        <v/>
      </c>
      <c r="Y93">
        <f>$B$10*TAN(RADIANS(Q93))</f>
        <v/>
      </c>
      <c r="Z93">
        <f>IF(OR($H$7&lt;&gt;"OK",Q93=""),"",IF(Q93&lt;=$A$19,$D$19,IF(Q93&gt;=INDEX($A$19:$A$2018,$H$6),INDEX($D$19:$D$2018,$H$6),INDEX($D$19:$D$2018,MATCH(Q93,$A$19:INDEX($A$19:$A$2018,$H$6),1))+(Q93-INDEX($A$19:$A$2018,MATCH(Q93,$A$19:INDEX($A$19:$A$2018,$H$6),1)))*(INDEX($D$19:$D$2018,MATCH(Q93,$A$19:INDEX($A$19:$A$2018,$H$6),1)+1)-INDEX($D$19:$D$2018,MATCH(Q93,$A$19:INDEX($A$19:$A$2018,$H$6),1)))/(INDEX($A$19:$A$2018,MATCH(Q93,$A$19:INDEX($A$19:$A$2018,$H$6),1)+1)-INDEX($A$19:$A$2018,MATCH(Q93,$A$19:INDEX($A$19:$A$2018,$H$6),1))))))</f>
        <v/>
      </c>
    </row>
    <row r="94">
      <c r="A94" s="11" t="n"/>
      <c r="B94" s="11" t="n"/>
      <c r="C94" s="12">
        <f>IF(A94="","",$B$9*TAN(RADIANS(A94)))</f>
        <v/>
      </c>
      <c r="D94" s="12">
        <f>IF(C94="","",C94*(1+B94/100))</f>
        <v/>
      </c>
      <c r="E94" s="12">
        <f>IF(A94="","",$B$10*TAN(RADIANS(A94)))</f>
        <v/>
      </c>
      <c r="G94" s="8" t="n">
        <v>76</v>
      </c>
      <c r="H94" s="8">
        <f>$K$5</f>
        <v/>
      </c>
      <c r="I94" s="7" t="inlineStr">
        <is>
          <t>豎</t>
        </is>
      </c>
      <c r="J94" s="8" t="n">
        <v>4</v>
      </c>
      <c r="K94" s="7" t="inlineStr">
        <is>
          <t>左下</t>
        </is>
      </c>
      <c r="L94" s="8">
        <f>$O$5+($M$5+$L$5)/2-$M$5/2+$L$5/2+3*2*$L$5+(-1)*$L$5/2</f>
        <v/>
      </c>
      <c r="M94" s="8">
        <f>$P$5+(1)*$M$5/2</f>
        <v/>
      </c>
      <c r="N94" s="8">
        <f>L94-$B$7/2</f>
        <v/>
      </c>
      <c r="O94" s="8">
        <f>M94-$B$8/2</f>
        <v/>
      </c>
      <c r="P94" s="8">
        <f>SQRT(N94^2+O94^2)</f>
        <v/>
      </c>
      <c r="Q94" s="8">
        <f>IF(OR($H$7&lt;&gt;"OK",P94=""),"",IF(P94&lt;=$D$19,$A$19,IF(P94&gt;=INDEX($D$19:$D$2018,$H$6),INDEX($A$19:$A$2018,$H$6),INDEX($A$19:$A$2018,MATCH(P94,$D$19:INDEX($D$19:$D$2018,$H$6),1))+(P94-INDEX($D$19:$D$2018,MATCH(P94,$D$19:INDEX($D$19:$D$2018,$H$6),1)))*(INDEX($A$19:$A$2018,MATCH(P94,$D$19:INDEX($D$19:$D$2018,$H$6),1)+1)-INDEX($A$19:$A$2018,MATCH(P94,$D$19:INDEX($D$19:$D$2018,$H$6),1)))/(INDEX($D$19:$D$2018,MATCH(P94,$D$19:INDEX($D$19:$D$2018,$H$6),1)+1)-INDEX($D$19:$D$2018,MATCH(P94,$D$19:INDEX($D$19:$D$2018,$H$6),1))))))</f>
        <v/>
      </c>
      <c r="R94" s="8">
        <f>IF(P94=0,0,-Y94*N94/P94)</f>
        <v/>
      </c>
      <c r="S94" s="8">
        <f>IF(P94=0,0,Y94*O94/P94)</f>
        <v/>
      </c>
      <c r="T94" s="8">
        <f>IF(Y94=0,$B$7/2,$B$7/2-Z94*R94/Y94)</f>
        <v/>
      </c>
      <c r="U94" s="8">
        <f>IF(Y94=0,$B$8/2,$B$8/2+Z94*S94/Y94)</f>
        <v/>
      </c>
      <c r="V94" s="8">
        <f>SQRT((T94-L94)^2+(U94-M94)^2)</f>
        <v/>
      </c>
      <c r="Y94">
        <f>$B$10*TAN(RADIANS(Q94))</f>
        <v/>
      </c>
      <c r="Z94">
        <f>IF(OR($H$7&lt;&gt;"OK",Q94=""),"",IF(Q94&lt;=$A$19,$D$19,IF(Q94&gt;=INDEX($A$19:$A$2018,$H$6),INDEX($D$19:$D$2018,$H$6),INDEX($D$19:$D$2018,MATCH(Q94,$A$19:INDEX($A$19:$A$2018,$H$6),1))+(Q94-INDEX($A$19:$A$2018,MATCH(Q94,$A$19:INDEX($A$19:$A$2018,$H$6),1)))*(INDEX($D$19:$D$2018,MATCH(Q94,$A$19:INDEX($A$19:$A$2018,$H$6),1)+1)-INDEX($D$19:$D$2018,MATCH(Q94,$A$19:INDEX($A$19:$A$2018,$H$6),1)))/(INDEX($A$19:$A$2018,MATCH(Q94,$A$19:INDEX($A$19:$A$2018,$H$6),1)+1)-INDEX($A$19:$A$2018,MATCH(Q94,$A$19:INDEX($A$19:$A$2018,$H$6),1))))))</f>
        <v/>
      </c>
    </row>
    <row r="95">
      <c r="A95" s="11" t="n"/>
      <c r="B95" s="11" t="n"/>
      <c r="C95" s="12">
        <f>IF(A95="","",$B$9*TAN(RADIANS(A95)))</f>
        <v/>
      </c>
      <c r="D95" s="12">
        <f>IF(C95="","",C95*(1+B95/100))</f>
        <v/>
      </c>
      <c r="E95" s="12">
        <f>IF(A95="","",$B$10*TAN(RADIANS(A95)))</f>
        <v/>
      </c>
      <c r="G95" s="8" t="n">
        <v>77</v>
      </c>
      <c r="H95" s="8">
        <f>$K$5</f>
        <v/>
      </c>
      <c r="I95" s="7" t="inlineStr">
        <is>
          <t>豎</t>
        </is>
      </c>
      <c r="J95" s="8" t="n">
        <v>5</v>
      </c>
      <c r="K95" s="7" t="inlineStr">
        <is>
          <t>左上</t>
        </is>
      </c>
      <c r="L95" s="8">
        <f>$O$5+($M$5+$L$5)/2-$M$5/2+$L$5/2+4*2*$L$5+(-1)*$L$5/2</f>
        <v/>
      </c>
      <c r="M95" s="8">
        <f>$P$5+(-1)*$M$5/2</f>
        <v/>
      </c>
      <c r="N95" s="8">
        <f>L95-$B$7/2</f>
        <v/>
      </c>
      <c r="O95" s="8">
        <f>M95-$B$8/2</f>
        <v/>
      </c>
      <c r="P95" s="8">
        <f>SQRT(N95^2+O95^2)</f>
        <v/>
      </c>
      <c r="Q95" s="8">
        <f>IF(OR($H$7&lt;&gt;"OK",P95=""),"",IF(P95&lt;=$D$19,$A$19,IF(P95&gt;=INDEX($D$19:$D$2018,$H$6),INDEX($A$19:$A$2018,$H$6),INDEX($A$19:$A$2018,MATCH(P95,$D$19:INDEX($D$19:$D$2018,$H$6),1))+(P95-INDEX($D$19:$D$2018,MATCH(P95,$D$19:INDEX($D$19:$D$2018,$H$6),1)))*(INDEX($A$19:$A$2018,MATCH(P95,$D$19:INDEX($D$19:$D$2018,$H$6),1)+1)-INDEX($A$19:$A$2018,MATCH(P95,$D$19:INDEX($D$19:$D$2018,$H$6),1)))/(INDEX($D$19:$D$2018,MATCH(P95,$D$19:INDEX($D$19:$D$2018,$H$6),1)+1)-INDEX($D$19:$D$2018,MATCH(P95,$D$19:INDEX($D$19:$D$2018,$H$6),1))))))</f>
        <v/>
      </c>
      <c r="R95" s="8">
        <f>IF(P95=0,0,-Y95*N95/P95)</f>
        <v/>
      </c>
      <c r="S95" s="8">
        <f>IF(P95=0,0,Y95*O95/P95)</f>
        <v/>
      </c>
      <c r="T95" s="8">
        <f>IF(Y95=0,$B$7/2,$B$7/2-Z95*R95/Y95)</f>
        <v/>
      </c>
      <c r="U95" s="8">
        <f>IF(Y95=0,$B$8/2,$B$8/2+Z95*S95/Y95)</f>
        <v/>
      </c>
      <c r="V95" s="8">
        <f>SQRT((T95-L95)^2+(U95-M95)^2)</f>
        <v/>
      </c>
      <c r="Y95">
        <f>$B$10*TAN(RADIANS(Q95))</f>
        <v/>
      </c>
      <c r="Z95">
        <f>IF(OR($H$7&lt;&gt;"OK",Q95=""),"",IF(Q95&lt;=$A$19,$D$19,IF(Q95&gt;=INDEX($A$19:$A$2018,$H$6),INDEX($D$19:$D$2018,$H$6),INDEX($D$19:$D$2018,MATCH(Q95,$A$19:INDEX($A$19:$A$2018,$H$6),1))+(Q95-INDEX($A$19:$A$2018,MATCH(Q95,$A$19:INDEX($A$19:$A$2018,$H$6),1)))*(INDEX($D$19:$D$2018,MATCH(Q95,$A$19:INDEX($A$19:$A$2018,$H$6),1)+1)-INDEX($D$19:$D$2018,MATCH(Q95,$A$19:INDEX($A$19:$A$2018,$H$6),1)))/(INDEX($A$19:$A$2018,MATCH(Q95,$A$19:INDEX($A$19:$A$2018,$H$6),1)+1)-INDEX($A$19:$A$2018,MATCH(Q95,$A$19:INDEX($A$19:$A$2018,$H$6),1))))))</f>
        <v/>
      </c>
    </row>
    <row r="96">
      <c r="A96" s="11" t="n"/>
      <c r="B96" s="11" t="n"/>
      <c r="C96" s="12">
        <f>IF(A96="","",$B$9*TAN(RADIANS(A96)))</f>
        <v/>
      </c>
      <c r="D96" s="12">
        <f>IF(C96="","",C96*(1+B96/100))</f>
        <v/>
      </c>
      <c r="E96" s="12">
        <f>IF(A96="","",$B$10*TAN(RADIANS(A96)))</f>
        <v/>
      </c>
      <c r="G96" s="8" t="n">
        <v>78</v>
      </c>
      <c r="H96" s="8">
        <f>$K$5</f>
        <v/>
      </c>
      <c r="I96" s="7" t="inlineStr">
        <is>
          <t>豎</t>
        </is>
      </c>
      <c r="J96" s="8" t="n">
        <v>5</v>
      </c>
      <c r="K96" s="7" t="inlineStr">
        <is>
          <t>右上</t>
        </is>
      </c>
      <c r="L96" s="8">
        <f>$O$5+($M$5+$L$5)/2-$M$5/2+$L$5/2+4*2*$L$5+(1)*$L$5/2</f>
        <v/>
      </c>
      <c r="M96" s="8">
        <f>$P$5+(-1)*$M$5/2</f>
        <v/>
      </c>
      <c r="N96" s="8">
        <f>L96-$B$7/2</f>
        <v/>
      </c>
      <c r="O96" s="8">
        <f>M96-$B$8/2</f>
        <v/>
      </c>
      <c r="P96" s="8">
        <f>SQRT(N96^2+O96^2)</f>
        <v/>
      </c>
      <c r="Q96" s="8">
        <f>IF(OR($H$7&lt;&gt;"OK",P96=""),"",IF(P96&lt;=$D$19,$A$19,IF(P96&gt;=INDEX($D$19:$D$2018,$H$6),INDEX($A$19:$A$2018,$H$6),INDEX($A$19:$A$2018,MATCH(P96,$D$19:INDEX($D$19:$D$2018,$H$6),1))+(P96-INDEX($D$19:$D$2018,MATCH(P96,$D$19:INDEX($D$19:$D$2018,$H$6),1)))*(INDEX($A$19:$A$2018,MATCH(P96,$D$19:INDEX($D$19:$D$2018,$H$6),1)+1)-INDEX($A$19:$A$2018,MATCH(P96,$D$19:INDEX($D$19:$D$2018,$H$6),1)))/(INDEX($D$19:$D$2018,MATCH(P96,$D$19:INDEX($D$19:$D$2018,$H$6),1)+1)-INDEX($D$19:$D$2018,MATCH(P96,$D$19:INDEX($D$19:$D$2018,$H$6),1))))))</f>
        <v/>
      </c>
      <c r="R96" s="8">
        <f>IF(P96=0,0,-Y96*N96/P96)</f>
        <v/>
      </c>
      <c r="S96" s="8">
        <f>IF(P96=0,0,Y96*O96/P96)</f>
        <v/>
      </c>
      <c r="T96" s="8">
        <f>IF(Y96=0,$B$7/2,$B$7/2-Z96*R96/Y96)</f>
        <v/>
      </c>
      <c r="U96" s="8">
        <f>IF(Y96=0,$B$8/2,$B$8/2+Z96*S96/Y96)</f>
        <v/>
      </c>
      <c r="V96" s="8">
        <f>SQRT((T96-L96)^2+(U96-M96)^2)</f>
        <v/>
      </c>
      <c r="Y96">
        <f>$B$10*TAN(RADIANS(Q96))</f>
        <v/>
      </c>
      <c r="Z96">
        <f>IF(OR($H$7&lt;&gt;"OK",Q96=""),"",IF(Q96&lt;=$A$19,$D$19,IF(Q96&gt;=INDEX($A$19:$A$2018,$H$6),INDEX($D$19:$D$2018,$H$6),INDEX($D$19:$D$2018,MATCH(Q96,$A$19:INDEX($A$19:$A$2018,$H$6),1))+(Q96-INDEX($A$19:$A$2018,MATCH(Q96,$A$19:INDEX($A$19:$A$2018,$H$6),1)))*(INDEX($D$19:$D$2018,MATCH(Q96,$A$19:INDEX($A$19:$A$2018,$H$6),1)+1)-INDEX($D$19:$D$2018,MATCH(Q96,$A$19:INDEX($A$19:$A$2018,$H$6),1)))/(INDEX($A$19:$A$2018,MATCH(Q96,$A$19:INDEX($A$19:$A$2018,$H$6),1)+1)-INDEX($A$19:$A$2018,MATCH(Q96,$A$19:INDEX($A$19:$A$2018,$H$6),1))))))</f>
        <v/>
      </c>
    </row>
    <row r="97">
      <c r="A97" s="11" t="n"/>
      <c r="B97" s="11" t="n"/>
      <c r="C97" s="12">
        <f>IF(A97="","",$B$9*TAN(RADIANS(A97)))</f>
        <v/>
      </c>
      <c r="D97" s="12">
        <f>IF(C97="","",C97*(1+B97/100))</f>
        <v/>
      </c>
      <c r="E97" s="12">
        <f>IF(A97="","",$B$10*TAN(RADIANS(A97)))</f>
        <v/>
      </c>
      <c r="G97" s="8" t="n">
        <v>79</v>
      </c>
      <c r="H97" s="8">
        <f>$K$5</f>
        <v/>
      </c>
      <c r="I97" s="7" t="inlineStr">
        <is>
          <t>豎</t>
        </is>
      </c>
      <c r="J97" s="8" t="n">
        <v>5</v>
      </c>
      <c r="K97" s="7" t="inlineStr">
        <is>
          <t>右下</t>
        </is>
      </c>
      <c r="L97" s="8">
        <f>$O$5+($M$5+$L$5)/2-$M$5/2+$L$5/2+4*2*$L$5+(1)*$L$5/2</f>
        <v/>
      </c>
      <c r="M97" s="8">
        <f>$P$5+(1)*$M$5/2</f>
        <v/>
      </c>
      <c r="N97" s="8">
        <f>L97-$B$7/2</f>
        <v/>
      </c>
      <c r="O97" s="8">
        <f>M97-$B$8/2</f>
        <v/>
      </c>
      <c r="P97" s="8">
        <f>SQRT(N97^2+O97^2)</f>
        <v/>
      </c>
      <c r="Q97" s="8">
        <f>IF(OR($H$7&lt;&gt;"OK",P97=""),"",IF(P97&lt;=$D$19,$A$19,IF(P97&gt;=INDEX($D$19:$D$2018,$H$6),INDEX($A$19:$A$2018,$H$6),INDEX($A$19:$A$2018,MATCH(P97,$D$19:INDEX($D$19:$D$2018,$H$6),1))+(P97-INDEX($D$19:$D$2018,MATCH(P97,$D$19:INDEX($D$19:$D$2018,$H$6),1)))*(INDEX($A$19:$A$2018,MATCH(P97,$D$19:INDEX($D$19:$D$2018,$H$6),1)+1)-INDEX($A$19:$A$2018,MATCH(P97,$D$19:INDEX($D$19:$D$2018,$H$6),1)))/(INDEX($D$19:$D$2018,MATCH(P97,$D$19:INDEX($D$19:$D$2018,$H$6),1)+1)-INDEX($D$19:$D$2018,MATCH(P97,$D$19:INDEX($D$19:$D$2018,$H$6),1))))))</f>
        <v/>
      </c>
      <c r="R97" s="8">
        <f>IF(P97=0,0,-Y97*N97/P97)</f>
        <v/>
      </c>
      <c r="S97" s="8">
        <f>IF(P97=0,0,Y97*O97/P97)</f>
        <v/>
      </c>
      <c r="T97" s="8">
        <f>IF(Y97=0,$B$7/2,$B$7/2-Z97*R97/Y97)</f>
        <v/>
      </c>
      <c r="U97" s="8">
        <f>IF(Y97=0,$B$8/2,$B$8/2+Z97*S97/Y97)</f>
        <v/>
      </c>
      <c r="V97" s="8">
        <f>SQRT((T97-L97)^2+(U97-M97)^2)</f>
        <v/>
      </c>
      <c r="Y97">
        <f>$B$10*TAN(RADIANS(Q97))</f>
        <v/>
      </c>
      <c r="Z97">
        <f>IF(OR($H$7&lt;&gt;"OK",Q97=""),"",IF(Q97&lt;=$A$19,$D$19,IF(Q97&gt;=INDEX($A$19:$A$2018,$H$6),INDEX($D$19:$D$2018,$H$6),INDEX($D$19:$D$2018,MATCH(Q97,$A$19:INDEX($A$19:$A$2018,$H$6),1))+(Q97-INDEX($A$19:$A$2018,MATCH(Q97,$A$19:INDEX($A$19:$A$2018,$H$6),1)))*(INDEX($D$19:$D$2018,MATCH(Q97,$A$19:INDEX($A$19:$A$2018,$H$6),1)+1)-INDEX($D$19:$D$2018,MATCH(Q97,$A$19:INDEX($A$19:$A$2018,$H$6),1)))/(INDEX($A$19:$A$2018,MATCH(Q97,$A$19:INDEX($A$19:$A$2018,$H$6),1)+1)-INDEX($A$19:$A$2018,MATCH(Q97,$A$19:INDEX($A$19:$A$2018,$H$6),1))))))</f>
        <v/>
      </c>
    </row>
    <row r="98">
      <c r="A98" s="11" t="n"/>
      <c r="B98" s="11" t="n"/>
      <c r="C98" s="12">
        <f>IF(A98="","",$B$9*TAN(RADIANS(A98)))</f>
        <v/>
      </c>
      <c r="D98" s="12">
        <f>IF(C98="","",C98*(1+B98/100))</f>
        <v/>
      </c>
      <c r="E98" s="12">
        <f>IF(A98="","",$B$10*TAN(RADIANS(A98)))</f>
        <v/>
      </c>
      <c r="G98" s="8" t="n">
        <v>80</v>
      </c>
      <c r="H98" s="8">
        <f>$K$5</f>
        <v/>
      </c>
      <c r="I98" s="7" t="inlineStr">
        <is>
          <t>豎</t>
        </is>
      </c>
      <c r="J98" s="8" t="n">
        <v>5</v>
      </c>
      <c r="K98" s="7" t="inlineStr">
        <is>
          <t>左下</t>
        </is>
      </c>
      <c r="L98" s="8">
        <f>$O$5+($M$5+$L$5)/2-$M$5/2+$L$5/2+4*2*$L$5+(-1)*$L$5/2</f>
        <v/>
      </c>
      <c r="M98" s="8">
        <f>$P$5+(1)*$M$5/2</f>
        <v/>
      </c>
      <c r="N98" s="8">
        <f>L98-$B$7/2</f>
        <v/>
      </c>
      <c r="O98" s="8">
        <f>M98-$B$8/2</f>
        <v/>
      </c>
      <c r="P98" s="8">
        <f>SQRT(N98^2+O98^2)</f>
        <v/>
      </c>
      <c r="Q98" s="8">
        <f>IF(OR($H$7&lt;&gt;"OK",P98=""),"",IF(P98&lt;=$D$19,$A$19,IF(P98&gt;=INDEX($D$19:$D$2018,$H$6),INDEX($A$19:$A$2018,$H$6),INDEX($A$19:$A$2018,MATCH(P98,$D$19:INDEX($D$19:$D$2018,$H$6),1))+(P98-INDEX($D$19:$D$2018,MATCH(P98,$D$19:INDEX($D$19:$D$2018,$H$6),1)))*(INDEX($A$19:$A$2018,MATCH(P98,$D$19:INDEX($D$19:$D$2018,$H$6),1)+1)-INDEX($A$19:$A$2018,MATCH(P98,$D$19:INDEX($D$19:$D$2018,$H$6),1)))/(INDEX($D$19:$D$2018,MATCH(P98,$D$19:INDEX($D$19:$D$2018,$H$6),1)+1)-INDEX($D$19:$D$2018,MATCH(P98,$D$19:INDEX($D$19:$D$2018,$H$6),1))))))</f>
        <v/>
      </c>
      <c r="R98" s="8">
        <f>IF(P98=0,0,-Y98*N98/P98)</f>
        <v/>
      </c>
      <c r="S98" s="8">
        <f>IF(P98=0,0,Y98*O98/P98)</f>
        <v/>
      </c>
      <c r="T98" s="8">
        <f>IF(Y98=0,$B$7/2,$B$7/2-Z98*R98/Y98)</f>
        <v/>
      </c>
      <c r="U98" s="8">
        <f>IF(Y98=0,$B$8/2,$B$8/2+Z98*S98/Y98)</f>
        <v/>
      </c>
      <c r="V98" s="8">
        <f>SQRT((T98-L98)^2+(U98-M98)^2)</f>
        <v/>
      </c>
      <c r="Y98">
        <f>$B$10*TAN(RADIANS(Q98))</f>
        <v/>
      </c>
      <c r="Z98">
        <f>IF(OR($H$7&lt;&gt;"OK",Q98=""),"",IF(Q98&lt;=$A$19,$D$19,IF(Q98&gt;=INDEX($A$19:$A$2018,$H$6),INDEX($D$19:$D$2018,$H$6),INDEX($D$19:$D$2018,MATCH(Q98,$A$19:INDEX($A$19:$A$2018,$H$6),1))+(Q98-INDEX($A$19:$A$2018,MATCH(Q98,$A$19:INDEX($A$19:$A$2018,$H$6),1)))*(INDEX($D$19:$D$2018,MATCH(Q98,$A$19:INDEX($A$19:$A$2018,$H$6),1)+1)-INDEX($D$19:$D$2018,MATCH(Q98,$A$19:INDEX($A$19:$A$2018,$H$6),1)))/(INDEX($A$19:$A$2018,MATCH(Q98,$A$19:INDEX($A$19:$A$2018,$H$6),1)+1)-INDEX($A$19:$A$2018,MATCH(Q98,$A$19:INDEX($A$19:$A$2018,$H$6),1))))))</f>
        <v/>
      </c>
    </row>
    <row r="99">
      <c r="A99" s="11" t="n"/>
      <c r="B99" s="11" t="n"/>
      <c r="C99" s="12">
        <f>IF(A99="","",$B$9*TAN(RADIANS(A99)))</f>
        <v/>
      </c>
      <c r="D99" s="12">
        <f>IF(C99="","",C99*(1+B99/100))</f>
        <v/>
      </c>
      <c r="E99" s="12">
        <f>IF(A99="","",$B$10*TAN(RADIANS(A99)))</f>
        <v/>
      </c>
      <c r="G99" s="8" t="n">
        <v>81</v>
      </c>
      <c r="H99" s="8">
        <f>$K$6</f>
        <v/>
      </c>
      <c r="I99" s="7" t="inlineStr">
        <is>
          <t>橫</t>
        </is>
      </c>
      <c r="J99" s="8" t="n">
        <v>1</v>
      </c>
      <c r="K99" s="7" t="inlineStr">
        <is>
          <t>左上</t>
        </is>
      </c>
      <c r="L99" s="8">
        <f>$O$6-($M$6+$L$6)/2+(-1)*$M$6/2</f>
        <v/>
      </c>
      <c r="M99" s="8">
        <f>$P$6-$M$6/2+$L$6/2+0*2*$L$6+(-1)*$L$6/2</f>
        <v/>
      </c>
      <c r="N99" s="8">
        <f>L99-$B$7/2</f>
        <v/>
      </c>
      <c r="O99" s="8">
        <f>M99-$B$8/2</f>
        <v/>
      </c>
      <c r="P99" s="8">
        <f>SQRT(N99^2+O99^2)</f>
        <v/>
      </c>
      <c r="Q99" s="8">
        <f>IF(OR($H$7&lt;&gt;"OK",P99=""),"",IF(P99&lt;=$D$19,$A$19,IF(P99&gt;=INDEX($D$19:$D$2018,$H$6),INDEX($A$19:$A$2018,$H$6),INDEX($A$19:$A$2018,MATCH(P99,$D$19:INDEX($D$19:$D$2018,$H$6),1))+(P99-INDEX($D$19:$D$2018,MATCH(P99,$D$19:INDEX($D$19:$D$2018,$H$6),1)))*(INDEX($A$19:$A$2018,MATCH(P99,$D$19:INDEX($D$19:$D$2018,$H$6),1)+1)-INDEX($A$19:$A$2018,MATCH(P99,$D$19:INDEX($D$19:$D$2018,$H$6),1)))/(INDEX($D$19:$D$2018,MATCH(P99,$D$19:INDEX($D$19:$D$2018,$H$6),1)+1)-INDEX($D$19:$D$2018,MATCH(P99,$D$19:INDEX($D$19:$D$2018,$H$6),1))))))</f>
        <v/>
      </c>
      <c r="R99" s="8">
        <f>IF(P99=0,0,-Y99*N99/P99)</f>
        <v/>
      </c>
      <c r="S99" s="8">
        <f>IF(P99=0,0,Y99*O99/P99)</f>
        <v/>
      </c>
      <c r="T99" s="8">
        <f>IF(Y99=0,$B$7/2,$B$7/2-Z99*R99/Y99)</f>
        <v/>
      </c>
      <c r="U99" s="8">
        <f>IF(Y99=0,$B$8/2,$B$8/2+Z99*S99/Y99)</f>
        <v/>
      </c>
      <c r="V99" s="8">
        <f>SQRT((T99-L99)^2+(U99-M99)^2)</f>
        <v/>
      </c>
      <c r="Y99">
        <f>$B$10*TAN(RADIANS(Q99))</f>
        <v/>
      </c>
      <c r="Z99">
        <f>IF(OR($H$7&lt;&gt;"OK",Q99=""),"",IF(Q99&lt;=$A$19,$D$19,IF(Q99&gt;=INDEX($A$19:$A$2018,$H$6),INDEX($D$19:$D$2018,$H$6),INDEX($D$19:$D$2018,MATCH(Q99,$A$19:INDEX($A$19:$A$2018,$H$6),1))+(Q99-INDEX($A$19:$A$2018,MATCH(Q99,$A$19:INDEX($A$19:$A$2018,$H$6),1)))*(INDEX($D$19:$D$2018,MATCH(Q99,$A$19:INDEX($A$19:$A$2018,$H$6),1)+1)-INDEX($D$19:$D$2018,MATCH(Q99,$A$19:INDEX($A$19:$A$2018,$H$6),1)))/(INDEX($A$19:$A$2018,MATCH(Q99,$A$19:INDEX($A$19:$A$2018,$H$6),1)+1)-INDEX($A$19:$A$2018,MATCH(Q99,$A$19:INDEX($A$19:$A$2018,$H$6),1))))))</f>
        <v/>
      </c>
    </row>
    <row r="100">
      <c r="A100" s="11" t="n"/>
      <c r="B100" s="11" t="n"/>
      <c r="C100" s="12">
        <f>IF(A100="","",$B$9*TAN(RADIANS(A100)))</f>
        <v/>
      </c>
      <c r="D100" s="12">
        <f>IF(C100="","",C100*(1+B100/100))</f>
        <v/>
      </c>
      <c r="E100" s="12">
        <f>IF(A100="","",$B$10*TAN(RADIANS(A100)))</f>
        <v/>
      </c>
      <c r="G100" s="8" t="n">
        <v>82</v>
      </c>
      <c r="H100" s="8">
        <f>$K$6</f>
        <v/>
      </c>
      <c r="I100" s="7" t="inlineStr">
        <is>
          <t>橫</t>
        </is>
      </c>
      <c r="J100" s="8" t="n">
        <v>1</v>
      </c>
      <c r="K100" s="7" t="inlineStr">
        <is>
          <t>右上</t>
        </is>
      </c>
      <c r="L100" s="8">
        <f>$O$6-($M$6+$L$6)/2+(1)*$M$6/2</f>
        <v/>
      </c>
      <c r="M100" s="8">
        <f>$P$6-$M$6/2+$L$6/2+0*2*$L$6+(-1)*$L$6/2</f>
        <v/>
      </c>
      <c r="N100" s="8">
        <f>L100-$B$7/2</f>
        <v/>
      </c>
      <c r="O100" s="8">
        <f>M100-$B$8/2</f>
        <v/>
      </c>
      <c r="P100" s="8">
        <f>SQRT(N100^2+O100^2)</f>
        <v/>
      </c>
      <c r="Q100" s="8">
        <f>IF(OR($H$7&lt;&gt;"OK",P100=""),"",IF(P100&lt;=$D$19,$A$19,IF(P100&gt;=INDEX($D$19:$D$2018,$H$6),INDEX($A$19:$A$2018,$H$6),INDEX($A$19:$A$2018,MATCH(P100,$D$19:INDEX($D$19:$D$2018,$H$6),1))+(P100-INDEX($D$19:$D$2018,MATCH(P100,$D$19:INDEX($D$19:$D$2018,$H$6),1)))*(INDEX($A$19:$A$2018,MATCH(P100,$D$19:INDEX($D$19:$D$2018,$H$6),1)+1)-INDEX($A$19:$A$2018,MATCH(P100,$D$19:INDEX($D$19:$D$2018,$H$6),1)))/(INDEX($D$19:$D$2018,MATCH(P100,$D$19:INDEX($D$19:$D$2018,$H$6),1)+1)-INDEX($D$19:$D$2018,MATCH(P100,$D$19:INDEX($D$19:$D$2018,$H$6),1))))))</f>
        <v/>
      </c>
      <c r="R100" s="8">
        <f>IF(P100=0,0,-Y100*N100/P100)</f>
        <v/>
      </c>
      <c r="S100" s="8">
        <f>IF(P100=0,0,Y100*O100/P100)</f>
        <v/>
      </c>
      <c r="T100" s="8">
        <f>IF(Y100=0,$B$7/2,$B$7/2-Z100*R100/Y100)</f>
        <v/>
      </c>
      <c r="U100" s="8">
        <f>IF(Y100=0,$B$8/2,$B$8/2+Z100*S100/Y100)</f>
        <v/>
      </c>
      <c r="V100" s="8">
        <f>SQRT((T100-L100)^2+(U100-M100)^2)</f>
        <v/>
      </c>
      <c r="Y100">
        <f>$B$10*TAN(RADIANS(Q100))</f>
        <v/>
      </c>
      <c r="Z100">
        <f>IF(OR($H$7&lt;&gt;"OK",Q100=""),"",IF(Q100&lt;=$A$19,$D$19,IF(Q100&gt;=INDEX($A$19:$A$2018,$H$6),INDEX($D$19:$D$2018,$H$6),INDEX($D$19:$D$2018,MATCH(Q100,$A$19:INDEX($A$19:$A$2018,$H$6),1))+(Q100-INDEX($A$19:$A$2018,MATCH(Q100,$A$19:INDEX($A$19:$A$2018,$H$6),1)))*(INDEX($D$19:$D$2018,MATCH(Q100,$A$19:INDEX($A$19:$A$2018,$H$6),1)+1)-INDEX($D$19:$D$2018,MATCH(Q100,$A$19:INDEX($A$19:$A$2018,$H$6),1)))/(INDEX($A$19:$A$2018,MATCH(Q100,$A$19:INDEX($A$19:$A$2018,$H$6),1)+1)-INDEX($A$19:$A$2018,MATCH(Q100,$A$19:INDEX($A$19:$A$2018,$H$6),1))))))</f>
        <v/>
      </c>
    </row>
    <row r="101">
      <c r="A101" s="11" t="n"/>
      <c r="B101" s="11" t="n"/>
      <c r="C101" s="12">
        <f>IF(A101="","",$B$9*TAN(RADIANS(A101)))</f>
        <v/>
      </c>
      <c r="D101" s="12">
        <f>IF(C101="","",C101*(1+B101/100))</f>
        <v/>
      </c>
      <c r="E101" s="12">
        <f>IF(A101="","",$B$10*TAN(RADIANS(A101)))</f>
        <v/>
      </c>
      <c r="G101" s="8" t="n">
        <v>83</v>
      </c>
      <c r="H101" s="8">
        <f>$K$6</f>
        <v/>
      </c>
      <c r="I101" s="7" t="inlineStr">
        <is>
          <t>橫</t>
        </is>
      </c>
      <c r="J101" s="8" t="n">
        <v>1</v>
      </c>
      <c r="K101" s="7" t="inlineStr">
        <is>
          <t>右下</t>
        </is>
      </c>
      <c r="L101" s="8">
        <f>$O$6-($M$6+$L$6)/2+(1)*$M$6/2</f>
        <v/>
      </c>
      <c r="M101" s="8">
        <f>$P$6-$M$6/2+$L$6/2+0*2*$L$6+(1)*$L$6/2</f>
        <v/>
      </c>
      <c r="N101" s="8">
        <f>L101-$B$7/2</f>
        <v/>
      </c>
      <c r="O101" s="8">
        <f>M101-$B$8/2</f>
        <v/>
      </c>
      <c r="P101" s="8">
        <f>SQRT(N101^2+O101^2)</f>
        <v/>
      </c>
      <c r="Q101" s="8">
        <f>IF(OR($H$7&lt;&gt;"OK",P101=""),"",IF(P101&lt;=$D$19,$A$19,IF(P101&gt;=INDEX($D$19:$D$2018,$H$6),INDEX($A$19:$A$2018,$H$6),INDEX($A$19:$A$2018,MATCH(P101,$D$19:INDEX($D$19:$D$2018,$H$6),1))+(P101-INDEX($D$19:$D$2018,MATCH(P101,$D$19:INDEX($D$19:$D$2018,$H$6),1)))*(INDEX($A$19:$A$2018,MATCH(P101,$D$19:INDEX($D$19:$D$2018,$H$6),1)+1)-INDEX($A$19:$A$2018,MATCH(P101,$D$19:INDEX($D$19:$D$2018,$H$6),1)))/(INDEX($D$19:$D$2018,MATCH(P101,$D$19:INDEX($D$19:$D$2018,$H$6),1)+1)-INDEX($D$19:$D$2018,MATCH(P101,$D$19:INDEX($D$19:$D$2018,$H$6),1))))))</f>
        <v/>
      </c>
      <c r="R101" s="8">
        <f>IF(P101=0,0,-Y101*N101/P101)</f>
        <v/>
      </c>
      <c r="S101" s="8">
        <f>IF(P101=0,0,Y101*O101/P101)</f>
        <v/>
      </c>
      <c r="T101" s="8">
        <f>IF(Y101=0,$B$7/2,$B$7/2-Z101*R101/Y101)</f>
        <v/>
      </c>
      <c r="U101" s="8">
        <f>IF(Y101=0,$B$8/2,$B$8/2+Z101*S101/Y101)</f>
        <v/>
      </c>
      <c r="V101" s="8">
        <f>SQRT((T101-L101)^2+(U101-M101)^2)</f>
        <v/>
      </c>
      <c r="Y101">
        <f>$B$10*TAN(RADIANS(Q101))</f>
        <v/>
      </c>
      <c r="Z101">
        <f>IF(OR($H$7&lt;&gt;"OK",Q101=""),"",IF(Q101&lt;=$A$19,$D$19,IF(Q101&gt;=INDEX($A$19:$A$2018,$H$6),INDEX($D$19:$D$2018,$H$6),INDEX($D$19:$D$2018,MATCH(Q101,$A$19:INDEX($A$19:$A$2018,$H$6),1))+(Q101-INDEX($A$19:$A$2018,MATCH(Q101,$A$19:INDEX($A$19:$A$2018,$H$6),1)))*(INDEX($D$19:$D$2018,MATCH(Q101,$A$19:INDEX($A$19:$A$2018,$H$6),1)+1)-INDEX($D$19:$D$2018,MATCH(Q101,$A$19:INDEX($A$19:$A$2018,$H$6),1)))/(INDEX($A$19:$A$2018,MATCH(Q101,$A$19:INDEX($A$19:$A$2018,$H$6),1)+1)-INDEX($A$19:$A$2018,MATCH(Q101,$A$19:INDEX($A$19:$A$2018,$H$6),1))))))</f>
        <v/>
      </c>
    </row>
    <row r="102">
      <c r="A102" s="11" t="n"/>
      <c r="B102" s="11" t="n"/>
      <c r="C102" s="12">
        <f>IF(A102="","",$B$9*TAN(RADIANS(A102)))</f>
        <v/>
      </c>
      <c r="D102" s="12">
        <f>IF(C102="","",C102*(1+B102/100))</f>
        <v/>
      </c>
      <c r="E102" s="12">
        <f>IF(A102="","",$B$10*TAN(RADIANS(A102)))</f>
        <v/>
      </c>
      <c r="G102" s="8" t="n">
        <v>84</v>
      </c>
      <c r="H102" s="8">
        <f>$K$6</f>
        <v/>
      </c>
      <c r="I102" s="7" t="inlineStr">
        <is>
          <t>橫</t>
        </is>
      </c>
      <c r="J102" s="8" t="n">
        <v>1</v>
      </c>
      <c r="K102" s="7" t="inlineStr">
        <is>
          <t>左下</t>
        </is>
      </c>
      <c r="L102" s="8">
        <f>$O$6-($M$6+$L$6)/2+(-1)*$M$6/2</f>
        <v/>
      </c>
      <c r="M102" s="8">
        <f>$P$6-$M$6/2+$L$6/2+0*2*$L$6+(1)*$L$6/2</f>
        <v/>
      </c>
      <c r="N102" s="8">
        <f>L102-$B$7/2</f>
        <v/>
      </c>
      <c r="O102" s="8">
        <f>M102-$B$8/2</f>
        <v/>
      </c>
      <c r="P102" s="8">
        <f>SQRT(N102^2+O102^2)</f>
        <v/>
      </c>
      <c r="Q102" s="8">
        <f>IF(OR($H$7&lt;&gt;"OK",P102=""),"",IF(P102&lt;=$D$19,$A$19,IF(P102&gt;=INDEX($D$19:$D$2018,$H$6),INDEX($A$19:$A$2018,$H$6),INDEX($A$19:$A$2018,MATCH(P102,$D$19:INDEX($D$19:$D$2018,$H$6),1))+(P102-INDEX($D$19:$D$2018,MATCH(P102,$D$19:INDEX($D$19:$D$2018,$H$6),1)))*(INDEX($A$19:$A$2018,MATCH(P102,$D$19:INDEX($D$19:$D$2018,$H$6),1)+1)-INDEX($A$19:$A$2018,MATCH(P102,$D$19:INDEX($D$19:$D$2018,$H$6),1)))/(INDEX($D$19:$D$2018,MATCH(P102,$D$19:INDEX($D$19:$D$2018,$H$6),1)+1)-INDEX($D$19:$D$2018,MATCH(P102,$D$19:INDEX($D$19:$D$2018,$H$6),1))))))</f>
        <v/>
      </c>
      <c r="R102" s="8">
        <f>IF(P102=0,0,-Y102*N102/P102)</f>
        <v/>
      </c>
      <c r="S102" s="8">
        <f>IF(P102=0,0,Y102*O102/P102)</f>
        <v/>
      </c>
      <c r="T102" s="8">
        <f>IF(Y102=0,$B$7/2,$B$7/2-Z102*R102/Y102)</f>
        <v/>
      </c>
      <c r="U102" s="8">
        <f>IF(Y102=0,$B$8/2,$B$8/2+Z102*S102/Y102)</f>
        <v/>
      </c>
      <c r="V102" s="8">
        <f>SQRT((T102-L102)^2+(U102-M102)^2)</f>
        <v/>
      </c>
      <c r="Y102">
        <f>$B$10*TAN(RADIANS(Q102))</f>
        <v/>
      </c>
      <c r="Z102">
        <f>IF(OR($H$7&lt;&gt;"OK",Q102=""),"",IF(Q102&lt;=$A$19,$D$19,IF(Q102&gt;=INDEX($A$19:$A$2018,$H$6),INDEX($D$19:$D$2018,$H$6),INDEX($D$19:$D$2018,MATCH(Q102,$A$19:INDEX($A$19:$A$2018,$H$6),1))+(Q102-INDEX($A$19:$A$2018,MATCH(Q102,$A$19:INDEX($A$19:$A$2018,$H$6),1)))*(INDEX($D$19:$D$2018,MATCH(Q102,$A$19:INDEX($A$19:$A$2018,$H$6),1)+1)-INDEX($D$19:$D$2018,MATCH(Q102,$A$19:INDEX($A$19:$A$2018,$H$6),1)))/(INDEX($A$19:$A$2018,MATCH(Q102,$A$19:INDEX($A$19:$A$2018,$H$6),1)+1)-INDEX($A$19:$A$2018,MATCH(Q102,$A$19:INDEX($A$19:$A$2018,$H$6),1))))))</f>
        <v/>
      </c>
    </row>
    <row r="103">
      <c r="A103" s="11" t="n"/>
      <c r="B103" s="11" t="n"/>
      <c r="C103" s="12">
        <f>IF(A103="","",$B$9*TAN(RADIANS(A103)))</f>
        <v/>
      </c>
      <c r="D103" s="12">
        <f>IF(C103="","",C103*(1+B103/100))</f>
        <v/>
      </c>
      <c r="E103" s="12">
        <f>IF(A103="","",$B$10*TAN(RADIANS(A103)))</f>
        <v/>
      </c>
      <c r="G103" s="8" t="n">
        <v>85</v>
      </c>
      <c r="H103" s="8">
        <f>$K$6</f>
        <v/>
      </c>
      <c r="I103" s="7" t="inlineStr">
        <is>
          <t>橫</t>
        </is>
      </c>
      <c r="J103" s="8" t="n">
        <v>2</v>
      </c>
      <c r="K103" s="7" t="inlineStr">
        <is>
          <t>左上</t>
        </is>
      </c>
      <c r="L103" s="8">
        <f>$O$6-($M$6+$L$6)/2+(-1)*$M$6/2</f>
        <v/>
      </c>
      <c r="M103" s="8">
        <f>$P$6-$M$6/2+$L$6/2+1*2*$L$6+(-1)*$L$6/2</f>
        <v/>
      </c>
      <c r="N103" s="8">
        <f>L103-$B$7/2</f>
        <v/>
      </c>
      <c r="O103" s="8">
        <f>M103-$B$8/2</f>
        <v/>
      </c>
      <c r="P103" s="8">
        <f>SQRT(N103^2+O103^2)</f>
        <v/>
      </c>
      <c r="Q103" s="8">
        <f>IF(OR($H$7&lt;&gt;"OK",P103=""),"",IF(P103&lt;=$D$19,$A$19,IF(P103&gt;=INDEX($D$19:$D$2018,$H$6),INDEX($A$19:$A$2018,$H$6),INDEX($A$19:$A$2018,MATCH(P103,$D$19:INDEX($D$19:$D$2018,$H$6),1))+(P103-INDEX($D$19:$D$2018,MATCH(P103,$D$19:INDEX($D$19:$D$2018,$H$6),1)))*(INDEX($A$19:$A$2018,MATCH(P103,$D$19:INDEX($D$19:$D$2018,$H$6),1)+1)-INDEX($A$19:$A$2018,MATCH(P103,$D$19:INDEX($D$19:$D$2018,$H$6),1)))/(INDEX($D$19:$D$2018,MATCH(P103,$D$19:INDEX($D$19:$D$2018,$H$6),1)+1)-INDEX($D$19:$D$2018,MATCH(P103,$D$19:INDEX($D$19:$D$2018,$H$6),1))))))</f>
        <v/>
      </c>
      <c r="R103" s="8">
        <f>IF(P103=0,0,-Y103*N103/P103)</f>
        <v/>
      </c>
      <c r="S103" s="8">
        <f>IF(P103=0,0,Y103*O103/P103)</f>
        <v/>
      </c>
      <c r="T103" s="8">
        <f>IF(Y103=0,$B$7/2,$B$7/2-Z103*R103/Y103)</f>
        <v/>
      </c>
      <c r="U103" s="8">
        <f>IF(Y103=0,$B$8/2,$B$8/2+Z103*S103/Y103)</f>
        <v/>
      </c>
      <c r="V103" s="8">
        <f>SQRT((T103-L103)^2+(U103-M103)^2)</f>
        <v/>
      </c>
      <c r="Y103">
        <f>$B$10*TAN(RADIANS(Q103))</f>
        <v/>
      </c>
      <c r="Z103">
        <f>IF(OR($H$7&lt;&gt;"OK",Q103=""),"",IF(Q103&lt;=$A$19,$D$19,IF(Q103&gt;=INDEX($A$19:$A$2018,$H$6),INDEX($D$19:$D$2018,$H$6),INDEX($D$19:$D$2018,MATCH(Q103,$A$19:INDEX($A$19:$A$2018,$H$6),1))+(Q103-INDEX($A$19:$A$2018,MATCH(Q103,$A$19:INDEX($A$19:$A$2018,$H$6),1)))*(INDEX($D$19:$D$2018,MATCH(Q103,$A$19:INDEX($A$19:$A$2018,$H$6),1)+1)-INDEX($D$19:$D$2018,MATCH(Q103,$A$19:INDEX($A$19:$A$2018,$H$6),1)))/(INDEX($A$19:$A$2018,MATCH(Q103,$A$19:INDEX($A$19:$A$2018,$H$6),1)+1)-INDEX($A$19:$A$2018,MATCH(Q103,$A$19:INDEX($A$19:$A$2018,$H$6),1))))))</f>
        <v/>
      </c>
    </row>
    <row r="104">
      <c r="A104" s="11" t="n"/>
      <c r="B104" s="11" t="n"/>
      <c r="C104" s="12">
        <f>IF(A104="","",$B$9*TAN(RADIANS(A104)))</f>
        <v/>
      </c>
      <c r="D104" s="12">
        <f>IF(C104="","",C104*(1+B104/100))</f>
        <v/>
      </c>
      <c r="E104" s="12">
        <f>IF(A104="","",$B$10*TAN(RADIANS(A104)))</f>
        <v/>
      </c>
      <c r="G104" s="8" t="n">
        <v>86</v>
      </c>
      <c r="H104" s="8">
        <f>$K$6</f>
        <v/>
      </c>
      <c r="I104" s="7" t="inlineStr">
        <is>
          <t>橫</t>
        </is>
      </c>
      <c r="J104" s="8" t="n">
        <v>2</v>
      </c>
      <c r="K104" s="7" t="inlineStr">
        <is>
          <t>右上</t>
        </is>
      </c>
      <c r="L104" s="8">
        <f>$O$6-($M$6+$L$6)/2+(1)*$M$6/2</f>
        <v/>
      </c>
      <c r="M104" s="8">
        <f>$P$6-$M$6/2+$L$6/2+1*2*$L$6+(-1)*$L$6/2</f>
        <v/>
      </c>
      <c r="N104" s="8">
        <f>L104-$B$7/2</f>
        <v/>
      </c>
      <c r="O104" s="8">
        <f>M104-$B$8/2</f>
        <v/>
      </c>
      <c r="P104" s="8">
        <f>SQRT(N104^2+O104^2)</f>
        <v/>
      </c>
      <c r="Q104" s="8">
        <f>IF(OR($H$7&lt;&gt;"OK",P104=""),"",IF(P104&lt;=$D$19,$A$19,IF(P104&gt;=INDEX($D$19:$D$2018,$H$6),INDEX($A$19:$A$2018,$H$6),INDEX($A$19:$A$2018,MATCH(P104,$D$19:INDEX($D$19:$D$2018,$H$6),1))+(P104-INDEX($D$19:$D$2018,MATCH(P104,$D$19:INDEX($D$19:$D$2018,$H$6),1)))*(INDEX($A$19:$A$2018,MATCH(P104,$D$19:INDEX($D$19:$D$2018,$H$6),1)+1)-INDEX($A$19:$A$2018,MATCH(P104,$D$19:INDEX($D$19:$D$2018,$H$6),1)))/(INDEX($D$19:$D$2018,MATCH(P104,$D$19:INDEX($D$19:$D$2018,$H$6),1)+1)-INDEX($D$19:$D$2018,MATCH(P104,$D$19:INDEX($D$19:$D$2018,$H$6),1))))))</f>
        <v/>
      </c>
      <c r="R104" s="8">
        <f>IF(P104=0,0,-Y104*N104/P104)</f>
        <v/>
      </c>
      <c r="S104" s="8">
        <f>IF(P104=0,0,Y104*O104/P104)</f>
        <v/>
      </c>
      <c r="T104" s="8">
        <f>IF(Y104=0,$B$7/2,$B$7/2-Z104*R104/Y104)</f>
        <v/>
      </c>
      <c r="U104" s="8">
        <f>IF(Y104=0,$B$8/2,$B$8/2+Z104*S104/Y104)</f>
        <v/>
      </c>
      <c r="V104" s="8">
        <f>SQRT((T104-L104)^2+(U104-M104)^2)</f>
        <v/>
      </c>
      <c r="Y104">
        <f>$B$10*TAN(RADIANS(Q104))</f>
        <v/>
      </c>
      <c r="Z104">
        <f>IF(OR($H$7&lt;&gt;"OK",Q104=""),"",IF(Q104&lt;=$A$19,$D$19,IF(Q104&gt;=INDEX($A$19:$A$2018,$H$6),INDEX($D$19:$D$2018,$H$6),INDEX($D$19:$D$2018,MATCH(Q104,$A$19:INDEX($A$19:$A$2018,$H$6),1))+(Q104-INDEX($A$19:$A$2018,MATCH(Q104,$A$19:INDEX($A$19:$A$2018,$H$6),1)))*(INDEX($D$19:$D$2018,MATCH(Q104,$A$19:INDEX($A$19:$A$2018,$H$6),1)+1)-INDEX($D$19:$D$2018,MATCH(Q104,$A$19:INDEX($A$19:$A$2018,$H$6),1)))/(INDEX($A$19:$A$2018,MATCH(Q104,$A$19:INDEX($A$19:$A$2018,$H$6),1)+1)-INDEX($A$19:$A$2018,MATCH(Q104,$A$19:INDEX($A$19:$A$2018,$H$6),1))))))</f>
        <v/>
      </c>
    </row>
    <row r="105">
      <c r="A105" s="11" t="n"/>
      <c r="B105" s="11" t="n"/>
      <c r="C105" s="12">
        <f>IF(A105="","",$B$9*TAN(RADIANS(A105)))</f>
        <v/>
      </c>
      <c r="D105" s="12">
        <f>IF(C105="","",C105*(1+B105/100))</f>
        <v/>
      </c>
      <c r="E105" s="12">
        <f>IF(A105="","",$B$10*TAN(RADIANS(A105)))</f>
        <v/>
      </c>
      <c r="G105" s="8" t="n">
        <v>87</v>
      </c>
      <c r="H105" s="8">
        <f>$K$6</f>
        <v/>
      </c>
      <c r="I105" s="7" t="inlineStr">
        <is>
          <t>橫</t>
        </is>
      </c>
      <c r="J105" s="8" t="n">
        <v>2</v>
      </c>
      <c r="K105" s="7" t="inlineStr">
        <is>
          <t>右下</t>
        </is>
      </c>
      <c r="L105" s="8">
        <f>$O$6-($M$6+$L$6)/2+(1)*$M$6/2</f>
        <v/>
      </c>
      <c r="M105" s="8">
        <f>$P$6-$M$6/2+$L$6/2+1*2*$L$6+(1)*$L$6/2</f>
        <v/>
      </c>
      <c r="N105" s="8">
        <f>L105-$B$7/2</f>
        <v/>
      </c>
      <c r="O105" s="8">
        <f>M105-$B$8/2</f>
        <v/>
      </c>
      <c r="P105" s="8">
        <f>SQRT(N105^2+O105^2)</f>
        <v/>
      </c>
      <c r="Q105" s="8">
        <f>IF(OR($H$7&lt;&gt;"OK",P105=""),"",IF(P105&lt;=$D$19,$A$19,IF(P105&gt;=INDEX($D$19:$D$2018,$H$6),INDEX($A$19:$A$2018,$H$6),INDEX($A$19:$A$2018,MATCH(P105,$D$19:INDEX($D$19:$D$2018,$H$6),1))+(P105-INDEX($D$19:$D$2018,MATCH(P105,$D$19:INDEX($D$19:$D$2018,$H$6),1)))*(INDEX($A$19:$A$2018,MATCH(P105,$D$19:INDEX($D$19:$D$2018,$H$6),1)+1)-INDEX($A$19:$A$2018,MATCH(P105,$D$19:INDEX($D$19:$D$2018,$H$6),1)))/(INDEX($D$19:$D$2018,MATCH(P105,$D$19:INDEX($D$19:$D$2018,$H$6),1)+1)-INDEX($D$19:$D$2018,MATCH(P105,$D$19:INDEX($D$19:$D$2018,$H$6),1))))))</f>
        <v/>
      </c>
      <c r="R105" s="8">
        <f>IF(P105=0,0,-Y105*N105/P105)</f>
        <v/>
      </c>
      <c r="S105" s="8">
        <f>IF(P105=0,0,Y105*O105/P105)</f>
        <v/>
      </c>
      <c r="T105" s="8">
        <f>IF(Y105=0,$B$7/2,$B$7/2-Z105*R105/Y105)</f>
        <v/>
      </c>
      <c r="U105" s="8">
        <f>IF(Y105=0,$B$8/2,$B$8/2+Z105*S105/Y105)</f>
        <v/>
      </c>
      <c r="V105" s="8">
        <f>SQRT((T105-L105)^2+(U105-M105)^2)</f>
        <v/>
      </c>
      <c r="Y105">
        <f>$B$10*TAN(RADIANS(Q105))</f>
        <v/>
      </c>
      <c r="Z105">
        <f>IF(OR($H$7&lt;&gt;"OK",Q105=""),"",IF(Q105&lt;=$A$19,$D$19,IF(Q105&gt;=INDEX($A$19:$A$2018,$H$6),INDEX($D$19:$D$2018,$H$6),INDEX($D$19:$D$2018,MATCH(Q105,$A$19:INDEX($A$19:$A$2018,$H$6),1))+(Q105-INDEX($A$19:$A$2018,MATCH(Q105,$A$19:INDEX($A$19:$A$2018,$H$6),1)))*(INDEX($D$19:$D$2018,MATCH(Q105,$A$19:INDEX($A$19:$A$2018,$H$6),1)+1)-INDEX($D$19:$D$2018,MATCH(Q105,$A$19:INDEX($A$19:$A$2018,$H$6),1)))/(INDEX($A$19:$A$2018,MATCH(Q105,$A$19:INDEX($A$19:$A$2018,$H$6),1)+1)-INDEX($A$19:$A$2018,MATCH(Q105,$A$19:INDEX($A$19:$A$2018,$H$6),1))))))</f>
        <v/>
      </c>
    </row>
    <row r="106">
      <c r="A106" s="11" t="n"/>
      <c r="B106" s="11" t="n"/>
      <c r="C106" s="12">
        <f>IF(A106="","",$B$9*TAN(RADIANS(A106)))</f>
        <v/>
      </c>
      <c r="D106" s="12">
        <f>IF(C106="","",C106*(1+B106/100))</f>
        <v/>
      </c>
      <c r="E106" s="12">
        <f>IF(A106="","",$B$10*TAN(RADIANS(A106)))</f>
        <v/>
      </c>
      <c r="G106" s="8" t="n">
        <v>88</v>
      </c>
      <c r="H106" s="8">
        <f>$K$6</f>
        <v/>
      </c>
      <c r="I106" s="7" t="inlineStr">
        <is>
          <t>橫</t>
        </is>
      </c>
      <c r="J106" s="8" t="n">
        <v>2</v>
      </c>
      <c r="K106" s="7" t="inlineStr">
        <is>
          <t>左下</t>
        </is>
      </c>
      <c r="L106" s="8">
        <f>$O$6-($M$6+$L$6)/2+(-1)*$M$6/2</f>
        <v/>
      </c>
      <c r="M106" s="8">
        <f>$P$6-$M$6/2+$L$6/2+1*2*$L$6+(1)*$L$6/2</f>
        <v/>
      </c>
      <c r="N106" s="8">
        <f>L106-$B$7/2</f>
        <v/>
      </c>
      <c r="O106" s="8">
        <f>M106-$B$8/2</f>
        <v/>
      </c>
      <c r="P106" s="8">
        <f>SQRT(N106^2+O106^2)</f>
        <v/>
      </c>
      <c r="Q106" s="8">
        <f>IF(OR($H$7&lt;&gt;"OK",P106=""),"",IF(P106&lt;=$D$19,$A$19,IF(P106&gt;=INDEX($D$19:$D$2018,$H$6),INDEX($A$19:$A$2018,$H$6),INDEX($A$19:$A$2018,MATCH(P106,$D$19:INDEX($D$19:$D$2018,$H$6),1))+(P106-INDEX($D$19:$D$2018,MATCH(P106,$D$19:INDEX($D$19:$D$2018,$H$6),1)))*(INDEX($A$19:$A$2018,MATCH(P106,$D$19:INDEX($D$19:$D$2018,$H$6),1)+1)-INDEX($A$19:$A$2018,MATCH(P106,$D$19:INDEX($D$19:$D$2018,$H$6),1)))/(INDEX($D$19:$D$2018,MATCH(P106,$D$19:INDEX($D$19:$D$2018,$H$6),1)+1)-INDEX($D$19:$D$2018,MATCH(P106,$D$19:INDEX($D$19:$D$2018,$H$6),1))))))</f>
        <v/>
      </c>
      <c r="R106" s="8">
        <f>IF(P106=0,0,-Y106*N106/P106)</f>
        <v/>
      </c>
      <c r="S106" s="8">
        <f>IF(P106=0,0,Y106*O106/P106)</f>
        <v/>
      </c>
      <c r="T106" s="8">
        <f>IF(Y106=0,$B$7/2,$B$7/2-Z106*R106/Y106)</f>
        <v/>
      </c>
      <c r="U106" s="8">
        <f>IF(Y106=0,$B$8/2,$B$8/2+Z106*S106/Y106)</f>
        <v/>
      </c>
      <c r="V106" s="8">
        <f>SQRT((T106-L106)^2+(U106-M106)^2)</f>
        <v/>
      </c>
      <c r="Y106">
        <f>$B$10*TAN(RADIANS(Q106))</f>
        <v/>
      </c>
      <c r="Z106">
        <f>IF(OR($H$7&lt;&gt;"OK",Q106=""),"",IF(Q106&lt;=$A$19,$D$19,IF(Q106&gt;=INDEX($A$19:$A$2018,$H$6),INDEX($D$19:$D$2018,$H$6),INDEX($D$19:$D$2018,MATCH(Q106,$A$19:INDEX($A$19:$A$2018,$H$6),1))+(Q106-INDEX($A$19:$A$2018,MATCH(Q106,$A$19:INDEX($A$19:$A$2018,$H$6),1)))*(INDEX($D$19:$D$2018,MATCH(Q106,$A$19:INDEX($A$19:$A$2018,$H$6),1)+1)-INDEX($D$19:$D$2018,MATCH(Q106,$A$19:INDEX($A$19:$A$2018,$H$6),1)))/(INDEX($A$19:$A$2018,MATCH(Q106,$A$19:INDEX($A$19:$A$2018,$H$6),1)+1)-INDEX($A$19:$A$2018,MATCH(Q106,$A$19:INDEX($A$19:$A$2018,$H$6),1))))))</f>
        <v/>
      </c>
    </row>
    <row r="107">
      <c r="A107" s="11" t="n"/>
      <c r="B107" s="11" t="n"/>
      <c r="C107" s="12">
        <f>IF(A107="","",$B$9*TAN(RADIANS(A107)))</f>
        <v/>
      </c>
      <c r="D107" s="12">
        <f>IF(C107="","",C107*(1+B107/100))</f>
        <v/>
      </c>
      <c r="E107" s="12">
        <f>IF(A107="","",$B$10*TAN(RADIANS(A107)))</f>
        <v/>
      </c>
      <c r="G107" s="8" t="n">
        <v>89</v>
      </c>
      <c r="H107" s="8">
        <f>$K$6</f>
        <v/>
      </c>
      <c r="I107" s="7" t="inlineStr">
        <is>
          <t>橫</t>
        </is>
      </c>
      <c r="J107" s="8" t="n">
        <v>3</v>
      </c>
      <c r="K107" s="7" t="inlineStr">
        <is>
          <t>左上</t>
        </is>
      </c>
      <c r="L107" s="8">
        <f>$O$6-($M$6+$L$6)/2+(-1)*$M$6/2</f>
        <v/>
      </c>
      <c r="M107" s="8">
        <f>$P$6-$M$6/2+$L$6/2+2*2*$L$6+(-1)*$L$6/2</f>
        <v/>
      </c>
      <c r="N107" s="8">
        <f>L107-$B$7/2</f>
        <v/>
      </c>
      <c r="O107" s="8">
        <f>M107-$B$8/2</f>
        <v/>
      </c>
      <c r="P107" s="8">
        <f>SQRT(N107^2+O107^2)</f>
        <v/>
      </c>
      <c r="Q107" s="8">
        <f>IF(OR($H$7&lt;&gt;"OK",P107=""),"",IF(P107&lt;=$D$19,$A$19,IF(P107&gt;=INDEX($D$19:$D$2018,$H$6),INDEX($A$19:$A$2018,$H$6),INDEX($A$19:$A$2018,MATCH(P107,$D$19:INDEX($D$19:$D$2018,$H$6),1))+(P107-INDEX($D$19:$D$2018,MATCH(P107,$D$19:INDEX($D$19:$D$2018,$H$6),1)))*(INDEX($A$19:$A$2018,MATCH(P107,$D$19:INDEX($D$19:$D$2018,$H$6),1)+1)-INDEX($A$19:$A$2018,MATCH(P107,$D$19:INDEX($D$19:$D$2018,$H$6),1)))/(INDEX($D$19:$D$2018,MATCH(P107,$D$19:INDEX($D$19:$D$2018,$H$6),1)+1)-INDEX($D$19:$D$2018,MATCH(P107,$D$19:INDEX($D$19:$D$2018,$H$6),1))))))</f>
        <v/>
      </c>
      <c r="R107" s="8">
        <f>IF(P107=0,0,-Y107*N107/P107)</f>
        <v/>
      </c>
      <c r="S107" s="8">
        <f>IF(P107=0,0,Y107*O107/P107)</f>
        <v/>
      </c>
      <c r="T107" s="8">
        <f>IF(Y107=0,$B$7/2,$B$7/2-Z107*R107/Y107)</f>
        <v/>
      </c>
      <c r="U107" s="8">
        <f>IF(Y107=0,$B$8/2,$B$8/2+Z107*S107/Y107)</f>
        <v/>
      </c>
      <c r="V107" s="8">
        <f>SQRT((T107-L107)^2+(U107-M107)^2)</f>
        <v/>
      </c>
      <c r="Y107">
        <f>$B$10*TAN(RADIANS(Q107))</f>
        <v/>
      </c>
      <c r="Z107">
        <f>IF(OR($H$7&lt;&gt;"OK",Q107=""),"",IF(Q107&lt;=$A$19,$D$19,IF(Q107&gt;=INDEX($A$19:$A$2018,$H$6),INDEX($D$19:$D$2018,$H$6),INDEX($D$19:$D$2018,MATCH(Q107,$A$19:INDEX($A$19:$A$2018,$H$6),1))+(Q107-INDEX($A$19:$A$2018,MATCH(Q107,$A$19:INDEX($A$19:$A$2018,$H$6),1)))*(INDEX($D$19:$D$2018,MATCH(Q107,$A$19:INDEX($A$19:$A$2018,$H$6),1)+1)-INDEX($D$19:$D$2018,MATCH(Q107,$A$19:INDEX($A$19:$A$2018,$H$6),1)))/(INDEX($A$19:$A$2018,MATCH(Q107,$A$19:INDEX($A$19:$A$2018,$H$6),1)+1)-INDEX($A$19:$A$2018,MATCH(Q107,$A$19:INDEX($A$19:$A$2018,$H$6),1))))))</f>
        <v/>
      </c>
    </row>
    <row r="108">
      <c r="A108" s="11" t="n"/>
      <c r="B108" s="11" t="n"/>
      <c r="C108" s="12">
        <f>IF(A108="","",$B$9*TAN(RADIANS(A108)))</f>
        <v/>
      </c>
      <c r="D108" s="12">
        <f>IF(C108="","",C108*(1+B108/100))</f>
        <v/>
      </c>
      <c r="E108" s="12">
        <f>IF(A108="","",$B$10*TAN(RADIANS(A108)))</f>
        <v/>
      </c>
      <c r="G108" s="8" t="n">
        <v>90</v>
      </c>
      <c r="H108" s="8">
        <f>$K$6</f>
        <v/>
      </c>
      <c r="I108" s="7" t="inlineStr">
        <is>
          <t>橫</t>
        </is>
      </c>
      <c r="J108" s="8" t="n">
        <v>3</v>
      </c>
      <c r="K108" s="7" t="inlineStr">
        <is>
          <t>右上</t>
        </is>
      </c>
      <c r="L108" s="8">
        <f>$O$6-($M$6+$L$6)/2+(1)*$M$6/2</f>
        <v/>
      </c>
      <c r="M108" s="8">
        <f>$P$6-$M$6/2+$L$6/2+2*2*$L$6+(-1)*$L$6/2</f>
        <v/>
      </c>
      <c r="N108" s="8">
        <f>L108-$B$7/2</f>
        <v/>
      </c>
      <c r="O108" s="8">
        <f>M108-$B$8/2</f>
        <v/>
      </c>
      <c r="P108" s="8">
        <f>SQRT(N108^2+O108^2)</f>
        <v/>
      </c>
      <c r="Q108" s="8">
        <f>IF(OR($H$7&lt;&gt;"OK",P108=""),"",IF(P108&lt;=$D$19,$A$19,IF(P108&gt;=INDEX($D$19:$D$2018,$H$6),INDEX($A$19:$A$2018,$H$6),INDEX($A$19:$A$2018,MATCH(P108,$D$19:INDEX($D$19:$D$2018,$H$6),1))+(P108-INDEX($D$19:$D$2018,MATCH(P108,$D$19:INDEX($D$19:$D$2018,$H$6),1)))*(INDEX($A$19:$A$2018,MATCH(P108,$D$19:INDEX($D$19:$D$2018,$H$6),1)+1)-INDEX($A$19:$A$2018,MATCH(P108,$D$19:INDEX($D$19:$D$2018,$H$6),1)))/(INDEX($D$19:$D$2018,MATCH(P108,$D$19:INDEX($D$19:$D$2018,$H$6),1)+1)-INDEX($D$19:$D$2018,MATCH(P108,$D$19:INDEX($D$19:$D$2018,$H$6),1))))))</f>
        <v/>
      </c>
      <c r="R108" s="8">
        <f>IF(P108=0,0,-Y108*N108/P108)</f>
        <v/>
      </c>
      <c r="S108" s="8">
        <f>IF(P108=0,0,Y108*O108/P108)</f>
        <v/>
      </c>
      <c r="T108" s="8">
        <f>IF(Y108=0,$B$7/2,$B$7/2-Z108*R108/Y108)</f>
        <v/>
      </c>
      <c r="U108" s="8">
        <f>IF(Y108=0,$B$8/2,$B$8/2+Z108*S108/Y108)</f>
        <v/>
      </c>
      <c r="V108" s="8">
        <f>SQRT((T108-L108)^2+(U108-M108)^2)</f>
        <v/>
      </c>
      <c r="Y108">
        <f>$B$10*TAN(RADIANS(Q108))</f>
        <v/>
      </c>
      <c r="Z108">
        <f>IF(OR($H$7&lt;&gt;"OK",Q108=""),"",IF(Q108&lt;=$A$19,$D$19,IF(Q108&gt;=INDEX($A$19:$A$2018,$H$6),INDEX($D$19:$D$2018,$H$6),INDEX($D$19:$D$2018,MATCH(Q108,$A$19:INDEX($A$19:$A$2018,$H$6),1))+(Q108-INDEX($A$19:$A$2018,MATCH(Q108,$A$19:INDEX($A$19:$A$2018,$H$6),1)))*(INDEX($D$19:$D$2018,MATCH(Q108,$A$19:INDEX($A$19:$A$2018,$H$6),1)+1)-INDEX($D$19:$D$2018,MATCH(Q108,$A$19:INDEX($A$19:$A$2018,$H$6),1)))/(INDEX($A$19:$A$2018,MATCH(Q108,$A$19:INDEX($A$19:$A$2018,$H$6),1)+1)-INDEX($A$19:$A$2018,MATCH(Q108,$A$19:INDEX($A$19:$A$2018,$H$6),1))))))</f>
        <v/>
      </c>
    </row>
    <row r="109">
      <c r="A109" s="11" t="n"/>
      <c r="B109" s="11" t="n"/>
      <c r="C109" s="12">
        <f>IF(A109="","",$B$9*TAN(RADIANS(A109)))</f>
        <v/>
      </c>
      <c r="D109" s="12">
        <f>IF(C109="","",C109*(1+B109/100))</f>
        <v/>
      </c>
      <c r="E109" s="12">
        <f>IF(A109="","",$B$10*TAN(RADIANS(A109)))</f>
        <v/>
      </c>
      <c r="G109" s="8" t="n">
        <v>91</v>
      </c>
      <c r="H109" s="8">
        <f>$K$6</f>
        <v/>
      </c>
      <c r="I109" s="7" t="inlineStr">
        <is>
          <t>橫</t>
        </is>
      </c>
      <c r="J109" s="8" t="n">
        <v>3</v>
      </c>
      <c r="K109" s="7" t="inlineStr">
        <is>
          <t>右下</t>
        </is>
      </c>
      <c r="L109" s="8">
        <f>$O$6-($M$6+$L$6)/2+(1)*$M$6/2</f>
        <v/>
      </c>
      <c r="M109" s="8">
        <f>$P$6-$M$6/2+$L$6/2+2*2*$L$6+(1)*$L$6/2</f>
        <v/>
      </c>
      <c r="N109" s="8">
        <f>L109-$B$7/2</f>
        <v/>
      </c>
      <c r="O109" s="8">
        <f>M109-$B$8/2</f>
        <v/>
      </c>
      <c r="P109" s="8">
        <f>SQRT(N109^2+O109^2)</f>
        <v/>
      </c>
      <c r="Q109" s="8">
        <f>IF(OR($H$7&lt;&gt;"OK",P109=""),"",IF(P109&lt;=$D$19,$A$19,IF(P109&gt;=INDEX($D$19:$D$2018,$H$6),INDEX($A$19:$A$2018,$H$6),INDEX($A$19:$A$2018,MATCH(P109,$D$19:INDEX($D$19:$D$2018,$H$6),1))+(P109-INDEX($D$19:$D$2018,MATCH(P109,$D$19:INDEX($D$19:$D$2018,$H$6),1)))*(INDEX($A$19:$A$2018,MATCH(P109,$D$19:INDEX($D$19:$D$2018,$H$6),1)+1)-INDEX($A$19:$A$2018,MATCH(P109,$D$19:INDEX($D$19:$D$2018,$H$6),1)))/(INDEX($D$19:$D$2018,MATCH(P109,$D$19:INDEX($D$19:$D$2018,$H$6),1)+1)-INDEX($D$19:$D$2018,MATCH(P109,$D$19:INDEX($D$19:$D$2018,$H$6),1))))))</f>
        <v/>
      </c>
      <c r="R109" s="8">
        <f>IF(P109=0,0,-Y109*N109/P109)</f>
        <v/>
      </c>
      <c r="S109" s="8">
        <f>IF(P109=0,0,Y109*O109/P109)</f>
        <v/>
      </c>
      <c r="T109" s="8">
        <f>IF(Y109=0,$B$7/2,$B$7/2-Z109*R109/Y109)</f>
        <v/>
      </c>
      <c r="U109" s="8">
        <f>IF(Y109=0,$B$8/2,$B$8/2+Z109*S109/Y109)</f>
        <v/>
      </c>
      <c r="V109" s="8">
        <f>SQRT((T109-L109)^2+(U109-M109)^2)</f>
        <v/>
      </c>
      <c r="Y109">
        <f>$B$10*TAN(RADIANS(Q109))</f>
        <v/>
      </c>
      <c r="Z109">
        <f>IF(OR($H$7&lt;&gt;"OK",Q109=""),"",IF(Q109&lt;=$A$19,$D$19,IF(Q109&gt;=INDEX($A$19:$A$2018,$H$6),INDEX($D$19:$D$2018,$H$6),INDEX($D$19:$D$2018,MATCH(Q109,$A$19:INDEX($A$19:$A$2018,$H$6),1))+(Q109-INDEX($A$19:$A$2018,MATCH(Q109,$A$19:INDEX($A$19:$A$2018,$H$6),1)))*(INDEX($D$19:$D$2018,MATCH(Q109,$A$19:INDEX($A$19:$A$2018,$H$6),1)+1)-INDEX($D$19:$D$2018,MATCH(Q109,$A$19:INDEX($A$19:$A$2018,$H$6),1)))/(INDEX($A$19:$A$2018,MATCH(Q109,$A$19:INDEX($A$19:$A$2018,$H$6),1)+1)-INDEX($A$19:$A$2018,MATCH(Q109,$A$19:INDEX($A$19:$A$2018,$H$6),1))))))</f>
        <v/>
      </c>
    </row>
    <row r="110">
      <c r="A110" s="11" t="n"/>
      <c r="B110" s="11" t="n"/>
      <c r="C110" s="12">
        <f>IF(A110="","",$B$9*TAN(RADIANS(A110)))</f>
        <v/>
      </c>
      <c r="D110" s="12">
        <f>IF(C110="","",C110*(1+B110/100))</f>
        <v/>
      </c>
      <c r="E110" s="12">
        <f>IF(A110="","",$B$10*TAN(RADIANS(A110)))</f>
        <v/>
      </c>
      <c r="G110" s="8" t="n">
        <v>92</v>
      </c>
      <c r="H110" s="8">
        <f>$K$6</f>
        <v/>
      </c>
      <c r="I110" s="7" t="inlineStr">
        <is>
          <t>橫</t>
        </is>
      </c>
      <c r="J110" s="8" t="n">
        <v>3</v>
      </c>
      <c r="K110" s="7" t="inlineStr">
        <is>
          <t>左下</t>
        </is>
      </c>
      <c r="L110" s="8">
        <f>$O$6-($M$6+$L$6)/2+(-1)*$M$6/2</f>
        <v/>
      </c>
      <c r="M110" s="8">
        <f>$P$6-$M$6/2+$L$6/2+2*2*$L$6+(1)*$L$6/2</f>
        <v/>
      </c>
      <c r="N110" s="8">
        <f>L110-$B$7/2</f>
        <v/>
      </c>
      <c r="O110" s="8">
        <f>M110-$B$8/2</f>
        <v/>
      </c>
      <c r="P110" s="8">
        <f>SQRT(N110^2+O110^2)</f>
        <v/>
      </c>
      <c r="Q110" s="8">
        <f>IF(OR($H$7&lt;&gt;"OK",P110=""),"",IF(P110&lt;=$D$19,$A$19,IF(P110&gt;=INDEX($D$19:$D$2018,$H$6),INDEX($A$19:$A$2018,$H$6),INDEX($A$19:$A$2018,MATCH(P110,$D$19:INDEX($D$19:$D$2018,$H$6),1))+(P110-INDEX($D$19:$D$2018,MATCH(P110,$D$19:INDEX($D$19:$D$2018,$H$6),1)))*(INDEX($A$19:$A$2018,MATCH(P110,$D$19:INDEX($D$19:$D$2018,$H$6),1)+1)-INDEX($A$19:$A$2018,MATCH(P110,$D$19:INDEX($D$19:$D$2018,$H$6),1)))/(INDEX($D$19:$D$2018,MATCH(P110,$D$19:INDEX($D$19:$D$2018,$H$6),1)+1)-INDEX($D$19:$D$2018,MATCH(P110,$D$19:INDEX($D$19:$D$2018,$H$6),1))))))</f>
        <v/>
      </c>
      <c r="R110" s="8">
        <f>IF(P110=0,0,-Y110*N110/P110)</f>
        <v/>
      </c>
      <c r="S110" s="8">
        <f>IF(P110=0,0,Y110*O110/P110)</f>
        <v/>
      </c>
      <c r="T110" s="8">
        <f>IF(Y110=0,$B$7/2,$B$7/2-Z110*R110/Y110)</f>
        <v/>
      </c>
      <c r="U110" s="8">
        <f>IF(Y110=0,$B$8/2,$B$8/2+Z110*S110/Y110)</f>
        <v/>
      </c>
      <c r="V110" s="8">
        <f>SQRT((T110-L110)^2+(U110-M110)^2)</f>
        <v/>
      </c>
      <c r="Y110">
        <f>$B$10*TAN(RADIANS(Q110))</f>
        <v/>
      </c>
      <c r="Z110">
        <f>IF(OR($H$7&lt;&gt;"OK",Q110=""),"",IF(Q110&lt;=$A$19,$D$19,IF(Q110&gt;=INDEX($A$19:$A$2018,$H$6),INDEX($D$19:$D$2018,$H$6),INDEX($D$19:$D$2018,MATCH(Q110,$A$19:INDEX($A$19:$A$2018,$H$6),1))+(Q110-INDEX($A$19:$A$2018,MATCH(Q110,$A$19:INDEX($A$19:$A$2018,$H$6),1)))*(INDEX($D$19:$D$2018,MATCH(Q110,$A$19:INDEX($A$19:$A$2018,$H$6),1)+1)-INDEX($D$19:$D$2018,MATCH(Q110,$A$19:INDEX($A$19:$A$2018,$H$6),1)))/(INDEX($A$19:$A$2018,MATCH(Q110,$A$19:INDEX($A$19:$A$2018,$H$6),1)+1)-INDEX($A$19:$A$2018,MATCH(Q110,$A$19:INDEX($A$19:$A$2018,$H$6),1))))))</f>
        <v/>
      </c>
    </row>
    <row r="111">
      <c r="A111" s="11" t="n"/>
      <c r="B111" s="11" t="n"/>
      <c r="C111" s="12">
        <f>IF(A111="","",$B$9*TAN(RADIANS(A111)))</f>
        <v/>
      </c>
      <c r="D111" s="12">
        <f>IF(C111="","",C111*(1+B111/100))</f>
        <v/>
      </c>
      <c r="E111" s="12">
        <f>IF(A111="","",$B$10*TAN(RADIANS(A111)))</f>
        <v/>
      </c>
      <c r="G111" s="8" t="n">
        <v>93</v>
      </c>
      <c r="H111" s="8">
        <f>$K$6</f>
        <v/>
      </c>
      <c r="I111" s="7" t="inlineStr">
        <is>
          <t>橫</t>
        </is>
      </c>
      <c r="J111" s="8" t="n">
        <v>4</v>
      </c>
      <c r="K111" s="7" t="inlineStr">
        <is>
          <t>左上</t>
        </is>
      </c>
      <c r="L111" s="8">
        <f>$O$6-($M$6+$L$6)/2+(-1)*$M$6/2</f>
        <v/>
      </c>
      <c r="M111" s="8">
        <f>$P$6-$M$6/2+$L$6/2+3*2*$L$6+(-1)*$L$6/2</f>
        <v/>
      </c>
      <c r="N111" s="8">
        <f>L111-$B$7/2</f>
        <v/>
      </c>
      <c r="O111" s="8">
        <f>M111-$B$8/2</f>
        <v/>
      </c>
      <c r="P111" s="8">
        <f>SQRT(N111^2+O111^2)</f>
        <v/>
      </c>
      <c r="Q111" s="8">
        <f>IF(OR($H$7&lt;&gt;"OK",P111=""),"",IF(P111&lt;=$D$19,$A$19,IF(P111&gt;=INDEX($D$19:$D$2018,$H$6),INDEX($A$19:$A$2018,$H$6),INDEX($A$19:$A$2018,MATCH(P111,$D$19:INDEX($D$19:$D$2018,$H$6),1))+(P111-INDEX($D$19:$D$2018,MATCH(P111,$D$19:INDEX($D$19:$D$2018,$H$6),1)))*(INDEX($A$19:$A$2018,MATCH(P111,$D$19:INDEX($D$19:$D$2018,$H$6),1)+1)-INDEX($A$19:$A$2018,MATCH(P111,$D$19:INDEX($D$19:$D$2018,$H$6),1)))/(INDEX($D$19:$D$2018,MATCH(P111,$D$19:INDEX($D$19:$D$2018,$H$6),1)+1)-INDEX($D$19:$D$2018,MATCH(P111,$D$19:INDEX($D$19:$D$2018,$H$6),1))))))</f>
        <v/>
      </c>
      <c r="R111" s="8">
        <f>IF(P111=0,0,-Y111*N111/P111)</f>
        <v/>
      </c>
      <c r="S111" s="8">
        <f>IF(P111=0,0,Y111*O111/P111)</f>
        <v/>
      </c>
      <c r="T111" s="8">
        <f>IF(Y111=0,$B$7/2,$B$7/2-Z111*R111/Y111)</f>
        <v/>
      </c>
      <c r="U111" s="8">
        <f>IF(Y111=0,$B$8/2,$B$8/2+Z111*S111/Y111)</f>
        <v/>
      </c>
      <c r="V111" s="8">
        <f>SQRT((T111-L111)^2+(U111-M111)^2)</f>
        <v/>
      </c>
      <c r="Y111">
        <f>$B$10*TAN(RADIANS(Q111))</f>
        <v/>
      </c>
      <c r="Z111">
        <f>IF(OR($H$7&lt;&gt;"OK",Q111=""),"",IF(Q111&lt;=$A$19,$D$19,IF(Q111&gt;=INDEX($A$19:$A$2018,$H$6),INDEX($D$19:$D$2018,$H$6),INDEX($D$19:$D$2018,MATCH(Q111,$A$19:INDEX($A$19:$A$2018,$H$6),1))+(Q111-INDEX($A$19:$A$2018,MATCH(Q111,$A$19:INDEX($A$19:$A$2018,$H$6),1)))*(INDEX($D$19:$D$2018,MATCH(Q111,$A$19:INDEX($A$19:$A$2018,$H$6),1)+1)-INDEX($D$19:$D$2018,MATCH(Q111,$A$19:INDEX($A$19:$A$2018,$H$6),1)))/(INDEX($A$19:$A$2018,MATCH(Q111,$A$19:INDEX($A$19:$A$2018,$H$6),1)+1)-INDEX($A$19:$A$2018,MATCH(Q111,$A$19:INDEX($A$19:$A$2018,$H$6),1))))))</f>
        <v/>
      </c>
    </row>
    <row r="112">
      <c r="A112" s="11" t="n"/>
      <c r="B112" s="11" t="n"/>
      <c r="C112" s="12">
        <f>IF(A112="","",$B$9*TAN(RADIANS(A112)))</f>
        <v/>
      </c>
      <c r="D112" s="12">
        <f>IF(C112="","",C112*(1+B112/100))</f>
        <v/>
      </c>
      <c r="E112" s="12">
        <f>IF(A112="","",$B$10*TAN(RADIANS(A112)))</f>
        <v/>
      </c>
      <c r="G112" s="8" t="n">
        <v>94</v>
      </c>
      <c r="H112" s="8">
        <f>$K$6</f>
        <v/>
      </c>
      <c r="I112" s="7" t="inlineStr">
        <is>
          <t>橫</t>
        </is>
      </c>
      <c r="J112" s="8" t="n">
        <v>4</v>
      </c>
      <c r="K112" s="7" t="inlineStr">
        <is>
          <t>右上</t>
        </is>
      </c>
      <c r="L112" s="8">
        <f>$O$6-($M$6+$L$6)/2+(1)*$M$6/2</f>
        <v/>
      </c>
      <c r="M112" s="8">
        <f>$P$6-$M$6/2+$L$6/2+3*2*$L$6+(-1)*$L$6/2</f>
        <v/>
      </c>
      <c r="N112" s="8">
        <f>L112-$B$7/2</f>
        <v/>
      </c>
      <c r="O112" s="8">
        <f>M112-$B$8/2</f>
        <v/>
      </c>
      <c r="P112" s="8">
        <f>SQRT(N112^2+O112^2)</f>
        <v/>
      </c>
      <c r="Q112" s="8">
        <f>IF(OR($H$7&lt;&gt;"OK",P112=""),"",IF(P112&lt;=$D$19,$A$19,IF(P112&gt;=INDEX($D$19:$D$2018,$H$6),INDEX($A$19:$A$2018,$H$6),INDEX($A$19:$A$2018,MATCH(P112,$D$19:INDEX($D$19:$D$2018,$H$6),1))+(P112-INDEX($D$19:$D$2018,MATCH(P112,$D$19:INDEX($D$19:$D$2018,$H$6),1)))*(INDEX($A$19:$A$2018,MATCH(P112,$D$19:INDEX($D$19:$D$2018,$H$6),1)+1)-INDEX($A$19:$A$2018,MATCH(P112,$D$19:INDEX($D$19:$D$2018,$H$6),1)))/(INDEX($D$19:$D$2018,MATCH(P112,$D$19:INDEX($D$19:$D$2018,$H$6),1)+1)-INDEX($D$19:$D$2018,MATCH(P112,$D$19:INDEX($D$19:$D$2018,$H$6),1))))))</f>
        <v/>
      </c>
      <c r="R112" s="8">
        <f>IF(P112=0,0,-Y112*N112/P112)</f>
        <v/>
      </c>
      <c r="S112" s="8">
        <f>IF(P112=0,0,Y112*O112/P112)</f>
        <v/>
      </c>
      <c r="T112" s="8">
        <f>IF(Y112=0,$B$7/2,$B$7/2-Z112*R112/Y112)</f>
        <v/>
      </c>
      <c r="U112" s="8">
        <f>IF(Y112=0,$B$8/2,$B$8/2+Z112*S112/Y112)</f>
        <v/>
      </c>
      <c r="V112" s="8">
        <f>SQRT((T112-L112)^2+(U112-M112)^2)</f>
        <v/>
      </c>
      <c r="Y112">
        <f>$B$10*TAN(RADIANS(Q112))</f>
        <v/>
      </c>
      <c r="Z112">
        <f>IF(OR($H$7&lt;&gt;"OK",Q112=""),"",IF(Q112&lt;=$A$19,$D$19,IF(Q112&gt;=INDEX($A$19:$A$2018,$H$6),INDEX($D$19:$D$2018,$H$6),INDEX($D$19:$D$2018,MATCH(Q112,$A$19:INDEX($A$19:$A$2018,$H$6),1))+(Q112-INDEX($A$19:$A$2018,MATCH(Q112,$A$19:INDEX($A$19:$A$2018,$H$6),1)))*(INDEX($D$19:$D$2018,MATCH(Q112,$A$19:INDEX($A$19:$A$2018,$H$6),1)+1)-INDEX($D$19:$D$2018,MATCH(Q112,$A$19:INDEX($A$19:$A$2018,$H$6),1)))/(INDEX($A$19:$A$2018,MATCH(Q112,$A$19:INDEX($A$19:$A$2018,$H$6),1)+1)-INDEX($A$19:$A$2018,MATCH(Q112,$A$19:INDEX($A$19:$A$2018,$H$6),1))))))</f>
        <v/>
      </c>
    </row>
    <row r="113">
      <c r="A113" s="11" t="n"/>
      <c r="B113" s="11" t="n"/>
      <c r="C113" s="12">
        <f>IF(A113="","",$B$9*TAN(RADIANS(A113)))</f>
        <v/>
      </c>
      <c r="D113" s="12">
        <f>IF(C113="","",C113*(1+B113/100))</f>
        <v/>
      </c>
      <c r="E113" s="12">
        <f>IF(A113="","",$B$10*TAN(RADIANS(A113)))</f>
        <v/>
      </c>
      <c r="G113" s="8" t="n">
        <v>95</v>
      </c>
      <c r="H113" s="8">
        <f>$K$6</f>
        <v/>
      </c>
      <c r="I113" s="7" t="inlineStr">
        <is>
          <t>橫</t>
        </is>
      </c>
      <c r="J113" s="8" t="n">
        <v>4</v>
      </c>
      <c r="K113" s="7" t="inlineStr">
        <is>
          <t>右下</t>
        </is>
      </c>
      <c r="L113" s="8">
        <f>$O$6-($M$6+$L$6)/2+(1)*$M$6/2</f>
        <v/>
      </c>
      <c r="M113" s="8">
        <f>$P$6-$M$6/2+$L$6/2+3*2*$L$6+(1)*$L$6/2</f>
        <v/>
      </c>
      <c r="N113" s="8">
        <f>L113-$B$7/2</f>
        <v/>
      </c>
      <c r="O113" s="8">
        <f>M113-$B$8/2</f>
        <v/>
      </c>
      <c r="P113" s="8">
        <f>SQRT(N113^2+O113^2)</f>
        <v/>
      </c>
      <c r="Q113" s="8">
        <f>IF(OR($H$7&lt;&gt;"OK",P113=""),"",IF(P113&lt;=$D$19,$A$19,IF(P113&gt;=INDEX($D$19:$D$2018,$H$6),INDEX($A$19:$A$2018,$H$6),INDEX($A$19:$A$2018,MATCH(P113,$D$19:INDEX($D$19:$D$2018,$H$6),1))+(P113-INDEX($D$19:$D$2018,MATCH(P113,$D$19:INDEX($D$19:$D$2018,$H$6),1)))*(INDEX($A$19:$A$2018,MATCH(P113,$D$19:INDEX($D$19:$D$2018,$H$6),1)+1)-INDEX($A$19:$A$2018,MATCH(P113,$D$19:INDEX($D$19:$D$2018,$H$6),1)))/(INDEX($D$19:$D$2018,MATCH(P113,$D$19:INDEX($D$19:$D$2018,$H$6),1)+1)-INDEX($D$19:$D$2018,MATCH(P113,$D$19:INDEX($D$19:$D$2018,$H$6),1))))))</f>
        <v/>
      </c>
      <c r="R113" s="8">
        <f>IF(P113=0,0,-Y113*N113/P113)</f>
        <v/>
      </c>
      <c r="S113" s="8">
        <f>IF(P113=0,0,Y113*O113/P113)</f>
        <v/>
      </c>
      <c r="T113" s="8">
        <f>IF(Y113=0,$B$7/2,$B$7/2-Z113*R113/Y113)</f>
        <v/>
      </c>
      <c r="U113" s="8">
        <f>IF(Y113=0,$B$8/2,$B$8/2+Z113*S113/Y113)</f>
        <v/>
      </c>
      <c r="V113" s="8">
        <f>SQRT((T113-L113)^2+(U113-M113)^2)</f>
        <v/>
      </c>
      <c r="Y113">
        <f>$B$10*TAN(RADIANS(Q113))</f>
        <v/>
      </c>
      <c r="Z113">
        <f>IF(OR($H$7&lt;&gt;"OK",Q113=""),"",IF(Q113&lt;=$A$19,$D$19,IF(Q113&gt;=INDEX($A$19:$A$2018,$H$6),INDEX($D$19:$D$2018,$H$6),INDEX($D$19:$D$2018,MATCH(Q113,$A$19:INDEX($A$19:$A$2018,$H$6),1))+(Q113-INDEX($A$19:$A$2018,MATCH(Q113,$A$19:INDEX($A$19:$A$2018,$H$6),1)))*(INDEX($D$19:$D$2018,MATCH(Q113,$A$19:INDEX($A$19:$A$2018,$H$6),1)+1)-INDEX($D$19:$D$2018,MATCH(Q113,$A$19:INDEX($A$19:$A$2018,$H$6),1)))/(INDEX($A$19:$A$2018,MATCH(Q113,$A$19:INDEX($A$19:$A$2018,$H$6),1)+1)-INDEX($A$19:$A$2018,MATCH(Q113,$A$19:INDEX($A$19:$A$2018,$H$6),1))))))</f>
        <v/>
      </c>
    </row>
    <row r="114">
      <c r="A114" s="11" t="n"/>
      <c r="B114" s="11" t="n"/>
      <c r="C114" s="12">
        <f>IF(A114="","",$B$9*TAN(RADIANS(A114)))</f>
        <v/>
      </c>
      <c r="D114" s="12">
        <f>IF(C114="","",C114*(1+B114/100))</f>
        <v/>
      </c>
      <c r="E114" s="12">
        <f>IF(A114="","",$B$10*TAN(RADIANS(A114)))</f>
        <v/>
      </c>
      <c r="G114" s="8" t="n">
        <v>96</v>
      </c>
      <c r="H114" s="8">
        <f>$K$6</f>
        <v/>
      </c>
      <c r="I114" s="7" t="inlineStr">
        <is>
          <t>橫</t>
        </is>
      </c>
      <c r="J114" s="8" t="n">
        <v>4</v>
      </c>
      <c r="K114" s="7" t="inlineStr">
        <is>
          <t>左下</t>
        </is>
      </c>
      <c r="L114" s="8">
        <f>$O$6-($M$6+$L$6)/2+(-1)*$M$6/2</f>
        <v/>
      </c>
      <c r="M114" s="8">
        <f>$P$6-$M$6/2+$L$6/2+3*2*$L$6+(1)*$L$6/2</f>
        <v/>
      </c>
      <c r="N114" s="8">
        <f>L114-$B$7/2</f>
        <v/>
      </c>
      <c r="O114" s="8">
        <f>M114-$B$8/2</f>
        <v/>
      </c>
      <c r="P114" s="8">
        <f>SQRT(N114^2+O114^2)</f>
        <v/>
      </c>
      <c r="Q114" s="8">
        <f>IF(OR($H$7&lt;&gt;"OK",P114=""),"",IF(P114&lt;=$D$19,$A$19,IF(P114&gt;=INDEX($D$19:$D$2018,$H$6),INDEX($A$19:$A$2018,$H$6),INDEX($A$19:$A$2018,MATCH(P114,$D$19:INDEX($D$19:$D$2018,$H$6),1))+(P114-INDEX($D$19:$D$2018,MATCH(P114,$D$19:INDEX($D$19:$D$2018,$H$6),1)))*(INDEX($A$19:$A$2018,MATCH(P114,$D$19:INDEX($D$19:$D$2018,$H$6),1)+1)-INDEX($A$19:$A$2018,MATCH(P114,$D$19:INDEX($D$19:$D$2018,$H$6),1)))/(INDEX($D$19:$D$2018,MATCH(P114,$D$19:INDEX($D$19:$D$2018,$H$6),1)+1)-INDEX($D$19:$D$2018,MATCH(P114,$D$19:INDEX($D$19:$D$2018,$H$6),1))))))</f>
        <v/>
      </c>
      <c r="R114" s="8">
        <f>IF(P114=0,0,-Y114*N114/P114)</f>
        <v/>
      </c>
      <c r="S114" s="8">
        <f>IF(P114=0,0,Y114*O114/P114)</f>
        <v/>
      </c>
      <c r="T114" s="8">
        <f>IF(Y114=0,$B$7/2,$B$7/2-Z114*R114/Y114)</f>
        <v/>
      </c>
      <c r="U114" s="8">
        <f>IF(Y114=0,$B$8/2,$B$8/2+Z114*S114/Y114)</f>
        <v/>
      </c>
      <c r="V114" s="8">
        <f>SQRT((T114-L114)^2+(U114-M114)^2)</f>
        <v/>
      </c>
      <c r="Y114">
        <f>$B$10*TAN(RADIANS(Q114))</f>
        <v/>
      </c>
      <c r="Z114">
        <f>IF(OR($H$7&lt;&gt;"OK",Q114=""),"",IF(Q114&lt;=$A$19,$D$19,IF(Q114&gt;=INDEX($A$19:$A$2018,$H$6),INDEX($D$19:$D$2018,$H$6),INDEX($D$19:$D$2018,MATCH(Q114,$A$19:INDEX($A$19:$A$2018,$H$6),1))+(Q114-INDEX($A$19:$A$2018,MATCH(Q114,$A$19:INDEX($A$19:$A$2018,$H$6),1)))*(INDEX($D$19:$D$2018,MATCH(Q114,$A$19:INDEX($A$19:$A$2018,$H$6),1)+1)-INDEX($D$19:$D$2018,MATCH(Q114,$A$19:INDEX($A$19:$A$2018,$H$6),1)))/(INDEX($A$19:$A$2018,MATCH(Q114,$A$19:INDEX($A$19:$A$2018,$H$6),1)+1)-INDEX($A$19:$A$2018,MATCH(Q114,$A$19:INDEX($A$19:$A$2018,$H$6),1))))))</f>
        <v/>
      </c>
    </row>
    <row r="115">
      <c r="A115" s="11" t="n"/>
      <c r="B115" s="11" t="n"/>
      <c r="C115" s="12">
        <f>IF(A115="","",$B$9*TAN(RADIANS(A115)))</f>
        <v/>
      </c>
      <c r="D115" s="12">
        <f>IF(C115="","",C115*(1+B115/100))</f>
        <v/>
      </c>
      <c r="E115" s="12">
        <f>IF(A115="","",$B$10*TAN(RADIANS(A115)))</f>
        <v/>
      </c>
      <c r="G115" s="8" t="n">
        <v>97</v>
      </c>
      <c r="H115" s="8">
        <f>$K$6</f>
        <v/>
      </c>
      <c r="I115" s="7" t="inlineStr">
        <is>
          <t>橫</t>
        </is>
      </c>
      <c r="J115" s="8" t="n">
        <v>5</v>
      </c>
      <c r="K115" s="7" t="inlineStr">
        <is>
          <t>左上</t>
        </is>
      </c>
      <c r="L115" s="8">
        <f>$O$6-($M$6+$L$6)/2+(-1)*$M$6/2</f>
        <v/>
      </c>
      <c r="M115" s="8">
        <f>$P$6-$M$6/2+$L$6/2+4*2*$L$6+(-1)*$L$6/2</f>
        <v/>
      </c>
      <c r="N115" s="8">
        <f>L115-$B$7/2</f>
        <v/>
      </c>
      <c r="O115" s="8">
        <f>M115-$B$8/2</f>
        <v/>
      </c>
      <c r="P115" s="8">
        <f>SQRT(N115^2+O115^2)</f>
        <v/>
      </c>
      <c r="Q115" s="8">
        <f>IF(OR($H$7&lt;&gt;"OK",P115=""),"",IF(P115&lt;=$D$19,$A$19,IF(P115&gt;=INDEX($D$19:$D$2018,$H$6),INDEX($A$19:$A$2018,$H$6),INDEX($A$19:$A$2018,MATCH(P115,$D$19:INDEX($D$19:$D$2018,$H$6),1))+(P115-INDEX($D$19:$D$2018,MATCH(P115,$D$19:INDEX($D$19:$D$2018,$H$6),1)))*(INDEX($A$19:$A$2018,MATCH(P115,$D$19:INDEX($D$19:$D$2018,$H$6),1)+1)-INDEX($A$19:$A$2018,MATCH(P115,$D$19:INDEX($D$19:$D$2018,$H$6),1)))/(INDEX($D$19:$D$2018,MATCH(P115,$D$19:INDEX($D$19:$D$2018,$H$6),1)+1)-INDEX($D$19:$D$2018,MATCH(P115,$D$19:INDEX($D$19:$D$2018,$H$6),1))))))</f>
        <v/>
      </c>
      <c r="R115" s="8">
        <f>IF(P115=0,0,-Y115*N115/P115)</f>
        <v/>
      </c>
      <c r="S115" s="8">
        <f>IF(P115=0,0,Y115*O115/P115)</f>
        <v/>
      </c>
      <c r="T115" s="8">
        <f>IF(Y115=0,$B$7/2,$B$7/2-Z115*R115/Y115)</f>
        <v/>
      </c>
      <c r="U115" s="8">
        <f>IF(Y115=0,$B$8/2,$B$8/2+Z115*S115/Y115)</f>
        <v/>
      </c>
      <c r="V115" s="8">
        <f>SQRT((T115-L115)^2+(U115-M115)^2)</f>
        <v/>
      </c>
      <c r="Y115">
        <f>$B$10*TAN(RADIANS(Q115))</f>
        <v/>
      </c>
      <c r="Z115">
        <f>IF(OR($H$7&lt;&gt;"OK",Q115=""),"",IF(Q115&lt;=$A$19,$D$19,IF(Q115&gt;=INDEX($A$19:$A$2018,$H$6),INDEX($D$19:$D$2018,$H$6),INDEX($D$19:$D$2018,MATCH(Q115,$A$19:INDEX($A$19:$A$2018,$H$6),1))+(Q115-INDEX($A$19:$A$2018,MATCH(Q115,$A$19:INDEX($A$19:$A$2018,$H$6),1)))*(INDEX($D$19:$D$2018,MATCH(Q115,$A$19:INDEX($A$19:$A$2018,$H$6),1)+1)-INDEX($D$19:$D$2018,MATCH(Q115,$A$19:INDEX($A$19:$A$2018,$H$6),1)))/(INDEX($A$19:$A$2018,MATCH(Q115,$A$19:INDEX($A$19:$A$2018,$H$6),1)+1)-INDEX($A$19:$A$2018,MATCH(Q115,$A$19:INDEX($A$19:$A$2018,$H$6),1))))))</f>
        <v/>
      </c>
    </row>
    <row r="116">
      <c r="A116" s="11" t="n"/>
      <c r="B116" s="11" t="n"/>
      <c r="C116" s="12">
        <f>IF(A116="","",$B$9*TAN(RADIANS(A116)))</f>
        <v/>
      </c>
      <c r="D116" s="12">
        <f>IF(C116="","",C116*(1+B116/100))</f>
        <v/>
      </c>
      <c r="E116" s="12">
        <f>IF(A116="","",$B$10*TAN(RADIANS(A116)))</f>
        <v/>
      </c>
      <c r="G116" s="8" t="n">
        <v>98</v>
      </c>
      <c r="H116" s="8">
        <f>$K$6</f>
        <v/>
      </c>
      <c r="I116" s="7" t="inlineStr">
        <is>
          <t>橫</t>
        </is>
      </c>
      <c r="J116" s="8" t="n">
        <v>5</v>
      </c>
      <c r="K116" s="7" t="inlineStr">
        <is>
          <t>右上</t>
        </is>
      </c>
      <c r="L116" s="8">
        <f>$O$6-($M$6+$L$6)/2+(1)*$M$6/2</f>
        <v/>
      </c>
      <c r="M116" s="8">
        <f>$P$6-$M$6/2+$L$6/2+4*2*$L$6+(-1)*$L$6/2</f>
        <v/>
      </c>
      <c r="N116" s="8">
        <f>L116-$B$7/2</f>
        <v/>
      </c>
      <c r="O116" s="8">
        <f>M116-$B$8/2</f>
        <v/>
      </c>
      <c r="P116" s="8">
        <f>SQRT(N116^2+O116^2)</f>
        <v/>
      </c>
      <c r="Q116" s="8">
        <f>IF(OR($H$7&lt;&gt;"OK",P116=""),"",IF(P116&lt;=$D$19,$A$19,IF(P116&gt;=INDEX($D$19:$D$2018,$H$6),INDEX($A$19:$A$2018,$H$6),INDEX($A$19:$A$2018,MATCH(P116,$D$19:INDEX($D$19:$D$2018,$H$6),1))+(P116-INDEX($D$19:$D$2018,MATCH(P116,$D$19:INDEX($D$19:$D$2018,$H$6),1)))*(INDEX($A$19:$A$2018,MATCH(P116,$D$19:INDEX($D$19:$D$2018,$H$6),1)+1)-INDEX($A$19:$A$2018,MATCH(P116,$D$19:INDEX($D$19:$D$2018,$H$6),1)))/(INDEX($D$19:$D$2018,MATCH(P116,$D$19:INDEX($D$19:$D$2018,$H$6),1)+1)-INDEX($D$19:$D$2018,MATCH(P116,$D$19:INDEX($D$19:$D$2018,$H$6),1))))))</f>
        <v/>
      </c>
      <c r="R116" s="8">
        <f>IF(P116=0,0,-Y116*N116/P116)</f>
        <v/>
      </c>
      <c r="S116" s="8">
        <f>IF(P116=0,0,Y116*O116/P116)</f>
        <v/>
      </c>
      <c r="T116" s="8">
        <f>IF(Y116=0,$B$7/2,$B$7/2-Z116*R116/Y116)</f>
        <v/>
      </c>
      <c r="U116" s="8">
        <f>IF(Y116=0,$B$8/2,$B$8/2+Z116*S116/Y116)</f>
        <v/>
      </c>
      <c r="V116" s="8">
        <f>SQRT((T116-L116)^2+(U116-M116)^2)</f>
        <v/>
      </c>
      <c r="Y116">
        <f>$B$10*TAN(RADIANS(Q116))</f>
        <v/>
      </c>
      <c r="Z116">
        <f>IF(OR($H$7&lt;&gt;"OK",Q116=""),"",IF(Q116&lt;=$A$19,$D$19,IF(Q116&gt;=INDEX($A$19:$A$2018,$H$6),INDEX($D$19:$D$2018,$H$6),INDEX($D$19:$D$2018,MATCH(Q116,$A$19:INDEX($A$19:$A$2018,$H$6),1))+(Q116-INDEX($A$19:$A$2018,MATCH(Q116,$A$19:INDEX($A$19:$A$2018,$H$6),1)))*(INDEX($D$19:$D$2018,MATCH(Q116,$A$19:INDEX($A$19:$A$2018,$H$6),1)+1)-INDEX($D$19:$D$2018,MATCH(Q116,$A$19:INDEX($A$19:$A$2018,$H$6),1)))/(INDEX($A$19:$A$2018,MATCH(Q116,$A$19:INDEX($A$19:$A$2018,$H$6),1)+1)-INDEX($A$19:$A$2018,MATCH(Q116,$A$19:INDEX($A$19:$A$2018,$H$6),1))))))</f>
        <v/>
      </c>
    </row>
    <row r="117">
      <c r="A117" s="11" t="n"/>
      <c r="B117" s="11" t="n"/>
      <c r="C117" s="12">
        <f>IF(A117="","",$B$9*TAN(RADIANS(A117)))</f>
        <v/>
      </c>
      <c r="D117" s="12">
        <f>IF(C117="","",C117*(1+B117/100))</f>
        <v/>
      </c>
      <c r="E117" s="12">
        <f>IF(A117="","",$B$10*TAN(RADIANS(A117)))</f>
        <v/>
      </c>
      <c r="G117" s="8" t="n">
        <v>99</v>
      </c>
      <c r="H117" s="8">
        <f>$K$6</f>
        <v/>
      </c>
      <c r="I117" s="7" t="inlineStr">
        <is>
          <t>橫</t>
        </is>
      </c>
      <c r="J117" s="8" t="n">
        <v>5</v>
      </c>
      <c r="K117" s="7" t="inlineStr">
        <is>
          <t>右下</t>
        </is>
      </c>
      <c r="L117" s="8">
        <f>$O$6-($M$6+$L$6)/2+(1)*$M$6/2</f>
        <v/>
      </c>
      <c r="M117" s="8">
        <f>$P$6-$M$6/2+$L$6/2+4*2*$L$6+(1)*$L$6/2</f>
        <v/>
      </c>
      <c r="N117" s="8">
        <f>L117-$B$7/2</f>
        <v/>
      </c>
      <c r="O117" s="8">
        <f>M117-$B$8/2</f>
        <v/>
      </c>
      <c r="P117" s="8">
        <f>SQRT(N117^2+O117^2)</f>
        <v/>
      </c>
      <c r="Q117" s="8">
        <f>IF(OR($H$7&lt;&gt;"OK",P117=""),"",IF(P117&lt;=$D$19,$A$19,IF(P117&gt;=INDEX($D$19:$D$2018,$H$6),INDEX($A$19:$A$2018,$H$6),INDEX($A$19:$A$2018,MATCH(P117,$D$19:INDEX($D$19:$D$2018,$H$6),1))+(P117-INDEX($D$19:$D$2018,MATCH(P117,$D$19:INDEX($D$19:$D$2018,$H$6),1)))*(INDEX($A$19:$A$2018,MATCH(P117,$D$19:INDEX($D$19:$D$2018,$H$6),1)+1)-INDEX($A$19:$A$2018,MATCH(P117,$D$19:INDEX($D$19:$D$2018,$H$6),1)))/(INDEX($D$19:$D$2018,MATCH(P117,$D$19:INDEX($D$19:$D$2018,$H$6),1)+1)-INDEX($D$19:$D$2018,MATCH(P117,$D$19:INDEX($D$19:$D$2018,$H$6),1))))))</f>
        <v/>
      </c>
      <c r="R117" s="8">
        <f>IF(P117=0,0,-Y117*N117/P117)</f>
        <v/>
      </c>
      <c r="S117" s="8">
        <f>IF(P117=0,0,Y117*O117/P117)</f>
        <v/>
      </c>
      <c r="T117" s="8">
        <f>IF(Y117=0,$B$7/2,$B$7/2-Z117*R117/Y117)</f>
        <v/>
      </c>
      <c r="U117" s="8">
        <f>IF(Y117=0,$B$8/2,$B$8/2+Z117*S117/Y117)</f>
        <v/>
      </c>
      <c r="V117" s="8">
        <f>SQRT((T117-L117)^2+(U117-M117)^2)</f>
        <v/>
      </c>
      <c r="Y117">
        <f>$B$10*TAN(RADIANS(Q117))</f>
        <v/>
      </c>
      <c r="Z117">
        <f>IF(OR($H$7&lt;&gt;"OK",Q117=""),"",IF(Q117&lt;=$A$19,$D$19,IF(Q117&gt;=INDEX($A$19:$A$2018,$H$6),INDEX($D$19:$D$2018,$H$6),INDEX($D$19:$D$2018,MATCH(Q117,$A$19:INDEX($A$19:$A$2018,$H$6),1))+(Q117-INDEX($A$19:$A$2018,MATCH(Q117,$A$19:INDEX($A$19:$A$2018,$H$6),1)))*(INDEX($D$19:$D$2018,MATCH(Q117,$A$19:INDEX($A$19:$A$2018,$H$6),1)+1)-INDEX($D$19:$D$2018,MATCH(Q117,$A$19:INDEX($A$19:$A$2018,$H$6),1)))/(INDEX($A$19:$A$2018,MATCH(Q117,$A$19:INDEX($A$19:$A$2018,$H$6),1)+1)-INDEX($A$19:$A$2018,MATCH(Q117,$A$19:INDEX($A$19:$A$2018,$H$6),1))))))</f>
        <v/>
      </c>
    </row>
    <row r="118">
      <c r="A118" s="11" t="n"/>
      <c r="B118" s="11" t="n"/>
      <c r="C118" s="12">
        <f>IF(A118="","",$B$9*TAN(RADIANS(A118)))</f>
        <v/>
      </c>
      <c r="D118" s="12">
        <f>IF(C118="","",C118*(1+B118/100))</f>
        <v/>
      </c>
      <c r="E118" s="12">
        <f>IF(A118="","",$B$10*TAN(RADIANS(A118)))</f>
        <v/>
      </c>
      <c r="G118" s="8" t="n">
        <v>100</v>
      </c>
      <c r="H118" s="8">
        <f>$K$6</f>
        <v/>
      </c>
      <c r="I118" s="7" t="inlineStr">
        <is>
          <t>橫</t>
        </is>
      </c>
      <c r="J118" s="8" t="n">
        <v>5</v>
      </c>
      <c r="K118" s="7" t="inlineStr">
        <is>
          <t>左下</t>
        </is>
      </c>
      <c r="L118" s="8">
        <f>$O$6-($M$6+$L$6)/2+(-1)*$M$6/2</f>
        <v/>
      </c>
      <c r="M118" s="8">
        <f>$P$6-$M$6/2+$L$6/2+4*2*$L$6+(1)*$L$6/2</f>
        <v/>
      </c>
      <c r="N118" s="8">
        <f>L118-$B$7/2</f>
        <v/>
      </c>
      <c r="O118" s="8">
        <f>M118-$B$8/2</f>
        <v/>
      </c>
      <c r="P118" s="8">
        <f>SQRT(N118^2+O118^2)</f>
        <v/>
      </c>
      <c r="Q118" s="8">
        <f>IF(OR($H$7&lt;&gt;"OK",P118=""),"",IF(P118&lt;=$D$19,$A$19,IF(P118&gt;=INDEX($D$19:$D$2018,$H$6),INDEX($A$19:$A$2018,$H$6),INDEX($A$19:$A$2018,MATCH(P118,$D$19:INDEX($D$19:$D$2018,$H$6),1))+(P118-INDEX($D$19:$D$2018,MATCH(P118,$D$19:INDEX($D$19:$D$2018,$H$6),1)))*(INDEX($A$19:$A$2018,MATCH(P118,$D$19:INDEX($D$19:$D$2018,$H$6),1)+1)-INDEX($A$19:$A$2018,MATCH(P118,$D$19:INDEX($D$19:$D$2018,$H$6),1)))/(INDEX($D$19:$D$2018,MATCH(P118,$D$19:INDEX($D$19:$D$2018,$H$6),1)+1)-INDEX($D$19:$D$2018,MATCH(P118,$D$19:INDEX($D$19:$D$2018,$H$6),1))))))</f>
        <v/>
      </c>
      <c r="R118" s="8">
        <f>IF(P118=0,0,-Y118*N118/P118)</f>
        <v/>
      </c>
      <c r="S118" s="8">
        <f>IF(P118=0,0,Y118*O118/P118)</f>
        <v/>
      </c>
      <c r="T118" s="8">
        <f>IF(Y118=0,$B$7/2,$B$7/2-Z118*R118/Y118)</f>
        <v/>
      </c>
      <c r="U118" s="8">
        <f>IF(Y118=0,$B$8/2,$B$8/2+Z118*S118/Y118)</f>
        <v/>
      </c>
      <c r="V118" s="8">
        <f>SQRT((T118-L118)^2+(U118-M118)^2)</f>
        <v/>
      </c>
      <c r="Y118">
        <f>$B$10*TAN(RADIANS(Q118))</f>
        <v/>
      </c>
      <c r="Z118">
        <f>IF(OR($H$7&lt;&gt;"OK",Q118=""),"",IF(Q118&lt;=$A$19,$D$19,IF(Q118&gt;=INDEX($A$19:$A$2018,$H$6),INDEX($D$19:$D$2018,$H$6),INDEX($D$19:$D$2018,MATCH(Q118,$A$19:INDEX($A$19:$A$2018,$H$6),1))+(Q118-INDEX($A$19:$A$2018,MATCH(Q118,$A$19:INDEX($A$19:$A$2018,$H$6),1)))*(INDEX($D$19:$D$2018,MATCH(Q118,$A$19:INDEX($A$19:$A$2018,$H$6),1)+1)-INDEX($D$19:$D$2018,MATCH(Q118,$A$19:INDEX($A$19:$A$2018,$H$6),1)))/(INDEX($A$19:$A$2018,MATCH(Q118,$A$19:INDEX($A$19:$A$2018,$H$6),1)+1)-INDEX($A$19:$A$2018,MATCH(Q118,$A$19:INDEX($A$19:$A$2018,$H$6),1))))))</f>
        <v/>
      </c>
    </row>
    <row r="119">
      <c r="A119" s="11" t="n"/>
      <c r="B119" s="11" t="n"/>
      <c r="C119" s="12">
        <f>IF(A119="","",$B$9*TAN(RADIANS(A119)))</f>
        <v/>
      </c>
      <c r="D119" s="12">
        <f>IF(C119="","",C119*(1+B119/100))</f>
        <v/>
      </c>
      <c r="E119" s="12">
        <f>IF(A119="","",$B$10*TAN(RADIANS(A119)))</f>
        <v/>
      </c>
      <c r="G119" s="8" t="n">
        <v>101</v>
      </c>
      <c r="H119" s="8">
        <f>$K$6</f>
        <v/>
      </c>
      <c r="I119" s="7" t="inlineStr">
        <is>
          <t>豎</t>
        </is>
      </c>
      <c r="J119" s="8" t="n">
        <v>1</v>
      </c>
      <c r="K119" s="7" t="inlineStr">
        <is>
          <t>左上</t>
        </is>
      </c>
      <c r="L119" s="8">
        <f>$O$6+($M$6+$L$6)/2-$M$6/2+$L$6/2+0*2*$L$6+(-1)*$L$6/2</f>
        <v/>
      </c>
      <c r="M119" s="8">
        <f>$P$6+(-1)*$M$6/2</f>
        <v/>
      </c>
      <c r="N119" s="8">
        <f>L119-$B$7/2</f>
        <v/>
      </c>
      <c r="O119" s="8">
        <f>M119-$B$8/2</f>
        <v/>
      </c>
      <c r="P119" s="8">
        <f>SQRT(N119^2+O119^2)</f>
        <v/>
      </c>
      <c r="Q119" s="8">
        <f>IF(OR($H$7&lt;&gt;"OK",P119=""),"",IF(P119&lt;=$D$19,$A$19,IF(P119&gt;=INDEX($D$19:$D$2018,$H$6),INDEX($A$19:$A$2018,$H$6),INDEX($A$19:$A$2018,MATCH(P119,$D$19:INDEX($D$19:$D$2018,$H$6),1))+(P119-INDEX($D$19:$D$2018,MATCH(P119,$D$19:INDEX($D$19:$D$2018,$H$6),1)))*(INDEX($A$19:$A$2018,MATCH(P119,$D$19:INDEX($D$19:$D$2018,$H$6),1)+1)-INDEX($A$19:$A$2018,MATCH(P119,$D$19:INDEX($D$19:$D$2018,$H$6),1)))/(INDEX($D$19:$D$2018,MATCH(P119,$D$19:INDEX($D$19:$D$2018,$H$6),1)+1)-INDEX($D$19:$D$2018,MATCH(P119,$D$19:INDEX($D$19:$D$2018,$H$6),1))))))</f>
        <v/>
      </c>
      <c r="R119" s="8">
        <f>IF(P119=0,0,-Y119*N119/P119)</f>
        <v/>
      </c>
      <c r="S119" s="8">
        <f>IF(P119=0,0,Y119*O119/P119)</f>
        <v/>
      </c>
      <c r="T119" s="8">
        <f>IF(Y119=0,$B$7/2,$B$7/2-Z119*R119/Y119)</f>
        <v/>
      </c>
      <c r="U119" s="8">
        <f>IF(Y119=0,$B$8/2,$B$8/2+Z119*S119/Y119)</f>
        <v/>
      </c>
      <c r="V119" s="8">
        <f>SQRT((T119-L119)^2+(U119-M119)^2)</f>
        <v/>
      </c>
      <c r="Y119">
        <f>$B$10*TAN(RADIANS(Q119))</f>
        <v/>
      </c>
      <c r="Z119">
        <f>IF(OR($H$7&lt;&gt;"OK",Q119=""),"",IF(Q119&lt;=$A$19,$D$19,IF(Q119&gt;=INDEX($A$19:$A$2018,$H$6),INDEX($D$19:$D$2018,$H$6),INDEX($D$19:$D$2018,MATCH(Q119,$A$19:INDEX($A$19:$A$2018,$H$6),1))+(Q119-INDEX($A$19:$A$2018,MATCH(Q119,$A$19:INDEX($A$19:$A$2018,$H$6),1)))*(INDEX($D$19:$D$2018,MATCH(Q119,$A$19:INDEX($A$19:$A$2018,$H$6),1)+1)-INDEX($D$19:$D$2018,MATCH(Q119,$A$19:INDEX($A$19:$A$2018,$H$6),1)))/(INDEX($A$19:$A$2018,MATCH(Q119,$A$19:INDEX($A$19:$A$2018,$H$6),1)+1)-INDEX($A$19:$A$2018,MATCH(Q119,$A$19:INDEX($A$19:$A$2018,$H$6),1))))))</f>
        <v/>
      </c>
    </row>
    <row r="120">
      <c r="A120" s="11" t="n"/>
      <c r="B120" s="11" t="n"/>
      <c r="C120" s="12">
        <f>IF(A120="","",$B$9*TAN(RADIANS(A120)))</f>
        <v/>
      </c>
      <c r="D120" s="12">
        <f>IF(C120="","",C120*(1+B120/100))</f>
        <v/>
      </c>
      <c r="E120" s="12">
        <f>IF(A120="","",$B$10*TAN(RADIANS(A120)))</f>
        <v/>
      </c>
      <c r="G120" s="8" t="n">
        <v>102</v>
      </c>
      <c r="H120" s="8">
        <f>$K$6</f>
        <v/>
      </c>
      <c r="I120" s="7" t="inlineStr">
        <is>
          <t>豎</t>
        </is>
      </c>
      <c r="J120" s="8" t="n">
        <v>1</v>
      </c>
      <c r="K120" s="7" t="inlineStr">
        <is>
          <t>右上</t>
        </is>
      </c>
      <c r="L120" s="8">
        <f>$O$6+($M$6+$L$6)/2-$M$6/2+$L$6/2+0*2*$L$6+(1)*$L$6/2</f>
        <v/>
      </c>
      <c r="M120" s="8">
        <f>$P$6+(-1)*$M$6/2</f>
        <v/>
      </c>
      <c r="N120" s="8">
        <f>L120-$B$7/2</f>
        <v/>
      </c>
      <c r="O120" s="8">
        <f>M120-$B$8/2</f>
        <v/>
      </c>
      <c r="P120" s="8">
        <f>SQRT(N120^2+O120^2)</f>
        <v/>
      </c>
      <c r="Q120" s="8">
        <f>IF(OR($H$7&lt;&gt;"OK",P120=""),"",IF(P120&lt;=$D$19,$A$19,IF(P120&gt;=INDEX($D$19:$D$2018,$H$6),INDEX($A$19:$A$2018,$H$6),INDEX($A$19:$A$2018,MATCH(P120,$D$19:INDEX($D$19:$D$2018,$H$6),1))+(P120-INDEX($D$19:$D$2018,MATCH(P120,$D$19:INDEX($D$19:$D$2018,$H$6),1)))*(INDEX($A$19:$A$2018,MATCH(P120,$D$19:INDEX($D$19:$D$2018,$H$6),1)+1)-INDEX($A$19:$A$2018,MATCH(P120,$D$19:INDEX($D$19:$D$2018,$H$6),1)))/(INDEX($D$19:$D$2018,MATCH(P120,$D$19:INDEX($D$19:$D$2018,$H$6),1)+1)-INDEX($D$19:$D$2018,MATCH(P120,$D$19:INDEX($D$19:$D$2018,$H$6),1))))))</f>
        <v/>
      </c>
      <c r="R120" s="8">
        <f>IF(P120=0,0,-Y120*N120/P120)</f>
        <v/>
      </c>
      <c r="S120" s="8">
        <f>IF(P120=0,0,Y120*O120/P120)</f>
        <v/>
      </c>
      <c r="T120" s="8">
        <f>IF(Y120=0,$B$7/2,$B$7/2-Z120*R120/Y120)</f>
        <v/>
      </c>
      <c r="U120" s="8">
        <f>IF(Y120=0,$B$8/2,$B$8/2+Z120*S120/Y120)</f>
        <v/>
      </c>
      <c r="V120" s="8">
        <f>SQRT((T120-L120)^2+(U120-M120)^2)</f>
        <v/>
      </c>
      <c r="Y120">
        <f>$B$10*TAN(RADIANS(Q120))</f>
        <v/>
      </c>
      <c r="Z120">
        <f>IF(OR($H$7&lt;&gt;"OK",Q120=""),"",IF(Q120&lt;=$A$19,$D$19,IF(Q120&gt;=INDEX($A$19:$A$2018,$H$6),INDEX($D$19:$D$2018,$H$6),INDEX($D$19:$D$2018,MATCH(Q120,$A$19:INDEX($A$19:$A$2018,$H$6),1))+(Q120-INDEX($A$19:$A$2018,MATCH(Q120,$A$19:INDEX($A$19:$A$2018,$H$6),1)))*(INDEX($D$19:$D$2018,MATCH(Q120,$A$19:INDEX($A$19:$A$2018,$H$6),1)+1)-INDEX($D$19:$D$2018,MATCH(Q120,$A$19:INDEX($A$19:$A$2018,$H$6),1)))/(INDEX($A$19:$A$2018,MATCH(Q120,$A$19:INDEX($A$19:$A$2018,$H$6),1)+1)-INDEX($A$19:$A$2018,MATCH(Q120,$A$19:INDEX($A$19:$A$2018,$H$6),1))))))</f>
        <v/>
      </c>
    </row>
    <row r="121">
      <c r="A121" s="11" t="n"/>
      <c r="B121" s="11" t="n"/>
      <c r="C121" s="12">
        <f>IF(A121="","",$B$9*TAN(RADIANS(A121)))</f>
        <v/>
      </c>
      <c r="D121" s="12">
        <f>IF(C121="","",C121*(1+B121/100))</f>
        <v/>
      </c>
      <c r="E121" s="12">
        <f>IF(A121="","",$B$10*TAN(RADIANS(A121)))</f>
        <v/>
      </c>
      <c r="G121" s="8" t="n">
        <v>103</v>
      </c>
      <c r="H121" s="8">
        <f>$K$6</f>
        <v/>
      </c>
      <c r="I121" s="7" t="inlineStr">
        <is>
          <t>豎</t>
        </is>
      </c>
      <c r="J121" s="8" t="n">
        <v>1</v>
      </c>
      <c r="K121" s="7" t="inlineStr">
        <is>
          <t>右下</t>
        </is>
      </c>
      <c r="L121" s="8">
        <f>$O$6+($M$6+$L$6)/2-$M$6/2+$L$6/2+0*2*$L$6+(1)*$L$6/2</f>
        <v/>
      </c>
      <c r="M121" s="8">
        <f>$P$6+(1)*$M$6/2</f>
        <v/>
      </c>
      <c r="N121" s="8">
        <f>L121-$B$7/2</f>
        <v/>
      </c>
      <c r="O121" s="8">
        <f>M121-$B$8/2</f>
        <v/>
      </c>
      <c r="P121" s="8">
        <f>SQRT(N121^2+O121^2)</f>
        <v/>
      </c>
      <c r="Q121" s="8">
        <f>IF(OR($H$7&lt;&gt;"OK",P121=""),"",IF(P121&lt;=$D$19,$A$19,IF(P121&gt;=INDEX($D$19:$D$2018,$H$6),INDEX($A$19:$A$2018,$H$6),INDEX($A$19:$A$2018,MATCH(P121,$D$19:INDEX($D$19:$D$2018,$H$6),1))+(P121-INDEX($D$19:$D$2018,MATCH(P121,$D$19:INDEX($D$19:$D$2018,$H$6),1)))*(INDEX($A$19:$A$2018,MATCH(P121,$D$19:INDEX($D$19:$D$2018,$H$6),1)+1)-INDEX($A$19:$A$2018,MATCH(P121,$D$19:INDEX($D$19:$D$2018,$H$6),1)))/(INDEX($D$19:$D$2018,MATCH(P121,$D$19:INDEX($D$19:$D$2018,$H$6),1)+1)-INDEX($D$19:$D$2018,MATCH(P121,$D$19:INDEX($D$19:$D$2018,$H$6),1))))))</f>
        <v/>
      </c>
      <c r="R121" s="8">
        <f>IF(P121=0,0,-Y121*N121/P121)</f>
        <v/>
      </c>
      <c r="S121" s="8">
        <f>IF(P121=0,0,Y121*O121/P121)</f>
        <v/>
      </c>
      <c r="T121" s="8">
        <f>IF(Y121=0,$B$7/2,$B$7/2-Z121*R121/Y121)</f>
        <v/>
      </c>
      <c r="U121" s="8">
        <f>IF(Y121=0,$B$8/2,$B$8/2+Z121*S121/Y121)</f>
        <v/>
      </c>
      <c r="V121" s="8">
        <f>SQRT((T121-L121)^2+(U121-M121)^2)</f>
        <v/>
      </c>
      <c r="Y121">
        <f>$B$10*TAN(RADIANS(Q121))</f>
        <v/>
      </c>
      <c r="Z121">
        <f>IF(OR($H$7&lt;&gt;"OK",Q121=""),"",IF(Q121&lt;=$A$19,$D$19,IF(Q121&gt;=INDEX($A$19:$A$2018,$H$6),INDEX($D$19:$D$2018,$H$6),INDEX($D$19:$D$2018,MATCH(Q121,$A$19:INDEX($A$19:$A$2018,$H$6),1))+(Q121-INDEX($A$19:$A$2018,MATCH(Q121,$A$19:INDEX($A$19:$A$2018,$H$6),1)))*(INDEX($D$19:$D$2018,MATCH(Q121,$A$19:INDEX($A$19:$A$2018,$H$6),1)+1)-INDEX($D$19:$D$2018,MATCH(Q121,$A$19:INDEX($A$19:$A$2018,$H$6),1)))/(INDEX($A$19:$A$2018,MATCH(Q121,$A$19:INDEX($A$19:$A$2018,$H$6),1)+1)-INDEX($A$19:$A$2018,MATCH(Q121,$A$19:INDEX($A$19:$A$2018,$H$6),1))))))</f>
        <v/>
      </c>
    </row>
    <row r="122">
      <c r="A122" s="11" t="n"/>
      <c r="B122" s="11" t="n"/>
      <c r="C122" s="12">
        <f>IF(A122="","",$B$9*TAN(RADIANS(A122)))</f>
        <v/>
      </c>
      <c r="D122" s="12">
        <f>IF(C122="","",C122*(1+B122/100))</f>
        <v/>
      </c>
      <c r="E122" s="12">
        <f>IF(A122="","",$B$10*TAN(RADIANS(A122)))</f>
        <v/>
      </c>
      <c r="G122" s="8" t="n">
        <v>104</v>
      </c>
      <c r="H122" s="8">
        <f>$K$6</f>
        <v/>
      </c>
      <c r="I122" s="7" t="inlineStr">
        <is>
          <t>豎</t>
        </is>
      </c>
      <c r="J122" s="8" t="n">
        <v>1</v>
      </c>
      <c r="K122" s="7" t="inlineStr">
        <is>
          <t>左下</t>
        </is>
      </c>
      <c r="L122" s="8">
        <f>$O$6+($M$6+$L$6)/2-$M$6/2+$L$6/2+0*2*$L$6+(-1)*$L$6/2</f>
        <v/>
      </c>
      <c r="M122" s="8">
        <f>$P$6+(1)*$M$6/2</f>
        <v/>
      </c>
      <c r="N122" s="8">
        <f>L122-$B$7/2</f>
        <v/>
      </c>
      <c r="O122" s="8">
        <f>M122-$B$8/2</f>
        <v/>
      </c>
      <c r="P122" s="8">
        <f>SQRT(N122^2+O122^2)</f>
        <v/>
      </c>
      <c r="Q122" s="8">
        <f>IF(OR($H$7&lt;&gt;"OK",P122=""),"",IF(P122&lt;=$D$19,$A$19,IF(P122&gt;=INDEX($D$19:$D$2018,$H$6),INDEX($A$19:$A$2018,$H$6),INDEX($A$19:$A$2018,MATCH(P122,$D$19:INDEX($D$19:$D$2018,$H$6),1))+(P122-INDEX($D$19:$D$2018,MATCH(P122,$D$19:INDEX($D$19:$D$2018,$H$6),1)))*(INDEX($A$19:$A$2018,MATCH(P122,$D$19:INDEX($D$19:$D$2018,$H$6),1)+1)-INDEX($A$19:$A$2018,MATCH(P122,$D$19:INDEX($D$19:$D$2018,$H$6),1)))/(INDEX($D$19:$D$2018,MATCH(P122,$D$19:INDEX($D$19:$D$2018,$H$6),1)+1)-INDEX($D$19:$D$2018,MATCH(P122,$D$19:INDEX($D$19:$D$2018,$H$6),1))))))</f>
        <v/>
      </c>
      <c r="R122" s="8">
        <f>IF(P122=0,0,-Y122*N122/P122)</f>
        <v/>
      </c>
      <c r="S122" s="8">
        <f>IF(P122=0,0,Y122*O122/P122)</f>
        <v/>
      </c>
      <c r="T122" s="8">
        <f>IF(Y122=0,$B$7/2,$B$7/2-Z122*R122/Y122)</f>
        <v/>
      </c>
      <c r="U122" s="8">
        <f>IF(Y122=0,$B$8/2,$B$8/2+Z122*S122/Y122)</f>
        <v/>
      </c>
      <c r="V122" s="8">
        <f>SQRT((T122-L122)^2+(U122-M122)^2)</f>
        <v/>
      </c>
      <c r="Y122">
        <f>$B$10*TAN(RADIANS(Q122))</f>
        <v/>
      </c>
      <c r="Z122">
        <f>IF(OR($H$7&lt;&gt;"OK",Q122=""),"",IF(Q122&lt;=$A$19,$D$19,IF(Q122&gt;=INDEX($A$19:$A$2018,$H$6),INDEX($D$19:$D$2018,$H$6),INDEX($D$19:$D$2018,MATCH(Q122,$A$19:INDEX($A$19:$A$2018,$H$6),1))+(Q122-INDEX($A$19:$A$2018,MATCH(Q122,$A$19:INDEX($A$19:$A$2018,$H$6),1)))*(INDEX($D$19:$D$2018,MATCH(Q122,$A$19:INDEX($A$19:$A$2018,$H$6),1)+1)-INDEX($D$19:$D$2018,MATCH(Q122,$A$19:INDEX($A$19:$A$2018,$H$6),1)))/(INDEX($A$19:$A$2018,MATCH(Q122,$A$19:INDEX($A$19:$A$2018,$H$6),1)+1)-INDEX($A$19:$A$2018,MATCH(Q122,$A$19:INDEX($A$19:$A$2018,$H$6),1))))))</f>
        <v/>
      </c>
    </row>
    <row r="123">
      <c r="A123" s="11" t="n"/>
      <c r="B123" s="11" t="n"/>
      <c r="C123" s="12">
        <f>IF(A123="","",$B$9*TAN(RADIANS(A123)))</f>
        <v/>
      </c>
      <c r="D123" s="12">
        <f>IF(C123="","",C123*(1+B123/100))</f>
        <v/>
      </c>
      <c r="E123" s="12">
        <f>IF(A123="","",$B$10*TAN(RADIANS(A123)))</f>
        <v/>
      </c>
      <c r="G123" s="8" t="n">
        <v>105</v>
      </c>
      <c r="H123" s="8">
        <f>$K$6</f>
        <v/>
      </c>
      <c r="I123" s="7" t="inlineStr">
        <is>
          <t>豎</t>
        </is>
      </c>
      <c r="J123" s="8" t="n">
        <v>2</v>
      </c>
      <c r="K123" s="7" t="inlineStr">
        <is>
          <t>左上</t>
        </is>
      </c>
      <c r="L123" s="8">
        <f>$O$6+($M$6+$L$6)/2-$M$6/2+$L$6/2+1*2*$L$6+(-1)*$L$6/2</f>
        <v/>
      </c>
      <c r="M123" s="8">
        <f>$P$6+(-1)*$M$6/2</f>
        <v/>
      </c>
      <c r="N123" s="8">
        <f>L123-$B$7/2</f>
        <v/>
      </c>
      <c r="O123" s="8">
        <f>M123-$B$8/2</f>
        <v/>
      </c>
      <c r="P123" s="8">
        <f>SQRT(N123^2+O123^2)</f>
        <v/>
      </c>
      <c r="Q123" s="8">
        <f>IF(OR($H$7&lt;&gt;"OK",P123=""),"",IF(P123&lt;=$D$19,$A$19,IF(P123&gt;=INDEX($D$19:$D$2018,$H$6),INDEX($A$19:$A$2018,$H$6),INDEX($A$19:$A$2018,MATCH(P123,$D$19:INDEX($D$19:$D$2018,$H$6),1))+(P123-INDEX($D$19:$D$2018,MATCH(P123,$D$19:INDEX($D$19:$D$2018,$H$6),1)))*(INDEX($A$19:$A$2018,MATCH(P123,$D$19:INDEX($D$19:$D$2018,$H$6),1)+1)-INDEX($A$19:$A$2018,MATCH(P123,$D$19:INDEX($D$19:$D$2018,$H$6),1)))/(INDEX($D$19:$D$2018,MATCH(P123,$D$19:INDEX($D$19:$D$2018,$H$6),1)+1)-INDEX($D$19:$D$2018,MATCH(P123,$D$19:INDEX($D$19:$D$2018,$H$6),1))))))</f>
        <v/>
      </c>
      <c r="R123" s="8">
        <f>IF(P123=0,0,-Y123*N123/P123)</f>
        <v/>
      </c>
      <c r="S123" s="8">
        <f>IF(P123=0,0,Y123*O123/P123)</f>
        <v/>
      </c>
      <c r="T123" s="8">
        <f>IF(Y123=0,$B$7/2,$B$7/2-Z123*R123/Y123)</f>
        <v/>
      </c>
      <c r="U123" s="8">
        <f>IF(Y123=0,$B$8/2,$B$8/2+Z123*S123/Y123)</f>
        <v/>
      </c>
      <c r="V123" s="8">
        <f>SQRT((T123-L123)^2+(U123-M123)^2)</f>
        <v/>
      </c>
      <c r="Y123">
        <f>$B$10*TAN(RADIANS(Q123))</f>
        <v/>
      </c>
      <c r="Z123">
        <f>IF(OR($H$7&lt;&gt;"OK",Q123=""),"",IF(Q123&lt;=$A$19,$D$19,IF(Q123&gt;=INDEX($A$19:$A$2018,$H$6),INDEX($D$19:$D$2018,$H$6),INDEX($D$19:$D$2018,MATCH(Q123,$A$19:INDEX($A$19:$A$2018,$H$6),1))+(Q123-INDEX($A$19:$A$2018,MATCH(Q123,$A$19:INDEX($A$19:$A$2018,$H$6),1)))*(INDEX($D$19:$D$2018,MATCH(Q123,$A$19:INDEX($A$19:$A$2018,$H$6),1)+1)-INDEX($D$19:$D$2018,MATCH(Q123,$A$19:INDEX($A$19:$A$2018,$H$6),1)))/(INDEX($A$19:$A$2018,MATCH(Q123,$A$19:INDEX($A$19:$A$2018,$H$6),1)+1)-INDEX($A$19:$A$2018,MATCH(Q123,$A$19:INDEX($A$19:$A$2018,$H$6),1))))))</f>
        <v/>
      </c>
    </row>
    <row r="124">
      <c r="A124" s="11" t="n"/>
      <c r="B124" s="11" t="n"/>
      <c r="C124" s="12">
        <f>IF(A124="","",$B$9*TAN(RADIANS(A124)))</f>
        <v/>
      </c>
      <c r="D124" s="12">
        <f>IF(C124="","",C124*(1+B124/100))</f>
        <v/>
      </c>
      <c r="E124" s="12">
        <f>IF(A124="","",$B$10*TAN(RADIANS(A124)))</f>
        <v/>
      </c>
      <c r="G124" s="8" t="n">
        <v>106</v>
      </c>
      <c r="H124" s="8">
        <f>$K$6</f>
        <v/>
      </c>
      <c r="I124" s="7" t="inlineStr">
        <is>
          <t>豎</t>
        </is>
      </c>
      <c r="J124" s="8" t="n">
        <v>2</v>
      </c>
      <c r="K124" s="7" t="inlineStr">
        <is>
          <t>右上</t>
        </is>
      </c>
      <c r="L124" s="8">
        <f>$O$6+($M$6+$L$6)/2-$M$6/2+$L$6/2+1*2*$L$6+(1)*$L$6/2</f>
        <v/>
      </c>
      <c r="M124" s="8">
        <f>$P$6+(-1)*$M$6/2</f>
        <v/>
      </c>
      <c r="N124" s="8">
        <f>L124-$B$7/2</f>
        <v/>
      </c>
      <c r="O124" s="8">
        <f>M124-$B$8/2</f>
        <v/>
      </c>
      <c r="P124" s="8">
        <f>SQRT(N124^2+O124^2)</f>
        <v/>
      </c>
      <c r="Q124" s="8">
        <f>IF(OR($H$7&lt;&gt;"OK",P124=""),"",IF(P124&lt;=$D$19,$A$19,IF(P124&gt;=INDEX($D$19:$D$2018,$H$6),INDEX($A$19:$A$2018,$H$6),INDEX($A$19:$A$2018,MATCH(P124,$D$19:INDEX($D$19:$D$2018,$H$6),1))+(P124-INDEX($D$19:$D$2018,MATCH(P124,$D$19:INDEX($D$19:$D$2018,$H$6),1)))*(INDEX($A$19:$A$2018,MATCH(P124,$D$19:INDEX($D$19:$D$2018,$H$6),1)+1)-INDEX($A$19:$A$2018,MATCH(P124,$D$19:INDEX($D$19:$D$2018,$H$6),1)))/(INDEX($D$19:$D$2018,MATCH(P124,$D$19:INDEX($D$19:$D$2018,$H$6),1)+1)-INDEX($D$19:$D$2018,MATCH(P124,$D$19:INDEX($D$19:$D$2018,$H$6),1))))))</f>
        <v/>
      </c>
      <c r="R124" s="8">
        <f>IF(P124=0,0,-Y124*N124/P124)</f>
        <v/>
      </c>
      <c r="S124" s="8">
        <f>IF(P124=0,0,Y124*O124/P124)</f>
        <v/>
      </c>
      <c r="T124" s="8">
        <f>IF(Y124=0,$B$7/2,$B$7/2-Z124*R124/Y124)</f>
        <v/>
      </c>
      <c r="U124" s="8">
        <f>IF(Y124=0,$B$8/2,$B$8/2+Z124*S124/Y124)</f>
        <v/>
      </c>
      <c r="V124" s="8">
        <f>SQRT((T124-L124)^2+(U124-M124)^2)</f>
        <v/>
      </c>
      <c r="Y124">
        <f>$B$10*TAN(RADIANS(Q124))</f>
        <v/>
      </c>
      <c r="Z124">
        <f>IF(OR($H$7&lt;&gt;"OK",Q124=""),"",IF(Q124&lt;=$A$19,$D$19,IF(Q124&gt;=INDEX($A$19:$A$2018,$H$6),INDEX($D$19:$D$2018,$H$6),INDEX($D$19:$D$2018,MATCH(Q124,$A$19:INDEX($A$19:$A$2018,$H$6),1))+(Q124-INDEX($A$19:$A$2018,MATCH(Q124,$A$19:INDEX($A$19:$A$2018,$H$6),1)))*(INDEX($D$19:$D$2018,MATCH(Q124,$A$19:INDEX($A$19:$A$2018,$H$6),1)+1)-INDEX($D$19:$D$2018,MATCH(Q124,$A$19:INDEX($A$19:$A$2018,$H$6),1)))/(INDEX($A$19:$A$2018,MATCH(Q124,$A$19:INDEX($A$19:$A$2018,$H$6),1)+1)-INDEX($A$19:$A$2018,MATCH(Q124,$A$19:INDEX($A$19:$A$2018,$H$6),1))))))</f>
        <v/>
      </c>
    </row>
    <row r="125">
      <c r="A125" s="11" t="n"/>
      <c r="B125" s="11" t="n"/>
      <c r="C125" s="12">
        <f>IF(A125="","",$B$9*TAN(RADIANS(A125)))</f>
        <v/>
      </c>
      <c r="D125" s="12">
        <f>IF(C125="","",C125*(1+B125/100))</f>
        <v/>
      </c>
      <c r="E125" s="12">
        <f>IF(A125="","",$B$10*TAN(RADIANS(A125)))</f>
        <v/>
      </c>
      <c r="G125" s="8" t="n">
        <v>107</v>
      </c>
      <c r="H125" s="8">
        <f>$K$6</f>
        <v/>
      </c>
      <c r="I125" s="7" t="inlineStr">
        <is>
          <t>豎</t>
        </is>
      </c>
      <c r="J125" s="8" t="n">
        <v>2</v>
      </c>
      <c r="K125" s="7" t="inlineStr">
        <is>
          <t>右下</t>
        </is>
      </c>
      <c r="L125" s="8">
        <f>$O$6+($M$6+$L$6)/2-$M$6/2+$L$6/2+1*2*$L$6+(1)*$L$6/2</f>
        <v/>
      </c>
      <c r="M125" s="8">
        <f>$P$6+(1)*$M$6/2</f>
        <v/>
      </c>
      <c r="N125" s="8">
        <f>L125-$B$7/2</f>
        <v/>
      </c>
      <c r="O125" s="8">
        <f>M125-$B$8/2</f>
        <v/>
      </c>
      <c r="P125" s="8">
        <f>SQRT(N125^2+O125^2)</f>
        <v/>
      </c>
      <c r="Q125" s="8">
        <f>IF(OR($H$7&lt;&gt;"OK",P125=""),"",IF(P125&lt;=$D$19,$A$19,IF(P125&gt;=INDEX($D$19:$D$2018,$H$6),INDEX($A$19:$A$2018,$H$6),INDEX($A$19:$A$2018,MATCH(P125,$D$19:INDEX($D$19:$D$2018,$H$6),1))+(P125-INDEX($D$19:$D$2018,MATCH(P125,$D$19:INDEX($D$19:$D$2018,$H$6),1)))*(INDEX($A$19:$A$2018,MATCH(P125,$D$19:INDEX($D$19:$D$2018,$H$6),1)+1)-INDEX($A$19:$A$2018,MATCH(P125,$D$19:INDEX($D$19:$D$2018,$H$6),1)))/(INDEX($D$19:$D$2018,MATCH(P125,$D$19:INDEX($D$19:$D$2018,$H$6),1)+1)-INDEX($D$19:$D$2018,MATCH(P125,$D$19:INDEX($D$19:$D$2018,$H$6),1))))))</f>
        <v/>
      </c>
      <c r="R125" s="8">
        <f>IF(P125=0,0,-Y125*N125/P125)</f>
        <v/>
      </c>
      <c r="S125" s="8">
        <f>IF(P125=0,0,Y125*O125/P125)</f>
        <v/>
      </c>
      <c r="T125" s="8">
        <f>IF(Y125=0,$B$7/2,$B$7/2-Z125*R125/Y125)</f>
        <v/>
      </c>
      <c r="U125" s="8">
        <f>IF(Y125=0,$B$8/2,$B$8/2+Z125*S125/Y125)</f>
        <v/>
      </c>
      <c r="V125" s="8">
        <f>SQRT((T125-L125)^2+(U125-M125)^2)</f>
        <v/>
      </c>
      <c r="Y125">
        <f>$B$10*TAN(RADIANS(Q125))</f>
        <v/>
      </c>
      <c r="Z125">
        <f>IF(OR($H$7&lt;&gt;"OK",Q125=""),"",IF(Q125&lt;=$A$19,$D$19,IF(Q125&gt;=INDEX($A$19:$A$2018,$H$6),INDEX($D$19:$D$2018,$H$6),INDEX($D$19:$D$2018,MATCH(Q125,$A$19:INDEX($A$19:$A$2018,$H$6),1))+(Q125-INDEX($A$19:$A$2018,MATCH(Q125,$A$19:INDEX($A$19:$A$2018,$H$6),1)))*(INDEX($D$19:$D$2018,MATCH(Q125,$A$19:INDEX($A$19:$A$2018,$H$6),1)+1)-INDEX($D$19:$D$2018,MATCH(Q125,$A$19:INDEX($A$19:$A$2018,$H$6),1)))/(INDEX($A$19:$A$2018,MATCH(Q125,$A$19:INDEX($A$19:$A$2018,$H$6),1)+1)-INDEX($A$19:$A$2018,MATCH(Q125,$A$19:INDEX($A$19:$A$2018,$H$6),1))))))</f>
        <v/>
      </c>
    </row>
    <row r="126">
      <c r="A126" s="11" t="n"/>
      <c r="B126" s="11" t="n"/>
      <c r="C126" s="12">
        <f>IF(A126="","",$B$9*TAN(RADIANS(A126)))</f>
        <v/>
      </c>
      <c r="D126" s="12">
        <f>IF(C126="","",C126*(1+B126/100))</f>
        <v/>
      </c>
      <c r="E126" s="12">
        <f>IF(A126="","",$B$10*TAN(RADIANS(A126)))</f>
        <v/>
      </c>
      <c r="G126" s="8" t="n">
        <v>108</v>
      </c>
      <c r="H126" s="8">
        <f>$K$6</f>
        <v/>
      </c>
      <c r="I126" s="7" t="inlineStr">
        <is>
          <t>豎</t>
        </is>
      </c>
      <c r="J126" s="8" t="n">
        <v>2</v>
      </c>
      <c r="K126" s="7" t="inlineStr">
        <is>
          <t>左下</t>
        </is>
      </c>
      <c r="L126" s="8">
        <f>$O$6+($M$6+$L$6)/2-$M$6/2+$L$6/2+1*2*$L$6+(-1)*$L$6/2</f>
        <v/>
      </c>
      <c r="M126" s="8">
        <f>$P$6+(1)*$M$6/2</f>
        <v/>
      </c>
      <c r="N126" s="8">
        <f>L126-$B$7/2</f>
        <v/>
      </c>
      <c r="O126" s="8">
        <f>M126-$B$8/2</f>
        <v/>
      </c>
      <c r="P126" s="8">
        <f>SQRT(N126^2+O126^2)</f>
        <v/>
      </c>
      <c r="Q126" s="8">
        <f>IF(OR($H$7&lt;&gt;"OK",P126=""),"",IF(P126&lt;=$D$19,$A$19,IF(P126&gt;=INDEX($D$19:$D$2018,$H$6),INDEX($A$19:$A$2018,$H$6),INDEX($A$19:$A$2018,MATCH(P126,$D$19:INDEX($D$19:$D$2018,$H$6),1))+(P126-INDEX($D$19:$D$2018,MATCH(P126,$D$19:INDEX($D$19:$D$2018,$H$6),1)))*(INDEX($A$19:$A$2018,MATCH(P126,$D$19:INDEX($D$19:$D$2018,$H$6),1)+1)-INDEX($A$19:$A$2018,MATCH(P126,$D$19:INDEX($D$19:$D$2018,$H$6),1)))/(INDEX($D$19:$D$2018,MATCH(P126,$D$19:INDEX($D$19:$D$2018,$H$6),1)+1)-INDEX($D$19:$D$2018,MATCH(P126,$D$19:INDEX($D$19:$D$2018,$H$6),1))))))</f>
        <v/>
      </c>
      <c r="R126" s="8">
        <f>IF(P126=0,0,-Y126*N126/P126)</f>
        <v/>
      </c>
      <c r="S126" s="8">
        <f>IF(P126=0,0,Y126*O126/P126)</f>
        <v/>
      </c>
      <c r="T126" s="8">
        <f>IF(Y126=0,$B$7/2,$B$7/2-Z126*R126/Y126)</f>
        <v/>
      </c>
      <c r="U126" s="8">
        <f>IF(Y126=0,$B$8/2,$B$8/2+Z126*S126/Y126)</f>
        <v/>
      </c>
      <c r="V126" s="8">
        <f>SQRT((T126-L126)^2+(U126-M126)^2)</f>
        <v/>
      </c>
      <c r="Y126">
        <f>$B$10*TAN(RADIANS(Q126))</f>
        <v/>
      </c>
      <c r="Z126">
        <f>IF(OR($H$7&lt;&gt;"OK",Q126=""),"",IF(Q126&lt;=$A$19,$D$19,IF(Q126&gt;=INDEX($A$19:$A$2018,$H$6),INDEX($D$19:$D$2018,$H$6),INDEX($D$19:$D$2018,MATCH(Q126,$A$19:INDEX($A$19:$A$2018,$H$6),1))+(Q126-INDEX($A$19:$A$2018,MATCH(Q126,$A$19:INDEX($A$19:$A$2018,$H$6),1)))*(INDEX($D$19:$D$2018,MATCH(Q126,$A$19:INDEX($A$19:$A$2018,$H$6),1)+1)-INDEX($D$19:$D$2018,MATCH(Q126,$A$19:INDEX($A$19:$A$2018,$H$6),1)))/(INDEX($A$19:$A$2018,MATCH(Q126,$A$19:INDEX($A$19:$A$2018,$H$6),1)+1)-INDEX($A$19:$A$2018,MATCH(Q126,$A$19:INDEX($A$19:$A$2018,$H$6),1))))))</f>
        <v/>
      </c>
    </row>
    <row r="127">
      <c r="A127" s="11" t="n"/>
      <c r="B127" s="11" t="n"/>
      <c r="C127" s="12">
        <f>IF(A127="","",$B$9*TAN(RADIANS(A127)))</f>
        <v/>
      </c>
      <c r="D127" s="12">
        <f>IF(C127="","",C127*(1+B127/100))</f>
        <v/>
      </c>
      <c r="E127" s="12">
        <f>IF(A127="","",$B$10*TAN(RADIANS(A127)))</f>
        <v/>
      </c>
      <c r="G127" s="8" t="n">
        <v>109</v>
      </c>
      <c r="H127" s="8">
        <f>$K$6</f>
        <v/>
      </c>
      <c r="I127" s="7" t="inlineStr">
        <is>
          <t>豎</t>
        </is>
      </c>
      <c r="J127" s="8" t="n">
        <v>3</v>
      </c>
      <c r="K127" s="7" t="inlineStr">
        <is>
          <t>左上</t>
        </is>
      </c>
      <c r="L127" s="8">
        <f>$O$6+($M$6+$L$6)/2-$M$6/2+$L$6/2+2*2*$L$6+(-1)*$L$6/2</f>
        <v/>
      </c>
      <c r="M127" s="8">
        <f>$P$6+(-1)*$M$6/2</f>
        <v/>
      </c>
      <c r="N127" s="8">
        <f>L127-$B$7/2</f>
        <v/>
      </c>
      <c r="O127" s="8">
        <f>M127-$B$8/2</f>
        <v/>
      </c>
      <c r="P127" s="8">
        <f>SQRT(N127^2+O127^2)</f>
        <v/>
      </c>
      <c r="Q127" s="8">
        <f>IF(OR($H$7&lt;&gt;"OK",P127=""),"",IF(P127&lt;=$D$19,$A$19,IF(P127&gt;=INDEX($D$19:$D$2018,$H$6),INDEX($A$19:$A$2018,$H$6),INDEX($A$19:$A$2018,MATCH(P127,$D$19:INDEX($D$19:$D$2018,$H$6),1))+(P127-INDEX($D$19:$D$2018,MATCH(P127,$D$19:INDEX($D$19:$D$2018,$H$6),1)))*(INDEX($A$19:$A$2018,MATCH(P127,$D$19:INDEX($D$19:$D$2018,$H$6),1)+1)-INDEX($A$19:$A$2018,MATCH(P127,$D$19:INDEX($D$19:$D$2018,$H$6),1)))/(INDEX($D$19:$D$2018,MATCH(P127,$D$19:INDEX($D$19:$D$2018,$H$6),1)+1)-INDEX($D$19:$D$2018,MATCH(P127,$D$19:INDEX($D$19:$D$2018,$H$6),1))))))</f>
        <v/>
      </c>
      <c r="R127" s="8">
        <f>IF(P127=0,0,-Y127*N127/P127)</f>
        <v/>
      </c>
      <c r="S127" s="8">
        <f>IF(P127=0,0,Y127*O127/P127)</f>
        <v/>
      </c>
      <c r="T127" s="8">
        <f>IF(Y127=0,$B$7/2,$B$7/2-Z127*R127/Y127)</f>
        <v/>
      </c>
      <c r="U127" s="8">
        <f>IF(Y127=0,$B$8/2,$B$8/2+Z127*S127/Y127)</f>
        <v/>
      </c>
      <c r="V127" s="8">
        <f>SQRT((T127-L127)^2+(U127-M127)^2)</f>
        <v/>
      </c>
      <c r="Y127">
        <f>$B$10*TAN(RADIANS(Q127))</f>
        <v/>
      </c>
      <c r="Z127">
        <f>IF(OR($H$7&lt;&gt;"OK",Q127=""),"",IF(Q127&lt;=$A$19,$D$19,IF(Q127&gt;=INDEX($A$19:$A$2018,$H$6),INDEX($D$19:$D$2018,$H$6),INDEX($D$19:$D$2018,MATCH(Q127,$A$19:INDEX($A$19:$A$2018,$H$6),1))+(Q127-INDEX($A$19:$A$2018,MATCH(Q127,$A$19:INDEX($A$19:$A$2018,$H$6),1)))*(INDEX($D$19:$D$2018,MATCH(Q127,$A$19:INDEX($A$19:$A$2018,$H$6),1)+1)-INDEX($D$19:$D$2018,MATCH(Q127,$A$19:INDEX($A$19:$A$2018,$H$6),1)))/(INDEX($A$19:$A$2018,MATCH(Q127,$A$19:INDEX($A$19:$A$2018,$H$6),1)+1)-INDEX($A$19:$A$2018,MATCH(Q127,$A$19:INDEX($A$19:$A$2018,$H$6),1))))))</f>
        <v/>
      </c>
    </row>
    <row r="128">
      <c r="A128" s="11" t="n"/>
      <c r="B128" s="11" t="n"/>
      <c r="C128" s="12">
        <f>IF(A128="","",$B$9*TAN(RADIANS(A128)))</f>
        <v/>
      </c>
      <c r="D128" s="12">
        <f>IF(C128="","",C128*(1+B128/100))</f>
        <v/>
      </c>
      <c r="E128" s="12">
        <f>IF(A128="","",$B$10*TAN(RADIANS(A128)))</f>
        <v/>
      </c>
      <c r="G128" s="8" t="n">
        <v>110</v>
      </c>
      <c r="H128" s="8">
        <f>$K$6</f>
        <v/>
      </c>
      <c r="I128" s="7" t="inlineStr">
        <is>
          <t>豎</t>
        </is>
      </c>
      <c r="J128" s="8" t="n">
        <v>3</v>
      </c>
      <c r="K128" s="7" t="inlineStr">
        <is>
          <t>右上</t>
        </is>
      </c>
      <c r="L128" s="8">
        <f>$O$6+($M$6+$L$6)/2-$M$6/2+$L$6/2+2*2*$L$6+(1)*$L$6/2</f>
        <v/>
      </c>
      <c r="M128" s="8">
        <f>$P$6+(-1)*$M$6/2</f>
        <v/>
      </c>
      <c r="N128" s="8">
        <f>L128-$B$7/2</f>
        <v/>
      </c>
      <c r="O128" s="8">
        <f>M128-$B$8/2</f>
        <v/>
      </c>
      <c r="P128" s="8">
        <f>SQRT(N128^2+O128^2)</f>
        <v/>
      </c>
      <c r="Q128" s="8">
        <f>IF(OR($H$7&lt;&gt;"OK",P128=""),"",IF(P128&lt;=$D$19,$A$19,IF(P128&gt;=INDEX($D$19:$D$2018,$H$6),INDEX($A$19:$A$2018,$H$6),INDEX($A$19:$A$2018,MATCH(P128,$D$19:INDEX($D$19:$D$2018,$H$6),1))+(P128-INDEX($D$19:$D$2018,MATCH(P128,$D$19:INDEX($D$19:$D$2018,$H$6),1)))*(INDEX($A$19:$A$2018,MATCH(P128,$D$19:INDEX($D$19:$D$2018,$H$6),1)+1)-INDEX($A$19:$A$2018,MATCH(P128,$D$19:INDEX($D$19:$D$2018,$H$6),1)))/(INDEX($D$19:$D$2018,MATCH(P128,$D$19:INDEX($D$19:$D$2018,$H$6),1)+1)-INDEX($D$19:$D$2018,MATCH(P128,$D$19:INDEX($D$19:$D$2018,$H$6),1))))))</f>
        <v/>
      </c>
      <c r="R128" s="8">
        <f>IF(P128=0,0,-Y128*N128/P128)</f>
        <v/>
      </c>
      <c r="S128" s="8">
        <f>IF(P128=0,0,Y128*O128/P128)</f>
        <v/>
      </c>
      <c r="T128" s="8">
        <f>IF(Y128=0,$B$7/2,$B$7/2-Z128*R128/Y128)</f>
        <v/>
      </c>
      <c r="U128" s="8">
        <f>IF(Y128=0,$B$8/2,$B$8/2+Z128*S128/Y128)</f>
        <v/>
      </c>
      <c r="V128" s="8">
        <f>SQRT((T128-L128)^2+(U128-M128)^2)</f>
        <v/>
      </c>
      <c r="Y128">
        <f>$B$10*TAN(RADIANS(Q128))</f>
        <v/>
      </c>
      <c r="Z128">
        <f>IF(OR($H$7&lt;&gt;"OK",Q128=""),"",IF(Q128&lt;=$A$19,$D$19,IF(Q128&gt;=INDEX($A$19:$A$2018,$H$6),INDEX($D$19:$D$2018,$H$6),INDEX($D$19:$D$2018,MATCH(Q128,$A$19:INDEX($A$19:$A$2018,$H$6),1))+(Q128-INDEX($A$19:$A$2018,MATCH(Q128,$A$19:INDEX($A$19:$A$2018,$H$6),1)))*(INDEX($D$19:$D$2018,MATCH(Q128,$A$19:INDEX($A$19:$A$2018,$H$6),1)+1)-INDEX($D$19:$D$2018,MATCH(Q128,$A$19:INDEX($A$19:$A$2018,$H$6),1)))/(INDEX($A$19:$A$2018,MATCH(Q128,$A$19:INDEX($A$19:$A$2018,$H$6),1)+1)-INDEX($A$19:$A$2018,MATCH(Q128,$A$19:INDEX($A$19:$A$2018,$H$6),1))))))</f>
        <v/>
      </c>
    </row>
    <row r="129">
      <c r="A129" s="11" t="n"/>
      <c r="B129" s="11" t="n"/>
      <c r="C129" s="12">
        <f>IF(A129="","",$B$9*TAN(RADIANS(A129)))</f>
        <v/>
      </c>
      <c r="D129" s="12">
        <f>IF(C129="","",C129*(1+B129/100))</f>
        <v/>
      </c>
      <c r="E129" s="12">
        <f>IF(A129="","",$B$10*TAN(RADIANS(A129)))</f>
        <v/>
      </c>
      <c r="G129" s="8" t="n">
        <v>111</v>
      </c>
      <c r="H129" s="8">
        <f>$K$6</f>
        <v/>
      </c>
      <c r="I129" s="7" t="inlineStr">
        <is>
          <t>豎</t>
        </is>
      </c>
      <c r="J129" s="8" t="n">
        <v>3</v>
      </c>
      <c r="K129" s="7" t="inlineStr">
        <is>
          <t>右下</t>
        </is>
      </c>
      <c r="L129" s="8">
        <f>$O$6+($M$6+$L$6)/2-$M$6/2+$L$6/2+2*2*$L$6+(1)*$L$6/2</f>
        <v/>
      </c>
      <c r="M129" s="8">
        <f>$P$6+(1)*$M$6/2</f>
        <v/>
      </c>
      <c r="N129" s="8">
        <f>L129-$B$7/2</f>
        <v/>
      </c>
      <c r="O129" s="8">
        <f>M129-$B$8/2</f>
        <v/>
      </c>
      <c r="P129" s="8">
        <f>SQRT(N129^2+O129^2)</f>
        <v/>
      </c>
      <c r="Q129" s="8">
        <f>IF(OR($H$7&lt;&gt;"OK",P129=""),"",IF(P129&lt;=$D$19,$A$19,IF(P129&gt;=INDEX($D$19:$D$2018,$H$6),INDEX($A$19:$A$2018,$H$6),INDEX($A$19:$A$2018,MATCH(P129,$D$19:INDEX($D$19:$D$2018,$H$6),1))+(P129-INDEX($D$19:$D$2018,MATCH(P129,$D$19:INDEX($D$19:$D$2018,$H$6),1)))*(INDEX($A$19:$A$2018,MATCH(P129,$D$19:INDEX($D$19:$D$2018,$H$6),1)+1)-INDEX($A$19:$A$2018,MATCH(P129,$D$19:INDEX($D$19:$D$2018,$H$6),1)))/(INDEX($D$19:$D$2018,MATCH(P129,$D$19:INDEX($D$19:$D$2018,$H$6),1)+1)-INDEX($D$19:$D$2018,MATCH(P129,$D$19:INDEX($D$19:$D$2018,$H$6),1))))))</f>
        <v/>
      </c>
      <c r="R129" s="8">
        <f>IF(P129=0,0,-Y129*N129/P129)</f>
        <v/>
      </c>
      <c r="S129" s="8">
        <f>IF(P129=0,0,Y129*O129/P129)</f>
        <v/>
      </c>
      <c r="T129" s="8">
        <f>IF(Y129=0,$B$7/2,$B$7/2-Z129*R129/Y129)</f>
        <v/>
      </c>
      <c r="U129" s="8">
        <f>IF(Y129=0,$B$8/2,$B$8/2+Z129*S129/Y129)</f>
        <v/>
      </c>
      <c r="V129" s="8">
        <f>SQRT((T129-L129)^2+(U129-M129)^2)</f>
        <v/>
      </c>
      <c r="Y129">
        <f>$B$10*TAN(RADIANS(Q129))</f>
        <v/>
      </c>
      <c r="Z129">
        <f>IF(OR($H$7&lt;&gt;"OK",Q129=""),"",IF(Q129&lt;=$A$19,$D$19,IF(Q129&gt;=INDEX($A$19:$A$2018,$H$6),INDEX($D$19:$D$2018,$H$6),INDEX($D$19:$D$2018,MATCH(Q129,$A$19:INDEX($A$19:$A$2018,$H$6),1))+(Q129-INDEX($A$19:$A$2018,MATCH(Q129,$A$19:INDEX($A$19:$A$2018,$H$6),1)))*(INDEX($D$19:$D$2018,MATCH(Q129,$A$19:INDEX($A$19:$A$2018,$H$6),1)+1)-INDEX($D$19:$D$2018,MATCH(Q129,$A$19:INDEX($A$19:$A$2018,$H$6),1)))/(INDEX($A$19:$A$2018,MATCH(Q129,$A$19:INDEX($A$19:$A$2018,$H$6),1)+1)-INDEX($A$19:$A$2018,MATCH(Q129,$A$19:INDEX($A$19:$A$2018,$H$6),1))))))</f>
        <v/>
      </c>
    </row>
    <row r="130">
      <c r="A130" s="11" t="n"/>
      <c r="B130" s="11" t="n"/>
      <c r="C130" s="12">
        <f>IF(A130="","",$B$9*TAN(RADIANS(A130)))</f>
        <v/>
      </c>
      <c r="D130" s="12">
        <f>IF(C130="","",C130*(1+B130/100))</f>
        <v/>
      </c>
      <c r="E130" s="12">
        <f>IF(A130="","",$B$10*TAN(RADIANS(A130)))</f>
        <v/>
      </c>
      <c r="G130" s="8" t="n">
        <v>112</v>
      </c>
      <c r="H130" s="8">
        <f>$K$6</f>
        <v/>
      </c>
      <c r="I130" s="7" t="inlineStr">
        <is>
          <t>豎</t>
        </is>
      </c>
      <c r="J130" s="8" t="n">
        <v>3</v>
      </c>
      <c r="K130" s="7" t="inlineStr">
        <is>
          <t>左下</t>
        </is>
      </c>
      <c r="L130" s="8">
        <f>$O$6+($M$6+$L$6)/2-$M$6/2+$L$6/2+2*2*$L$6+(-1)*$L$6/2</f>
        <v/>
      </c>
      <c r="M130" s="8">
        <f>$P$6+(1)*$M$6/2</f>
        <v/>
      </c>
      <c r="N130" s="8">
        <f>L130-$B$7/2</f>
        <v/>
      </c>
      <c r="O130" s="8">
        <f>M130-$B$8/2</f>
        <v/>
      </c>
      <c r="P130" s="8">
        <f>SQRT(N130^2+O130^2)</f>
        <v/>
      </c>
      <c r="Q130" s="8">
        <f>IF(OR($H$7&lt;&gt;"OK",P130=""),"",IF(P130&lt;=$D$19,$A$19,IF(P130&gt;=INDEX($D$19:$D$2018,$H$6),INDEX($A$19:$A$2018,$H$6),INDEX($A$19:$A$2018,MATCH(P130,$D$19:INDEX($D$19:$D$2018,$H$6),1))+(P130-INDEX($D$19:$D$2018,MATCH(P130,$D$19:INDEX($D$19:$D$2018,$H$6),1)))*(INDEX($A$19:$A$2018,MATCH(P130,$D$19:INDEX($D$19:$D$2018,$H$6),1)+1)-INDEX($A$19:$A$2018,MATCH(P130,$D$19:INDEX($D$19:$D$2018,$H$6),1)))/(INDEX($D$19:$D$2018,MATCH(P130,$D$19:INDEX($D$19:$D$2018,$H$6),1)+1)-INDEX($D$19:$D$2018,MATCH(P130,$D$19:INDEX($D$19:$D$2018,$H$6),1))))))</f>
        <v/>
      </c>
      <c r="R130" s="8">
        <f>IF(P130=0,0,-Y130*N130/P130)</f>
        <v/>
      </c>
      <c r="S130" s="8">
        <f>IF(P130=0,0,Y130*O130/P130)</f>
        <v/>
      </c>
      <c r="T130" s="8">
        <f>IF(Y130=0,$B$7/2,$B$7/2-Z130*R130/Y130)</f>
        <v/>
      </c>
      <c r="U130" s="8">
        <f>IF(Y130=0,$B$8/2,$B$8/2+Z130*S130/Y130)</f>
        <v/>
      </c>
      <c r="V130" s="8">
        <f>SQRT((T130-L130)^2+(U130-M130)^2)</f>
        <v/>
      </c>
      <c r="Y130">
        <f>$B$10*TAN(RADIANS(Q130))</f>
        <v/>
      </c>
      <c r="Z130">
        <f>IF(OR($H$7&lt;&gt;"OK",Q130=""),"",IF(Q130&lt;=$A$19,$D$19,IF(Q130&gt;=INDEX($A$19:$A$2018,$H$6),INDEX($D$19:$D$2018,$H$6),INDEX($D$19:$D$2018,MATCH(Q130,$A$19:INDEX($A$19:$A$2018,$H$6),1))+(Q130-INDEX($A$19:$A$2018,MATCH(Q130,$A$19:INDEX($A$19:$A$2018,$H$6),1)))*(INDEX($D$19:$D$2018,MATCH(Q130,$A$19:INDEX($A$19:$A$2018,$H$6),1)+1)-INDEX($D$19:$D$2018,MATCH(Q130,$A$19:INDEX($A$19:$A$2018,$H$6),1)))/(INDEX($A$19:$A$2018,MATCH(Q130,$A$19:INDEX($A$19:$A$2018,$H$6),1)+1)-INDEX($A$19:$A$2018,MATCH(Q130,$A$19:INDEX($A$19:$A$2018,$H$6),1))))))</f>
        <v/>
      </c>
    </row>
    <row r="131">
      <c r="A131" s="11" t="n"/>
      <c r="B131" s="11" t="n"/>
      <c r="C131" s="12">
        <f>IF(A131="","",$B$9*TAN(RADIANS(A131)))</f>
        <v/>
      </c>
      <c r="D131" s="12">
        <f>IF(C131="","",C131*(1+B131/100))</f>
        <v/>
      </c>
      <c r="E131" s="12">
        <f>IF(A131="","",$B$10*TAN(RADIANS(A131)))</f>
        <v/>
      </c>
      <c r="G131" s="8" t="n">
        <v>113</v>
      </c>
      <c r="H131" s="8">
        <f>$K$6</f>
        <v/>
      </c>
      <c r="I131" s="7" t="inlineStr">
        <is>
          <t>豎</t>
        </is>
      </c>
      <c r="J131" s="8" t="n">
        <v>4</v>
      </c>
      <c r="K131" s="7" t="inlineStr">
        <is>
          <t>左上</t>
        </is>
      </c>
      <c r="L131" s="8">
        <f>$O$6+($M$6+$L$6)/2-$M$6/2+$L$6/2+3*2*$L$6+(-1)*$L$6/2</f>
        <v/>
      </c>
      <c r="M131" s="8">
        <f>$P$6+(-1)*$M$6/2</f>
        <v/>
      </c>
      <c r="N131" s="8">
        <f>L131-$B$7/2</f>
        <v/>
      </c>
      <c r="O131" s="8">
        <f>M131-$B$8/2</f>
        <v/>
      </c>
      <c r="P131" s="8">
        <f>SQRT(N131^2+O131^2)</f>
        <v/>
      </c>
      <c r="Q131" s="8">
        <f>IF(OR($H$7&lt;&gt;"OK",P131=""),"",IF(P131&lt;=$D$19,$A$19,IF(P131&gt;=INDEX($D$19:$D$2018,$H$6),INDEX($A$19:$A$2018,$H$6),INDEX($A$19:$A$2018,MATCH(P131,$D$19:INDEX($D$19:$D$2018,$H$6),1))+(P131-INDEX($D$19:$D$2018,MATCH(P131,$D$19:INDEX($D$19:$D$2018,$H$6),1)))*(INDEX($A$19:$A$2018,MATCH(P131,$D$19:INDEX($D$19:$D$2018,$H$6),1)+1)-INDEX($A$19:$A$2018,MATCH(P131,$D$19:INDEX($D$19:$D$2018,$H$6),1)))/(INDEX($D$19:$D$2018,MATCH(P131,$D$19:INDEX($D$19:$D$2018,$H$6),1)+1)-INDEX($D$19:$D$2018,MATCH(P131,$D$19:INDEX($D$19:$D$2018,$H$6),1))))))</f>
        <v/>
      </c>
      <c r="R131" s="8">
        <f>IF(P131=0,0,-Y131*N131/P131)</f>
        <v/>
      </c>
      <c r="S131" s="8">
        <f>IF(P131=0,0,Y131*O131/P131)</f>
        <v/>
      </c>
      <c r="T131" s="8">
        <f>IF(Y131=0,$B$7/2,$B$7/2-Z131*R131/Y131)</f>
        <v/>
      </c>
      <c r="U131" s="8">
        <f>IF(Y131=0,$B$8/2,$B$8/2+Z131*S131/Y131)</f>
        <v/>
      </c>
      <c r="V131" s="8">
        <f>SQRT((T131-L131)^2+(U131-M131)^2)</f>
        <v/>
      </c>
      <c r="Y131">
        <f>$B$10*TAN(RADIANS(Q131))</f>
        <v/>
      </c>
      <c r="Z131">
        <f>IF(OR($H$7&lt;&gt;"OK",Q131=""),"",IF(Q131&lt;=$A$19,$D$19,IF(Q131&gt;=INDEX($A$19:$A$2018,$H$6),INDEX($D$19:$D$2018,$H$6),INDEX($D$19:$D$2018,MATCH(Q131,$A$19:INDEX($A$19:$A$2018,$H$6),1))+(Q131-INDEX($A$19:$A$2018,MATCH(Q131,$A$19:INDEX($A$19:$A$2018,$H$6),1)))*(INDEX($D$19:$D$2018,MATCH(Q131,$A$19:INDEX($A$19:$A$2018,$H$6),1)+1)-INDEX($D$19:$D$2018,MATCH(Q131,$A$19:INDEX($A$19:$A$2018,$H$6),1)))/(INDEX($A$19:$A$2018,MATCH(Q131,$A$19:INDEX($A$19:$A$2018,$H$6),1)+1)-INDEX($A$19:$A$2018,MATCH(Q131,$A$19:INDEX($A$19:$A$2018,$H$6),1))))))</f>
        <v/>
      </c>
    </row>
    <row r="132">
      <c r="A132" s="11" t="n"/>
      <c r="B132" s="11" t="n"/>
      <c r="C132" s="12">
        <f>IF(A132="","",$B$9*TAN(RADIANS(A132)))</f>
        <v/>
      </c>
      <c r="D132" s="12">
        <f>IF(C132="","",C132*(1+B132/100))</f>
        <v/>
      </c>
      <c r="E132" s="12">
        <f>IF(A132="","",$B$10*TAN(RADIANS(A132)))</f>
        <v/>
      </c>
      <c r="G132" s="8" t="n">
        <v>114</v>
      </c>
      <c r="H132" s="8">
        <f>$K$6</f>
        <v/>
      </c>
      <c r="I132" s="7" t="inlineStr">
        <is>
          <t>豎</t>
        </is>
      </c>
      <c r="J132" s="8" t="n">
        <v>4</v>
      </c>
      <c r="K132" s="7" t="inlineStr">
        <is>
          <t>右上</t>
        </is>
      </c>
      <c r="L132" s="8">
        <f>$O$6+($M$6+$L$6)/2-$M$6/2+$L$6/2+3*2*$L$6+(1)*$L$6/2</f>
        <v/>
      </c>
      <c r="M132" s="8">
        <f>$P$6+(-1)*$M$6/2</f>
        <v/>
      </c>
      <c r="N132" s="8">
        <f>L132-$B$7/2</f>
        <v/>
      </c>
      <c r="O132" s="8">
        <f>M132-$B$8/2</f>
        <v/>
      </c>
      <c r="P132" s="8">
        <f>SQRT(N132^2+O132^2)</f>
        <v/>
      </c>
      <c r="Q132" s="8">
        <f>IF(OR($H$7&lt;&gt;"OK",P132=""),"",IF(P132&lt;=$D$19,$A$19,IF(P132&gt;=INDEX($D$19:$D$2018,$H$6),INDEX($A$19:$A$2018,$H$6),INDEX($A$19:$A$2018,MATCH(P132,$D$19:INDEX($D$19:$D$2018,$H$6),1))+(P132-INDEX($D$19:$D$2018,MATCH(P132,$D$19:INDEX($D$19:$D$2018,$H$6),1)))*(INDEX($A$19:$A$2018,MATCH(P132,$D$19:INDEX($D$19:$D$2018,$H$6),1)+1)-INDEX($A$19:$A$2018,MATCH(P132,$D$19:INDEX($D$19:$D$2018,$H$6),1)))/(INDEX($D$19:$D$2018,MATCH(P132,$D$19:INDEX($D$19:$D$2018,$H$6),1)+1)-INDEX($D$19:$D$2018,MATCH(P132,$D$19:INDEX($D$19:$D$2018,$H$6),1))))))</f>
        <v/>
      </c>
      <c r="R132" s="8">
        <f>IF(P132=0,0,-Y132*N132/P132)</f>
        <v/>
      </c>
      <c r="S132" s="8">
        <f>IF(P132=0,0,Y132*O132/P132)</f>
        <v/>
      </c>
      <c r="T132" s="8">
        <f>IF(Y132=0,$B$7/2,$B$7/2-Z132*R132/Y132)</f>
        <v/>
      </c>
      <c r="U132" s="8">
        <f>IF(Y132=0,$B$8/2,$B$8/2+Z132*S132/Y132)</f>
        <v/>
      </c>
      <c r="V132" s="8">
        <f>SQRT((T132-L132)^2+(U132-M132)^2)</f>
        <v/>
      </c>
      <c r="Y132">
        <f>$B$10*TAN(RADIANS(Q132))</f>
        <v/>
      </c>
      <c r="Z132">
        <f>IF(OR($H$7&lt;&gt;"OK",Q132=""),"",IF(Q132&lt;=$A$19,$D$19,IF(Q132&gt;=INDEX($A$19:$A$2018,$H$6),INDEX($D$19:$D$2018,$H$6),INDEX($D$19:$D$2018,MATCH(Q132,$A$19:INDEX($A$19:$A$2018,$H$6),1))+(Q132-INDEX($A$19:$A$2018,MATCH(Q132,$A$19:INDEX($A$19:$A$2018,$H$6),1)))*(INDEX($D$19:$D$2018,MATCH(Q132,$A$19:INDEX($A$19:$A$2018,$H$6),1)+1)-INDEX($D$19:$D$2018,MATCH(Q132,$A$19:INDEX($A$19:$A$2018,$H$6),1)))/(INDEX($A$19:$A$2018,MATCH(Q132,$A$19:INDEX($A$19:$A$2018,$H$6),1)+1)-INDEX($A$19:$A$2018,MATCH(Q132,$A$19:INDEX($A$19:$A$2018,$H$6),1))))))</f>
        <v/>
      </c>
    </row>
    <row r="133">
      <c r="A133" s="11" t="n"/>
      <c r="B133" s="11" t="n"/>
      <c r="C133" s="12">
        <f>IF(A133="","",$B$9*TAN(RADIANS(A133)))</f>
        <v/>
      </c>
      <c r="D133" s="12">
        <f>IF(C133="","",C133*(1+B133/100))</f>
        <v/>
      </c>
      <c r="E133" s="12">
        <f>IF(A133="","",$B$10*TAN(RADIANS(A133)))</f>
        <v/>
      </c>
      <c r="G133" s="8" t="n">
        <v>115</v>
      </c>
      <c r="H133" s="8">
        <f>$K$6</f>
        <v/>
      </c>
      <c r="I133" s="7" t="inlineStr">
        <is>
          <t>豎</t>
        </is>
      </c>
      <c r="J133" s="8" t="n">
        <v>4</v>
      </c>
      <c r="K133" s="7" t="inlineStr">
        <is>
          <t>右下</t>
        </is>
      </c>
      <c r="L133" s="8">
        <f>$O$6+($M$6+$L$6)/2-$M$6/2+$L$6/2+3*2*$L$6+(1)*$L$6/2</f>
        <v/>
      </c>
      <c r="M133" s="8">
        <f>$P$6+(1)*$M$6/2</f>
        <v/>
      </c>
      <c r="N133" s="8">
        <f>L133-$B$7/2</f>
        <v/>
      </c>
      <c r="O133" s="8">
        <f>M133-$B$8/2</f>
        <v/>
      </c>
      <c r="P133" s="8">
        <f>SQRT(N133^2+O133^2)</f>
        <v/>
      </c>
      <c r="Q133" s="8">
        <f>IF(OR($H$7&lt;&gt;"OK",P133=""),"",IF(P133&lt;=$D$19,$A$19,IF(P133&gt;=INDEX($D$19:$D$2018,$H$6),INDEX($A$19:$A$2018,$H$6),INDEX($A$19:$A$2018,MATCH(P133,$D$19:INDEX($D$19:$D$2018,$H$6),1))+(P133-INDEX($D$19:$D$2018,MATCH(P133,$D$19:INDEX($D$19:$D$2018,$H$6),1)))*(INDEX($A$19:$A$2018,MATCH(P133,$D$19:INDEX($D$19:$D$2018,$H$6),1)+1)-INDEX($A$19:$A$2018,MATCH(P133,$D$19:INDEX($D$19:$D$2018,$H$6),1)))/(INDEX($D$19:$D$2018,MATCH(P133,$D$19:INDEX($D$19:$D$2018,$H$6),1)+1)-INDEX($D$19:$D$2018,MATCH(P133,$D$19:INDEX($D$19:$D$2018,$H$6),1))))))</f>
        <v/>
      </c>
      <c r="R133" s="8">
        <f>IF(P133=0,0,-Y133*N133/P133)</f>
        <v/>
      </c>
      <c r="S133" s="8">
        <f>IF(P133=0,0,Y133*O133/P133)</f>
        <v/>
      </c>
      <c r="T133" s="8">
        <f>IF(Y133=0,$B$7/2,$B$7/2-Z133*R133/Y133)</f>
        <v/>
      </c>
      <c r="U133" s="8">
        <f>IF(Y133=0,$B$8/2,$B$8/2+Z133*S133/Y133)</f>
        <v/>
      </c>
      <c r="V133" s="8">
        <f>SQRT((T133-L133)^2+(U133-M133)^2)</f>
        <v/>
      </c>
      <c r="Y133">
        <f>$B$10*TAN(RADIANS(Q133))</f>
        <v/>
      </c>
      <c r="Z133">
        <f>IF(OR($H$7&lt;&gt;"OK",Q133=""),"",IF(Q133&lt;=$A$19,$D$19,IF(Q133&gt;=INDEX($A$19:$A$2018,$H$6),INDEX($D$19:$D$2018,$H$6),INDEX($D$19:$D$2018,MATCH(Q133,$A$19:INDEX($A$19:$A$2018,$H$6),1))+(Q133-INDEX($A$19:$A$2018,MATCH(Q133,$A$19:INDEX($A$19:$A$2018,$H$6),1)))*(INDEX($D$19:$D$2018,MATCH(Q133,$A$19:INDEX($A$19:$A$2018,$H$6),1)+1)-INDEX($D$19:$D$2018,MATCH(Q133,$A$19:INDEX($A$19:$A$2018,$H$6),1)))/(INDEX($A$19:$A$2018,MATCH(Q133,$A$19:INDEX($A$19:$A$2018,$H$6),1)+1)-INDEX($A$19:$A$2018,MATCH(Q133,$A$19:INDEX($A$19:$A$2018,$H$6),1))))))</f>
        <v/>
      </c>
    </row>
    <row r="134">
      <c r="A134" s="11" t="n"/>
      <c r="B134" s="11" t="n"/>
      <c r="C134" s="12">
        <f>IF(A134="","",$B$9*TAN(RADIANS(A134)))</f>
        <v/>
      </c>
      <c r="D134" s="12">
        <f>IF(C134="","",C134*(1+B134/100))</f>
        <v/>
      </c>
      <c r="E134" s="12">
        <f>IF(A134="","",$B$10*TAN(RADIANS(A134)))</f>
        <v/>
      </c>
      <c r="G134" s="8" t="n">
        <v>116</v>
      </c>
      <c r="H134" s="8">
        <f>$K$6</f>
        <v/>
      </c>
      <c r="I134" s="7" t="inlineStr">
        <is>
          <t>豎</t>
        </is>
      </c>
      <c r="J134" s="8" t="n">
        <v>4</v>
      </c>
      <c r="K134" s="7" t="inlineStr">
        <is>
          <t>左下</t>
        </is>
      </c>
      <c r="L134" s="8">
        <f>$O$6+($M$6+$L$6)/2-$M$6/2+$L$6/2+3*2*$L$6+(-1)*$L$6/2</f>
        <v/>
      </c>
      <c r="M134" s="8">
        <f>$P$6+(1)*$M$6/2</f>
        <v/>
      </c>
      <c r="N134" s="8">
        <f>L134-$B$7/2</f>
        <v/>
      </c>
      <c r="O134" s="8">
        <f>M134-$B$8/2</f>
        <v/>
      </c>
      <c r="P134" s="8">
        <f>SQRT(N134^2+O134^2)</f>
        <v/>
      </c>
      <c r="Q134" s="8">
        <f>IF(OR($H$7&lt;&gt;"OK",P134=""),"",IF(P134&lt;=$D$19,$A$19,IF(P134&gt;=INDEX($D$19:$D$2018,$H$6),INDEX($A$19:$A$2018,$H$6),INDEX($A$19:$A$2018,MATCH(P134,$D$19:INDEX($D$19:$D$2018,$H$6),1))+(P134-INDEX($D$19:$D$2018,MATCH(P134,$D$19:INDEX($D$19:$D$2018,$H$6),1)))*(INDEX($A$19:$A$2018,MATCH(P134,$D$19:INDEX($D$19:$D$2018,$H$6),1)+1)-INDEX($A$19:$A$2018,MATCH(P134,$D$19:INDEX($D$19:$D$2018,$H$6),1)))/(INDEX($D$19:$D$2018,MATCH(P134,$D$19:INDEX($D$19:$D$2018,$H$6),1)+1)-INDEX($D$19:$D$2018,MATCH(P134,$D$19:INDEX($D$19:$D$2018,$H$6),1))))))</f>
        <v/>
      </c>
      <c r="R134" s="8">
        <f>IF(P134=0,0,-Y134*N134/P134)</f>
        <v/>
      </c>
      <c r="S134" s="8">
        <f>IF(P134=0,0,Y134*O134/P134)</f>
        <v/>
      </c>
      <c r="T134" s="8">
        <f>IF(Y134=0,$B$7/2,$B$7/2-Z134*R134/Y134)</f>
        <v/>
      </c>
      <c r="U134" s="8">
        <f>IF(Y134=0,$B$8/2,$B$8/2+Z134*S134/Y134)</f>
        <v/>
      </c>
      <c r="V134" s="8">
        <f>SQRT((T134-L134)^2+(U134-M134)^2)</f>
        <v/>
      </c>
      <c r="Y134">
        <f>$B$10*TAN(RADIANS(Q134))</f>
        <v/>
      </c>
      <c r="Z134">
        <f>IF(OR($H$7&lt;&gt;"OK",Q134=""),"",IF(Q134&lt;=$A$19,$D$19,IF(Q134&gt;=INDEX($A$19:$A$2018,$H$6),INDEX($D$19:$D$2018,$H$6),INDEX($D$19:$D$2018,MATCH(Q134,$A$19:INDEX($A$19:$A$2018,$H$6),1))+(Q134-INDEX($A$19:$A$2018,MATCH(Q134,$A$19:INDEX($A$19:$A$2018,$H$6),1)))*(INDEX($D$19:$D$2018,MATCH(Q134,$A$19:INDEX($A$19:$A$2018,$H$6),1)+1)-INDEX($D$19:$D$2018,MATCH(Q134,$A$19:INDEX($A$19:$A$2018,$H$6),1)))/(INDEX($A$19:$A$2018,MATCH(Q134,$A$19:INDEX($A$19:$A$2018,$H$6),1)+1)-INDEX($A$19:$A$2018,MATCH(Q134,$A$19:INDEX($A$19:$A$2018,$H$6),1))))))</f>
        <v/>
      </c>
    </row>
    <row r="135">
      <c r="A135" s="11" t="n"/>
      <c r="B135" s="11" t="n"/>
      <c r="C135" s="12">
        <f>IF(A135="","",$B$9*TAN(RADIANS(A135)))</f>
        <v/>
      </c>
      <c r="D135" s="12">
        <f>IF(C135="","",C135*(1+B135/100))</f>
        <v/>
      </c>
      <c r="E135" s="12">
        <f>IF(A135="","",$B$10*TAN(RADIANS(A135)))</f>
        <v/>
      </c>
      <c r="G135" s="8" t="n">
        <v>117</v>
      </c>
      <c r="H135" s="8">
        <f>$K$6</f>
        <v/>
      </c>
      <c r="I135" s="7" t="inlineStr">
        <is>
          <t>豎</t>
        </is>
      </c>
      <c r="J135" s="8" t="n">
        <v>5</v>
      </c>
      <c r="K135" s="7" t="inlineStr">
        <is>
          <t>左上</t>
        </is>
      </c>
      <c r="L135" s="8">
        <f>$O$6+($M$6+$L$6)/2-$M$6/2+$L$6/2+4*2*$L$6+(-1)*$L$6/2</f>
        <v/>
      </c>
      <c r="M135" s="8">
        <f>$P$6+(-1)*$M$6/2</f>
        <v/>
      </c>
      <c r="N135" s="8">
        <f>L135-$B$7/2</f>
        <v/>
      </c>
      <c r="O135" s="8">
        <f>M135-$B$8/2</f>
        <v/>
      </c>
      <c r="P135" s="8">
        <f>SQRT(N135^2+O135^2)</f>
        <v/>
      </c>
      <c r="Q135" s="8">
        <f>IF(OR($H$7&lt;&gt;"OK",P135=""),"",IF(P135&lt;=$D$19,$A$19,IF(P135&gt;=INDEX($D$19:$D$2018,$H$6),INDEX($A$19:$A$2018,$H$6),INDEX($A$19:$A$2018,MATCH(P135,$D$19:INDEX($D$19:$D$2018,$H$6),1))+(P135-INDEX($D$19:$D$2018,MATCH(P135,$D$19:INDEX($D$19:$D$2018,$H$6),1)))*(INDEX($A$19:$A$2018,MATCH(P135,$D$19:INDEX($D$19:$D$2018,$H$6),1)+1)-INDEX($A$19:$A$2018,MATCH(P135,$D$19:INDEX($D$19:$D$2018,$H$6),1)))/(INDEX($D$19:$D$2018,MATCH(P135,$D$19:INDEX($D$19:$D$2018,$H$6),1)+1)-INDEX($D$19:$D$2018,MATCH(P135,$D$19:INDEX($D$19:$D$2018,$H$6),1))))))</f>
        <v/>
      </c>
      <c r="R135" s="8">
        <f>IF(P135=0,0,-Y135*N135/P135)</f>
        <v/>
      </c>
      <c r="S135" s="8">
        <f>IF(P135=0,0,Y135*O135/P135)</f>
        <v/>
      </c>
      <c r="T135" s="8">
        <f>IF(Y135=0,$B$7/2,$B$7/2-Z135*R135/Y135)</f>
        <v/>
      </c>
      <c r="U135" s="8">
        <f>IF(Y135=0,$B$8/2,$B$8/2+Z135*S135/Y135)</f>
        <v/>
      </c>
      <c r="V135" s="8">
        <f>SQRT((T135-L135)^2+(U135-M135)^2)</f>
        <v/>
      </c>
      <c r="Y135">
        <f>$B$10*TAN(RADIANS(Q135))</f>
        <v/>
      </c>
      <c r="Z135">
        <f>IF(OR($H$7&lt;&gt;"OK",Q135=""),"",IF(Q135&lt;=$A$19,$D$19,IF(Q135&gt;=INDEX($A$19:$A$2018,$H$6),INDEX($D$19:$D$2018,$H$6),INDEX($D$19:$D$2018,MATCH(Q135,$A$19:INDEX($A$19:$A$2018,$H$6),1))+(Q135-INDEX($A$19:$A$2018,MATCH(Q135,$A$19:INDEX($A$19:$A$2018,$H$6),1)))*(INDEX($D$19:$D$2018,MATCH(Q135,$A$19:INDEX($A$19:$A$2018,$H$6),1)+1)-INDEX($D$19:$D$2018,MATCH(Q135,$A$19:INDEX($A$19:$A$2018,$H$6),1)))/(INDEX($A$19:$A$2018,MATCH(Q135,$A$19:INDEX($A$19:$A$2018,$H$6),1)+1)-INDEX($A$19:$A$2018,MATCH(Q135,$A$19:INDEX($A$19:$A$2018,$H$6),1))))))</f>
        <v/>
      </c>
    </row>
    <row r="136">
      <c r="A136" s="11" t="n"/>
      <c r="B136" s="11" t="n"/>
      <c r="C136" s="12">
        <f>IF(A136="","",$B$9*TAN(RADIANS(A136)))</f>
        <v/>
      </c>
      <c r="D136" s="12">
        <f>IF(C136="","",C136*(1+B136/100))</f>
        <v/>
      </c>
      <c r="E136" s="12">
        <f>IF(A136="","",$B$10*TAN(RADIANS(A136)))</f>
        <v/>
      </c>
      <c r="G136" s="8" t="n">
        <v>118</v>
      </c>
      <c r="H136" s="8">
        <f>$K$6</f>
        <v/>
      </c>
      <c r="I136" s="7" t="inlineStr">
        <is>
          <t>豎</t>
        </is>
      </c>
      <c r="J136" s="8" t="n">
        <v>5</v>
      </c>
      <c r="K136" s="7" t="inlineStr">
        <is>
          <t>右上</t>
        </is>
      </c>
      <c r="L136" s="8">
        <f>$O$6+($M$6+$L$6)/2-$M$6/2+$L$6/2+4*2*$L$6+(1)*$L$6/2</f>
        <v/>
      </c>
      <c r="M136" s="8">
        <f>$P$6+(-1)*$M$6/2</f>
        <v/>
      </c>
      <c r="N136" s="8">
        <f>L136-$B$7/2</f>
        <v/>
      </c>
      <c r="O136" s="8">
        <f>M136-$B$8/2</f>
        <v/>
      </c>
      <c r="P136" s="8">
        <f>SQRT(N136^2+O136^2)</f>
        <v/>
      </c>
      <c r="Q136" s="8">
        <f>IF(OR($H$7&lt;&gt;"OK",P136=""),"",IF(P136&lt;=$D$19,$A$19,IF(P136&gt;=INDEX($D$19:$D$2018,$H$6),INDEX($A$19:$A$2018,$H$6),INDEX($A$19:$A$2018,MATCH(P136,$D$19:INDEX($D$19:$D$2018,$H$6),1))+(P136-INDEX($D$19:$D$2018,MATCH(P136,$D$19:INDEX($D$19:$D$2018,$H$6),1)))*(INDEX($A$19:$A$2018,MATCH(P136,$D$19:INDEX($D$19:$D$2018,$H$6),1)+1)-INDEX($A$19:$A$2018,MATCH(P136,$D$19:INDEX($D$19:$D$2018,$H$6),1)))/(INDEX($D$19:$D$2018,MATCH(P136,$D$19:INDEX($D$19:$D$2018,$H$6),1)+1)-INDEX($D$19:$D$2018,MATCH(P136,$D$19:INDEX($D$19:$D$2018,$H$6),1))))))</f>
        <v/>
      </c>
      <c r="R136" s="8">
        <f>IF(P136=0,0,-Y136*N136/P136)</f>
        <v/>
      </c>
      <c r="S136" s="8">
        <f>IF(P136=0,0,Y136*O136/P136)</f>
        <v/>
      </c>
      <c r="T136" s="8">
        <f>IF(Y136=0,$B$7/2,$B$7/2-Z136*R136/Y136)</f>
        <v/>
      </c>
      <c r="U136" s="8">
        <f>IF(Y136=0,$B$8/2,$B$8/2+Z136*S136/Y136)</f>
        <v/>
      </c>
      <c r="V136" s="8">
        <f>SQRT((T136-L136)^2+(U136-M136)^2)</f>
        <v/>
      </c>
      <c r="Y136">
        <f>$B$10*TAN(RADIANS(Q136))</f>
        <v/>
      </c>
      <c r="Z136">
        <f>IF(OR($H$7&lt;&gt;"OK",Q136=""),"",IF(Q136&lt;=$A$19,$D$19,IF(Q136&gt;=INDEX($A$19:$A$2018,$H$6),INDEX($D$19:$D$2018,$H$6),INDEX($D$19:$D$2018,MATCH(Q136,$A$19:INDEX($A$19:$A$2018,$H$6),1))+(Q136-INDEX($A$19:$A$2018,MATCH(Q136,$A$19:INDEX($A$19:$A$2018,$H$6),1)))*(INDEX($D$19:$D$2018,MATCH(Q136,$A$19:INDEX($A$19:$A$2018,$H$6),1)+1)-INDEX($D$19:$D$2018,MATCH(Q136,$A$19:INDEX($A$19:$A$2018,$H$6),1)))/(INDEX($A$19:$A$2018,MATCH(Q136,$A$19:INDEX($A$19:$A$2018,$H$6),1)+1)-INDEX($A$19:$A$2018,MATCH(Q136,$A$19:INDEX($A$19:$A$2018,$H$6),1))))))</f>
        <v/>
      </c>
    </row>
    <row r="137">
      <c r="A137" s="11" t="n"/>
      <c r="B137" s="11" t="n"/>
      <c r="C137" s="12">
        <f>IF(A137="","",$B$9*TAN(RADIANS(A137)))</f>
        <v/>
      </c>
      <c r="D137" s="12">
        <f>IF(C137="","",C137*(1+B137/100))</f>
        <v/>
      </c>
      <c r="E137" s="12">
        <f>IF(A137="","",$B$10*TAN(RADIANS(A137)))</f>
        <v/>
      </c>
      <c r="G137" s="8" t="n">
        <v>119</v>
      </c>
      <c r="H137" s="8">
        <f>$K$6</f>
        <v/>
      </c>
      <c r="I137" s="7" t="inlineStr">
        <is>
          <t>豎</t>
        </is>
      </c>
      <c r="J137" s="8" t="n">
        <v>5</v>
      </c>
      <c r="K137" s="7" t="inlineStr">
        <is>
          <t>右下</t>
        </is>
      </c>
      <c r="L137" s="8">
        <f>$O$6+($M$6+$L$6)/2-$M$6/2+$L$6/2+4*2*$L$6+(1)*$L$6/2</f>
        <v/>
      </c>
      <c r="M137" s="8">
        <f>$P$6+(1)*$M$6/2</f>
        <v/>
      </c>
      <c r="N137" s="8">
        <f>L137-$B$7/2</f>
        <v/>
      </c>
      <c r="O137" s="8">
        <f>M137-$B$8/2</f>
        <v/>
      </c>
      <c r="P137" s="8">
        <f>SQRT(N137^2+O137^2)</f>
        <v/>
      </c>
      <c r="Q137" s="8">
        <f>IF(OR($H$7&lt;&gt;"OK",P137=""),"",IF(P137&lt;=$D$19,$A$19,IF(P137&gt;=INDEX($D$19:$D$2018,$H$6),INDEX($A$19:$A$2018,$H$6),INDEX($A$19:$A$2018,MATCH(P137,$D$19:INDEX($D$19:$D$2018,$H$6),1))+(P137-INDEX($D$19:$D$2018,MATCH(P137,$D$19:INDEX($D$19:$D$2018,$H$6),1)))*(INDEX($A$19:$A$2018,MATCH(P137,$D$19:INDEX($D$19:$D$2018,$H$6),1)+1)-INDEX($A$19:$A$2018,MATCH(P137,$D$19:INDEX($D$19:$D$2018,$H$6),1)))/(INDEX($D$19:$D$2018,MATCH(P137,$D$19:INDEX($D$19:$D$2018,$H$6),1)+1)-INDEX($D$19:$D$2018,MATCH(P137,$D$19:INDEX($D$19:$D$2018,$H$6),1))))))</f>
        <v/>
      </c>
      <c r="R137" s="8">
        <f>IF(P137=0,0,-Y137*N137/P137)</f>
        <v/>
      </c>
      <c r="S137" s="8">
        <f>IF(P137=0,0,Y137*O137/P137)</f>
        <v/>
      </c>
      <c r="T137" s="8">
        <f>IF(Y137=0,$B$7/2,$B$7/2-Z137*R137/Y137)</f>
        <v/>
      </c>
      <c r="U137" s="8">
        <f>IF(Y137=0,$B$8/2,$B$8/2+Z137*S137/Y137)</f>
        <v/>
      </c>
      <c r="V137" s="8">
        <f>SQRT((T137-L137)^2+(U137-M137)^2)</f>
        <v/>
      </c>
      <c r="Y137">
        <f>$B$10*TAN(RADIANS(Q137))</f>
        <v/>
      </c>
      <c r="Z137">
        <f>IF(OR($H$7&lt;&gt;"OK",Q137=""),"",IF(Q137&lt;=$A$19,$D$19,IF(Q137&gt;=INDEX($A$19:$A$2018,$H$6),INDEX($D$19:$D$2018,$H$6),INDEX($D$19:$D$2018,MATCH(Q137,$A$19:INDEX($A$19:$A$2018,$H$6),1))+(Q137-INDEX($A$19:$A$2018,MATCH(Q137,$A$19:INDEX($A$19:$A$2018,$H$6),1)))*(INDEX($D$19:$D$2018,MATCH(Q137,$A$19:INDEX($A$19:$A$2018,$H$6),1)+1)-INDEX($D$19:$D$2018,MATCH(Q137,$A$19:INDEX($A$19:$A$2018,$H$6),1)))/(INDEX($A$19:$A$2018,MATCH(Q137,$A$19:INDEX($A$19:$A$2018,$H$6),1)+1)-INDEX($A$19:$A$2018,MATCH(Q137,$A$19:INDEX($A$19:$A$2018,$H$6),1))))))</f>
        <v/>
      </c>
    </row>
    <row r="138">
      <c r="A138" s="11" t="n"/>
      <c r="B138" s="11" t="n"/>
      <c r="C138" s="12">
        <f>IF(A138="","",$B$9*TAN(RADIANS(A138)))</f>
        <v/>
      </c>
      <c r="D138" s="12">
        <f>IF(C138="","",C138*(1+B138/100))</f>
        <v/>
      </c>
      <c r="E138" s="12">
        <f>IF(A138="","",$B$10*TAN(RADIANS(A138)))</f>
        <v/>
      </c>
      <c r="G138" s="8" t="n">
        <v>120</v>
      </c>
      <c r="H138" s="8">
        <f>$K$6</f>
        <v/>
      </c>
      <c r="I138" s="7" t="inlineStr">
        <is>
          <t>豎</t>
        </is>
      </c>
      <c r="J138" s="8" t="n">
        <v>5</v>
      </c>
      <c r="K138" s="7" t="inlineStr">
        <is>
          <t>左下</t>
        </is>
      </c>
      <c r="L138" s="8">
        <f>$O$6+($M$6+$L$6)/2-$M$6/2+$L$6/2+4*2*$L$6+(-1)*$L$6/2</f>
        <v/>
      </c>
      <c r="M138" s="8">
        <f>$P$6+(1)*$M$6/2</f>
        <v/>
      </c>
      <c r="N138" s="8">
        <f>L138-$B$7/2</f>
        <v/>
      </c>
      <c r="O138" s="8">
        <f>M138-$B$8/2</f>
        <v/>
      </c>
      <c r="P138" s="8">
        <f>SQRT(N138^2+O138^2)</f>
        <v/>
      </c>
      <c r="Q138" s="8">
        <f>IF(OR($H$7&lt;&gt;"OK",P138=""),"",IF(P138&lt;=$D$19,$A$19,IF(P138&gt;=INDEX($D$19:$D$2018,$H$6),INDEX($A$19:$A$2018,$H$6),INDEX($A$19:$A$2018,MATCH(P138,$D$19:INDEX($D$19:$D$2018,$H$6),1))+(P138-INDEX($D$19:$D$2018,MATCH(P138,$D$19:INDEX($D$19:$D$2018,$H$6),1)))*(INDEX($A$19:$A$2018,MATCH(P138,$D$19:INDEX($D$19:$D$2018,$H$6),1)+1)-INDEX($A$19:$A$2018,MATCH(P138,$D$19:INDEX($D$19:$D$2018,$H$6),1)))/(INDEX($D$19:$D$2018,MATCH(P138,$D$19:INDEX($D$19:$D$2018,$H$6),1)+1)-INDEX($D$19:$D$2018,MATCH(P138,$D$19:INDEX($D$19:$D$2018,$H$6),1))))))</f>
        <v/>
      </c>
      <c r="R138" s="8">
        <f>IF(P138=0,0,-Y138*N138/P138)</f>
        <v/>
      </c>
      <c r="S138" s="8">
        <f>IF(P138=0,0,Y138*O138/P138)</f>
        <v/>
      </c>
      <c r="T138" s="8">
        <f>IF(Y138=0,$B$7/2,$B$7/2-Z138*R138/Y138)</f>
        <v/>
      </c>
      <c r="U138" s="8">
        <f>IF(Y138=0,$B$8/2,$B$8/2+Z138*S138/Y138)</f>
        <v/>
      </c>
      <c r="V138" s="8">
        <f>SQRT((T138-L138)^2+(U138-M138)^2)</f>
        <v/>
      </c>
      <c r="Y138">
        <f>$B$10*TAN(RADIANS(Q138))</f>
        <v/>
      </c>
      <c r="Z138">
        <f>IF(OR($H$7&lt;&gt;"OK",Q138=""),"",IF(Q138&lt;=$A$19,$D$19,IF(Q138&gt;=INDEX($A$19:$A$2018,$H$6),INDEX($D$19:$D$2018,$H$6),INDEX($D$19:$D$2018,MATCH(Q138,$A$19:INDEX($A$19:$A$2018,$H$6),1))+(Q138-INDEX($A$19:$A$2018,MATCH(Q138,$A$19:INDEX($A$19:$A$2018,$H$6),1)))*(INDEX($D$19:$D$2018,MATCH(Q138,$A$19:INDEX($A$19:$A$2018,$H$6),1)+1)-INDEX($D$19:$D$2018,MATCH(Q138,$A$19:INDEX($A$19:$A$2018,$H$6),1)))/(INDEX($A$19:$A$2018,MATCH(Q138,$A$19:INDEX($A$19:$A$2018,$H$6),1)+1)-INDEX($A$19:$A$2018,MATCH(Q138,$A$19:INDEX($A$19:$A$2018,$H$6),1))))))</f>
        <v/>
      </c>
    </row>
    <row r="139">
      <c r="A139" s="11" t="n"/>
      <c r="B139" s="11" t="n"/>
      <c r="C139" s="12">
        <f>IF(A139="","",$B$9*TAN(RADIANS(A139)))</f>
        <v/>
      </c>
      <c r="D139" s="12">
        <f>IF(C139="","",C139*(1+B139/100))</f>
        <v/>
      </c>
      <c r="E139" s="12">
        <f>IF(A139="","",$B$10*TAN(RADIANS(A139)))</f>
        <v/>
      </c>
      <c r="G139" s="8" t="n">
        <v>121</v>
      </c>
      <c r="H139" s="8">
        <f>$K$7</f>
        <v/>
      </c>
      <c r="I139" s="7" t="inlineStr">
        <is>
          <t>橫</t>
        </is>
      </c>
      <c r="J139" s="8" t="n">
        <v>1</v>
      </c>
      <c r="K139" s="7" t="inlineStr">
        <is>
          <t>左上</t>
        </is>
      </c>
      <c r="L139" s="8">
        <f>$O$7-($M$7+$L$7)/2+(-1)*$M$7/2</f>
        <v/>
      </c>
      <c r="M139" s="8">
        <f>$P$7-$M$7/2+$L$7/2+0*2*$L$7+(-1)*$L$7/2</f>
        <v/>
      </c>
      <c r="N139" s="8">
        <f>L139-$B$7/2</f>
        <v/>
      </c>
      <c r="O139" s="8">
        <f>M139-$B$8/2</f>
        <v/>
      </c>
      <c r="P139" s="8">
        <f>SQRT(N139^2+O139^2)</f>
        <v/>
      </c>
      <c r="Q139" s="8">
        <f>IF(OR($H$7&lt;&gt;"OK",P139=""),"",IF(P139&lt;=$D$19,$A$19,IF(P139&gt;=INDEX($D$19:$D$2018,$H$6),INDEX($A$19:$A$2018,$H$6),INDEX($A$19:$A$2018,MATCH(P139,$D$19:INDEX($D$19:$D$2018,$H$6),1))+(P139-INDEX($D$19:$D$2018,MATCH(P139,$D$19:INDEX($D$19:$D$2018,$H$6),1)))*(INDEX($A$19:$A$2018,MATCH(P139,$D$19:INDEX($D$19:$D$2018,$H$6),1)+1)-INDEX($A$19:$A$2018,MATCH(P139,$D$19:INDEX($D$19:$D$2018,$H$6),1)))/(INDEX($D$19:$D$2018,MATCH(P139,$D$19:INDEX($D$19:$D$2018,$H$6),1)+1)-INDEX($D$19:$D$2018,MATCH(P139,$D$19:INDEX($D$19:$D$2018,$H$6),1))))))</f>
        <v/>
      </c>
      <c r="R139" s="8">
        <f>IF(P139=0,0,-Y139*N139/P139)</f>
        <v/>
      </c>
      <c r="S139" s="8">
        <f>IF(P139=0,0,Y139*O139/P139)</f>
        <v/>
      </c>
      <c r="T139" s="8">
        <f>IF(Y139=0,$B$7/2,$B$7/2-Z139*R139/Y139)</f>
        <v/>
      </c>
      <c r="U139" s="8">
        <f>IF(Y139=0,$B$8/2,$B$8/2+Z139*S139/Y139)</f>
        <v/>
      </c>
      <c r="V139" s="8">
        <f>SQRT((T139-L139)^2+(U139-M139)^2)</f>
        <v/>
      </c>
      <c r="Y139">
        <f>$B$10*TAN(RADIANS(Q139))</f>
        <v/>
      </c>
      <c r="Z139">
        <f>IF(OR($H$7&lt;&gt;"OK",Q139=""),"",IF(Q139&lt;=$A$19,$D$19,IF(Q139&gt;=INDEX($A$19:$A$2018,$H$6),INDEX($D$19:$D$2018,$H$6),INDEX($D$19:$D$2018,MATCH(Q139,$A$19:INDEX($A$19:$A$2018,$H$6),1))+(Q139-INDEX($A$19:$A$2018,MATCH(Q139,$A$19:INDEX($A$19:$A$2018,$H$6),1)))*(INDEX($D$19:$D$2018,MATCH(Q139,$A$19:INDEX($A$19:$A$2018,$H$6),1)+1)-INDEX($D$19:$D$2018,MATCH(Q139,$A$19:INDEX($A$19:$A$2018,$H$6),1)))/(INDEX($A$19:$A$2018,MATCH(Q139,$A$19:INDEX($A$19:$A$2018,$H$6),1)+1)-INDEX($A$19:$A$2018,MATCH(Q139,$A$19:INDEX($A$19:$A$2018,$H$6),1))))))</f>
        <v/>
      </c>
    </row>
    <row r="140">
      <c r="A140" s="11" t="n"/>
      <c r="B140" s="11" t="n"/>
      <c r="C140" s="12">
        <f>IF(A140="","",$B$9*TAN(RADIANS(A140)))</f>
        <v/>
      </c>
      <c r="D140" s="12">
        <f>IF(C140="","",C140*(1+B140/100))</f>
        <v/>
      </c>
      <c r="E140" s="12">
        <f>IF(A140="","",$B$10*TAN(RADIANS(A140)))</f>
        <v/>
      </c>
      <c r="G140" s="8" t="n">
        <v>122</v>
      </c>
      <c r="H140" s="8">
        <f>$K$7</f>
        <v/>
      </c>
      <c r="I140" s="7" t="inlineStr">
        <is>
          <t>橫</t>
        </is>
      </c>
      <c r="J140" s="8" t="n">
        <v>1</v>
      </c>
      <c r="K140" s="7" t="inlineStr">
        <is>
          <t>右上</t>
        </is>
      </c>
      <c r="L140" s="8">
        <f>$O$7-($M$7+$L$7)/2+(1)*$M$7/2</f>
        <v/>
      </c>
      <c r="M140" s="8">
        <f>$P$7-$M$7/2+$L$7/2+0*2*$L$7+(-1)*$L$7/2</f>
        <v/>
      </c>
      <c r="N140" s="8">
        <f>L140-$B$7/2</f>
        <v/>
      </c>
      <c r="O140" s="8">
        <f>M140-$B$8/2</f>
        <v/>
      </c>
      <c r="P140" s="8">
        <f>SQRT(N140^2+O140^2)</f>
        <v/>
      </c>
      <c r="Q140" s="8">
        <f>IF(OR($H$7&lt;&gt;"OK",P140=""),"",IF(P140&lt;=$D$19,$A$19,IF(P140&gt;=INDEX($D$19:$D$2018,$H$6),INDEX($A$19:$A$2018,$H$6),INDEX($A$19:$A$2018,MATCH(P140,$D$19:INDEX($D$19:$D$2018,$H$6),1))+(P140-INDEX($D$19:$D$2018,MATCH(P140,$D$19:INDEX($D$19:$D$2018,$H$6),1)))*(INDEX($A$19:$A$2018,MATCH(P140,$D$19:INDEX($D$19:$D$2018,$H$6),1)+1)-INDEX($A$19:$A$2018,MATCH(P140,$D$19:INDEX($D$19:$D$2018,$H$6),1)))/(INDEX($D$19:$D$2018,MATCH(P140,$D$19:INDEX($D$19:$D$2018,$H$6),1)+1)-INDEX($D$19:$D$2018,MATCH(P140,$D$19:INDEX($D$19:$D$2018,$H$6),1))))))</f>
        <v/>
      </c>
      <c r="R140" s="8">
        <f>IF(P140=0,0,-Y140*N140/P140)</f>
        <v/>
      </c>
      <c r="S140" s="8">
        <f>IF(P140=0,0,Y140*O140/P140)</f>
        <v/>
      </c>
      <c r="T140" s="8">
        <f>IF(Y140=0,$B$7/2,$B$7/2-Z140*R140/Y140)</f>
        <v/>
      </c>
      <c r="U140" s="8">
        <f>IF(Y140=0,$B$8/2,$B$8/2+Z140*S140/Y140)</f>
        <v/>
      </c>
      <c r="V140" s="8">
        <f>SQRT((T140-L140)^2+(U140-M140)^2)</f>
        <v/>
      </c>
      <c r="Y140">
        <f>$B$10*TAN(RADIANS(Q140))</f>
        <v/>
      </c>
      <c r="Z140">
        <f>IF(OR($H$7&lt;&gt;"OK",Q140=""),"",IF(Q140&lt;=$A$19,$D$19,IF(Q140&gt;=INDEX($A$19:$A$2018,$H$6),INDEX($D$19:$D$2018,$H$6),INDEX($D$19:$D$2018,MATCH(Q140,$A$19:INDEX($A$19:$A$2018,$H$6),1))+(Q140-INDEX($A$19:$A$2018,MATCH(Q140,$A$19:INDEX($A$19:$A$2018,$H$6),1)))*(INDEX($D$19:$D$2018,MATCH(Q140,$A$19:INDEX($A$19:$A$2018,$H$6),1)+1)-INDEX($D$19:$D$2018,MATCH(Q140,$A$19:INDEX($A$19:$A$2018,$H$6),1)))/(INDEX($A$19:$A$2018,MATCH(Q140,$A$19:INDEX($A$19:$A$2018,$H$6),1)+1)-INDEX($A$19:$A$2018,MATCH(Q140,$A$19:INDEX($A$19:$A$2018,$H$6),1))))))</f>
        <v/>
      </c>
    </row>
    <row r="141">
      <c r="A141" s="11" t="n"/>
      <c r="B141" s="11" t="n"/>
      <c r="C141" s="12">
        <f>IF(A141="","",$B$9*TAN(RADIANS(A141)))</f>
        <v/>
      </c>
      <c r="D141" s="12">
        <f>IF(C141="","",C141*(1+B141/100))</f>
        <v/>
      </c>
      <c r="E141" s="12">
        <f>IF(A141="","",$B$10*TAN(RADIANS(A141)))</f>
        <v/>
      </c>
      <c r="G141" s="8" t="n">
        <v>123</v>
      </c>
      <c r="H141" s="8">
        <f>$K$7</f>
        <v/>
      </c>
      <c r="I141" s="7" t="inlineStr">
        <is>
          <t>橫</t>
        </is>
      </c>
      <c r="J141" s="8" t="n">
        <v>1</v>
      </c>
      <c r="K141" s="7" t="inlineStr">
        <is>
          <t>右下</t>
        </is>
      </c>
      <c r="L141" s="8">
        <f>$O$7-($M$7+$L$7)/2+(1)*$M$7/2</f>
        <v/>
      </c>
      <c r="M141" s="8">
        <f>$P$7-$M$7/2+$L$7/2+0*2*$L$7+(1)*$L$7/2</f>
        <v/>
      </c>
      <c r="N141" s="8">
        <f>L141-$B$7/2</f>
        <v/>
      </c>
      <c r="O141" s="8">
        <f>M141-$B$8/2</f>
        <v/>
      </c>
      <c r="P141" s="8">
        <f>SQRT(N141^2+O141^2)</f>
        <v/>
      </c>
      <c r="Q141" s="8">
        <f>IF(OR($H$7&lt;&gt;"OK",P141=""),"",IF(P141&lt;=$D$19,$A$19,IF(P141&gt;=INDEX($D$19:$D$2018,$H$6),INDEX($A$19:$A$2018,$H$6),INDEX($A$19:$A$2018,MATCH(P141,$D$19:INDEX($D$19:$D$2018,$H$6),1))+(P141-INDEX($D$19:$D$2018,MATCH(P141,$D$19:INDEX($D$19:$D$2018,$H$6),1)))*(INDEX($A$19:$A$2018,MATCH(P141,$D$19:INDEX($D$19:$D$2018,$H$6),1)+1)-INDEX($A$19:$A$2018,MATCH(P141,$D$19:INDEX($D$19:$D$2018,$H$6),1)))/(INDEX($D$19:$D$2018,MATCH(P141,$D$19:INDEX($D$19:$D$2018,$H$6),1)+1)-INDEX($D$19:$D$2018,MATCH(P141,$D$19:INDEX($D$19:$D$2018,$H$6),1))))))</f>
        <v/>
      </c>
      <c r="R141" s="8">
        <f>IF(P141=0,0,-Y141*N141/P141)</f>
        <v/>
      </c>
      <c r="S141" s="8">
        <f>IF(P141=0,0,Y141*O141/P141)</f>
        <v/>
      </c>
      <c r="T141" s="8">
        <f>IF(Y141=0,$B$7/2,$B$7/2-Z141*R141/Y141)</f>
        <v/>
      </c>
      <c r="U141" s="8">
        <f>IF(Y141=0,$B$8/2,$B$8/2+Z141*S141/Y141)</f>
        <v/>
      </c>
      <c r="V141" s="8">
        <f>SQRT((T141-L141)^2+(U141-M141)^2)</f>
        <v/>
      </c>
      <c r="Y141">
        <f>$B$10*TAN(RADIANS(Q141))</f>
        <v/>
      </c>
      <c r="Z141">
        <f>IF(OR($H$7&lt;&gt;"OK",Q141=""),"",IF(Q141&lt;=$A$19,$D$19,IF(Q141&gt;=INDEX($A$19:$A$2018,$H$6),INDEX($D$19:$D$2018,$H$6),INDEX($D$19:$D$2018,MATCH(Q141,$A$19:INDEX($A$19:$A$2018,$H$6),1))+(Q141-INDEX($A$19:$A$2018,MATCH(Q141,$A$19:INDEX($A$19:$A$2018,$H$6),1)))*(INDEX($D$19:$D$2018,MATCH(Q141,$A$19:INDEX($A$19:$A$2018,$H$6),1)+1)-INDEX($D$19:$D$2018,MATCH(Q141,$A$19:INDEX($A$19:$A$2018,$H$6),1)))/(INDEX($A$19:$A$2018,MATCH(Q141,$A$19:INDEX($A$19:$A$2018,$H$6),1)+1)-INDEX($A$19:$A$2018,MATCH(Q141,$A$19:INDEX($A$19:$A$2018,$H$6),1))))))</f>
        <v/>
      </c>
    </row>
    <row r="142">
      <c r="A142" s="11" t="n"/>
      <c r="B142" s="11" t="n"/>
      <c r="C142" s="12">
        <f>IF(A142="","",$B$9*TAN(RADIANS(A142)))</f>
        <v/>
      </c>
      <c r="D142" s="12">
        <f>IF(C142="","",C142*(1+B142/100))</f>
        <v/>
      </c>
      <c r="E142" s="12">
        <f>IF(A142="","",$B$10*TAN(RADIANS(A142)))</f>
        <v/>
      </c>
      <c r="G142" s="8" t="n">
        <v>124</v>
      </c>
      <c r="H142" s="8">
        <f>$K$7</f>
        <v/>
      </c>
      <c r="I142" s="7" t="inlineStr">
        <is>
          <t>橫</t>
        </is>
      </c>
      <c r="J142" s="8" t="n">
        <v>1</v>
      </c>
      <c r="K142" s="7" t="inlineStr">
        <is>
          <t>左下</t>
        </is>
      </c>
      <c r="L142" s="8">
        <f>$O$7-($M$7+$L$7)/2+(-1)*$M$7/2</f>
        <v/>
      </c>
      <c r="M142" s="8">
        <f>$P$7-$M$7/2+$L$7/2+0*2*$L$7+(1)*$L$7/2</f>
        <v/>
      </c>
      <c r="N142" s="8">
        <f>L142-$B$7/2</f>
        <v/>
      </c>
      <c r="O142" s="8">
        <f>M142-$B$8/2</f>
        <v/>
      </c>
      <c r="P142" s="8">
        <f>SQRT(N142^2+O142^2)</f>
        <v/>
      </c>
      <c r="Q142" s="8">
        <f>IF(OR($H$7&lt;&gt;"OK",P142=""),"",IF(P142&lt;=$D$19,$A$19,IF(P142&gt;=INDEX($D$19:$D$2018,$H$6),INDEX($A$19:$A$2018,$H$6),INDEX($A$19:$A$2018,MATCH(P142,$D$19:INDEX($D$19:$D$2018,$H$6),1))+(P142-INDEX($D$19:$D$2018,MATCH(P142,$D$19:INDEX($D$19:$D$2018,$H$6),1)))*(INDEX($A$19:$A$2018,MATCH(P142,$D$19:INDEX($D$19:$D$2018,$H$6),1)+1)-INDEX($A$19:$A$2018,MATCH(P142,$D$19:INDEX($D$19:$D$2018,$H$6),1)))/(INDEX($D$19:$D$2018,MATCH(P142,$D$19:INDEX($D$19:$D$2018,$H$6),1)+1)-INDEX($D$19:$D$2018,MATCH(P142,$D$19:INDEX($D$19:$D$2018,$H$6),1))))))</f>
        <v/>
      </c>
      <c r="R142" s="8">
        <f>IF(P142=0,0,-Y142*N142/P142)</f>
        <v/>
      </c>
      <c r="S142" s="8">
        <f>IF(P142=0,0,Y142*O142/P142)</f>
        <v/>
      </c>
      <c r="T142" s="8">
        <f>IF(Y142=0,$B$7/2,$B$7/2-Z142*R142/Y142)</f>
        <v/>
      </c>
      <c r="U142" s="8">
        <f>IF(Y142=0,$B$8/2,$B$8/2+Z142*S142/Y142)</f>
        <v/>
      </c>
      <c r="V142" s="8">
        <f>SQRT((T142-L142)^2+(U142-M142)^2)</f>
        <v/>
      </c>
      <c r="Y142">
        <f>$B$10*TAN(RADIANS(Q142))</f>
        <v/>
      </c>
      <c r="Z142">
        <f>IF(OR($H$7&lt;&gt;"OK",Q142=""),"",IF(Q142&lt;=$A$19,$D$19,IF(Q142&gt;=INDEX($A$19:$A$2018,$H$6),INDEX($D$19:$D$2018,$H$6),INDEX($D$19:$D$2018,MATCH(Q142,$A$19:INDEX($A$19:$A$2018,$H$6),1))+(Q142-INDEX($A$19:$A$2018,MATCH(Q142,$A$19:INDEX($A$19:$A$2018,$H$6),1)))*(INDEX($D$19:$D$2018,MATCH(Q142,$A$19:INDEX($A$19:$A$2018,$H$6),1)+1)-INDEX($D$19:$D$2018,MATCH(Q142,$A$19:INDEX($A$19:$A$2018,$H$6),1)))/(INDEX($A$19:$A$2018,MATCH(Q142,$A$19:INDEX($A$19:$A$2018,$H$6),1)+1)-INDEX($A$19:$A$2018,MATCH(Q142,$A$19:INDEX($A$19:$A$2018,$H$6),1))))))</f>
        <v/>
      </c>
    </row>
    <row r="143">
      <c r="A143" s="11" t="n"/>
      <c r="B143" s="11" t="n"/>
      <c r="C143" s="12">
        <f>IF(A143="","",$B$9*TAN(RADIANS(A143)))</f>
        <v/>
      </c>
      <c r="D143" s="12">
        <f>IF(C143="","",C143*(1+B143/100))</f>
        <v/>
      </c>
      <c r="E143" s="12">
        <f>IF(A143="","",$B$10*TAN(RADIANS(A143)))</f>
        <v/>
      </c>
      <c r="G143" s="8" t="n">
        <v>125</v>
      </c>
      <c r="H143" s="8">
        <f>$K$7</f>
        <v/>
      </c>
      <c r="I143" s="7" t="inlineStr">
        <is>
          <t>橫</t>
        </is>
      </c>
      <c r="J143" s="8" t="n">
        <v>2</v>
      </c>
      <c r="K143" s="7" t="inlineStr">
        <is>
          <t>左上</t>
        </is>
      </c>
      <c r="L143" s="8">
        <f>$O$7-($M$7+$L$7)/2+(-1)*$M$7/2</f>
        <v/>
      </c>
      <c r="M143" s="8">
        <f>$P$7-$M$7/2+$L$7/2+1*2*$L$7+(-1)*$L$7/2</f>
        <v/>
      </c>
      <c r="N143" s="8">
        <f>L143-$B$7/2</f>
        <v/>
      </c>
      <c r="O143" s="8">
        <f>M143-$B$8/2</f>
        <v/>
      </c>
      <c r="P143" s="8">
        <f>SQRT(N143^2+O143^2)</f>
        <v/>
      </c>
      <c r="Q143" s="8">
        <f>IF(OR($H$7&lt;&gt;"OK",P143=""),"",IF(P143&lt;=$D$19,$A$19,IF(P143&gt;=INDEX($D$19:$D$2018,$H$6),INDEX($A$19:$A$2018,$H$6),INDEX($A$19:$A$2018,MATCH(P143,$D$19:INDEX($D$19:$D$2018,$H$6),1))+(P143-INDEX($D$19:$D$2018,MATCH(P143,$D$19:INDEX($D$19:$D$2018,$H$6),1)))*(INDEX($A$19:$A$2018,MATCH(P143,$D$19:INDEX($D$19:$D$2018,$H$6),1)+1)-INDEX($A$19:$A$2018,MATCH(P143,$D$19:INDEX($D$19:$D$2018,$H$6),1)))/(INDEX($D$19:$D$2018,MATCH(P143,$D$19:INDEX($D$19:$D$2018,$H$6),1)+1)-INDEX($D$19:$D$2018,MATCH(P143,$D$19:INDEX($D$19:$D$2018,$H$6),1))))))</f>
        <v/>
      </c>
      <c r="R143" s="8">
        <f>IF(P143=0,0,-Y143*N143/P143)</f>
        <v/>
      </c>
      <c r="S143" s="8">
        <f>IF(P143=0,0,Y143*O143/P143)</f>
        <v/>
      </c>
      <c r="T143" s="8">
        <f>IF(Y143=0,$B$7/2,$B$7/2-Z143*R143/Y143)</f>
        <v/>
      </c>
      <c r="U143" s="8">
        <f>IF(Y143=0,$B$8/2,$B$8/2+Z143*S143/Y143)</f>
        <v/>
      </c>
      <c r="V143" s="8">
        <f>SQRT((T143-L143)^2+(U143-M143)^2)</f>
        <v/>
      </c>
      <c r="Y143">
        <f>$B$10*TAN(RADIANS(Q143))</f>
        <v/>
      </c>
      <c r="Z143">
        <f>IF(OR($H$7&lt;&gt;"OK",Q143=""),"",IF(Q143&lt;=$A$19,$D$19,IF(Q143&gt;=INDEX($A$19:$A$2018,$H$6),INDEX($D$19:$D$2018,$H$6),INDEX($D$19:$D$2018,MATCH(Q143,$A$19:INDEX($A$19:$A$2018,$H$6),1))+(Q143-INDEX($A$19:$A$2018,MATCH(Q143,$A$19:INDEX($A$19:$A$2018,$H$6),1)))*(INDEX($D$19:$D$2018,MATCH(Q143,$A$19:INDEX($A$19:$A$2018,$H$6),1)+1)-INDEX($D$19:$D$2018,MATCH(Q143,$A$19:INDEX($A$19:$A$2018,$H$6),1)))/(INDEX($A$19:$A$2018,MATCH(Q143,$A$19:INDEX($A$19:$A$2018,$H$6),1)+1)-INDEX($A$19:$A$2018,MATCH(Q143,$A$19:INDEX($A$19:$A$2018,$H$6),1))))))</f>
        <v/>
      </c>
    </row>
    <row r="144">
      <c r="A144" s="11" t="n"/>
      <c r="B144" s="11" t="n"/>
      <c r="C144" s="12">
        <f>IF(A144="","",$B$9*TAN(RADIANS(A144)))</f>
        <v/>
      </c>
      <c r="D144" s="12">
        <f>IF(C144="","",C144*(1+B144/100))</f>
        <v/>
      </c>
      <c r="E144" s="12">
        <f>IF(A144="","",$B$10*TAN(RADIANS(A144)))</f>
        <v/>
      </c>
      <c r="G144" s="8" t="n">
        <v>126</v>
      </c>
      <c r="H144" s="8">
        <f>$K$7</f>
        <v/>
      </c>
      <c r="I144" s="7" t="inlineStr">
        <is>
          <t>橫</t>
        </is>
      </c>
      <c r="J144" s="8" t="n">
        <v>2</v>
      </c>
      <c r="K144" s="7" t="inlineStr">
        <is>
          <t>右上</t>
        </is>
      </c>
      <c r="L144" s="8">
        <f>$O$7-($M$7+$L$7)/2+(1)*$M$7/2</f>
        <v/>
      </c>
      <c r="M144" s="8">
        <f>$P$7-$M$7/2+$L$7/2+1*2*$L$7+(-1)*$L$7/2</f>
        <v/>
      </c>
      <c r="N144" s="8">
        <f>L144-$B$7/2</f>
        <v/>
      </c>
      <c r="O144" s="8">
        <f>M144-$B$8/2</f>
        <v/>
      </c>
      <c r="P144" s="8">
        <f>SQRT(N144^2+O144^2)</f>
        <v/>
      </c>
      <c r="Q144" s="8">
        <f>IF(OR($H$7&lt;&gt;"OK",P144=""),"",IF(P144&lt;=$D$19,$A$19,IF(P144&gt;=INDEX($D$19:$D$2018,$H$6),INDEX($A$19:$A$2018,$H$6),INDEX($A$19:$A$2018,MATCH(P144,$D$19:INDEX($D$19:$D$2018,$H$6),1))+(P144-INDEX($D$19:$D$2018,MATCH(P144,$D$19:INDEX($D$19:$D$2018,$H$6),1)))*(INDEX($A$19:$A$2018,MATCH(P144,$D$19:INDEX($D$19:$D$2018,$H$6),1)+1)-INDEX($A$19:$A$2018,MATCH(P144,$D$19:INDEX($D$19:$D$2018,$H$6),1)))/(INDEX($D$19:$D$2018,MATCH(P144,$D$19:INDEX($D$19:$D$2018,$H$6),1)+1)-INDEX($D$19:$D$2018,MATCH(P144,$D$19:INDEX($D$19:$D$2018,$H$6),1))))))</f>
        <v/>
      </c>
      <c r="R144" s="8">
        <f>IF(P144=0,0,-Y144*N144/P144)</f>
        <v/>
      </c>
      <c r="S144" s="8">
        <f>IF(P144=0,0,Y144*O144/P144)</f>
        <v/>
      </c>
      <c r="T144" s="8">
        <f>IF(Y144=0,$B$7/2,$B$7/2-Z144*R144/Y144)</f>
        <v/>
      </c>
      <c r="U144" s="8">
        <f>IF(Y144=0,$B$8/2,$B$8/2+Z144*S144/Y144)</f>
        <v/>
      </c>
      <c r="V144" s="8">
        <f>SQRT((T144-L144)^2+(U144-M144)^2)</f>
        <v/>
      </c>
      <c r="Y144">
        <f>$B$10*TAN(RADIANS(Q144))</f>
        <v/>
      </c>
      <c r="Z144">
        <f>IF(OR($H$7&lt;&gt;"OK",Q144=""),"",IF(Q144&lt;=$A$19,$D$19,IF(Q144&gt;=INDEX($A$19:$A$2018,$H$6),INDEX($D$19:$D$2018,$H$6),INDEX($D$19:$D$2018,MATCH(Q144,$A$19:INDEX($A$19:$A$2018,$H$6),1))+(Q144-INDEX($A$19:$A$2018,MATCH(Q144,$A$19:INDEX($A$19:$A$2018,$H$6),1)))*(INDEX($D$19:$D$2018,MATCH(Q144,$A$19:INDEX($A$19:$A$2018,$H$6),1)+1)-INDEX($D$19:$D$2018,MATCH(Q144,$A$19:INDEX($A$19:$A$2018,$H$6),1)))/(INDEX($A$19:$A$2018,MATCH(Q144,$A$19:INDEX($A$19:$A$2018,$H$6),1)+1)-INDEX($A$19:$A$2018,MATCH(Q144,$A$19:INDEX($A$19:$A$2018,$H$6),1))))))</f>
        <v/>
      </c>
    </row>
    <row r="145">
      <c r="A145" s="11" t="n"/>
      <c r="B145" s="11" t="n"/>
      <c r="C145" s="12">
        <f>IF(A145="","",$B$9*TAN(RADIANS(A145)))</f>
        <v/>
      </c>
      <c r="D145" s="12">
        <f>IF(C145="","",C145*(1+B145/100))</f>
        <v/>
      </c>
      <c r="E145" s="12">
        <f>IF(A145="","",$B$10*TAN(RADIANS(A145)))</f>
        <v/>
      </c>
      <c r="G145" s="8" t="n">
        <v>127</v>
      </c>
      <c r="H145" s="8">
        <f>$K$7</f>
        <v/>
      </c>
      <c r="I145" s="7" t="inlineStr">
        <is>
          <t>橫</t>
        </is>
      </c>
      <c r="J145" s="8" t="n">
        <v>2</v>
      </c>
      <c r="K145" s="7" t="inlineStr">
        <is>
          <t>右下</t>
        </is>
      </c>
      <c r="L145" s="8">
        <f>$O$7-($M$7+$L$7)/2+(1)*$M$7/2</f>
        <v/>
      </c>
      <c r="M145" s="8">
        <f>$P$7-$M$7/2+$L$7/2+1*2*$L$7+(1)*$L$7/2</f>
        <v/>
      </c>
      <c r="N145" s="8">
        <f>L145-$B$7/2</f>
        <v/>
      </c>
      <c r="O145" s="8">
        <f>M145-$B$8/2</f>
        <v/>
      </c>
      <c r="P145" s="8">
        <f>SQRT(N145^2+O145^2)</f>
        <v/>
      </c>
      <c r="Q145" s="8">
        <f>IF(OR($H$7&lt;&gt;"OK",P145=""),"",IF(P145&lt;=$D$19,$A$19,IF(P145&gt;=INDEX($D$19:$D$2018,$H$6),INDEX($A$19:$A$2018,$H$6),INDEX($A$19:$A$2018,MATCH(P145,$D$19:INDEX($D$19:$D$2018,$H$6),1))+(P145-INDEX($D$19:$D$2018,MATCH(P145,$D$19:INDEX($D$19:$D$2018,$H$6),1)))*(INDEX($A$19:$A$2018,MATCH(P145,$D$19:INDEX($D$19:$D$2018,$H$6),1)+1)-INDEX($A$19:$A$2018,MATCH(P145,$D$19:INDEX($D$19:$D$2018,$H$6),1)))/(INDEX($D$19:$D$2018,MATCH(P145,$D$19:INDEX($D$19:$D$2018,$H$6),1)+1)-INDEX($D$19:$D$2018,MATCH(P145,$D$19:INDEX($D$19:$D$2018,$H$6),1))))))</f>
        <v/>
      </c>
      <c r="R145" s="8">
        <f>IF(P145=0,0,-Y145*N145/P145)</f>
        <v/>
      </c>
      <c r="S145" s="8">
        <f>IF(P145=0,0,Y145*O145/P145)</f>
        <v/>
      </c>
      <c r="T145" s="8">
        <f>IF(Y145=0,$B$7/2,$B$7/2-Z145*R145/Y145)</f>
        <v/>
      </c>
      <c r="U145" s="8">
        <f>IF(Y145=0,$B$8/2,$B$8/2+Z145*S145/Y145)</f>
        <v/>
      </c>
      <c r="V145" s="8">
        <f>SQRT((T145-L145)^2+(U145-M145)^2)</f>
        <v/>
      </c>
      <c r="Y145">
        <f>$B$10*TAN(RADIANS(Q145))</f>
        <v/>
      </c>
      <c r="Z145">
        <f>IF(OR($H$7&lt;&gt;"OK",Q145=""),"",IF(Q145&lt;=$A$19,$D$19,IF(Q145&gt;=INDEX($A$19:$A$2018,$H$6),INDEX($D$19:$D$2018,$H$6),INDEX($D$19:$D$2018,MATCH(Q145,$A$19:INDEX($A$19:$A$2018,$H$6),1))+(Q145-INDEX($A$19:$A$2018,MATCH(Q145,$A$19:INDEX($A$19:$A$2018,$H$6),1)))*(INDEX($D$19:$D$2018,MATCH(Q145,$A$19:INDEX($A$19:$A$2018,$H$6),1)+1)-INDEX($D$19:$D$2018,MATCH(Q145,$A$19:INDEX($A$19:$A$2018,$H$6),1)))/(INDEX($A$19:$A$2018,MATCH(Q145,$A$19:INDEX($A$19:$A$2018,$H$6),1)+1)-INDEX($A$19:$A$2018,MATCH(Q145,$A$19:INDEX($A$19:$A$2018,$H$6),1))))))</f>
        <v/>
      </c>
    </row>
    <row r="146">
      <c r="A146" s="11" t="n"/>
      <c r="B146" s="11" t="n"/>
      <c r="C146" s="12">
        <f>IF(A146="","",$B$9*TAN(RADIANS(A146)))</f>
        <v/>
      </c>
      <c r="D146" s="12">
        <f>IF(C146="","",C146*(1+B146/100))</f>
        <v/>
      </c>
      <c r="E146" s="12">
        <f>IF(A146="","",$B$10*TAN(RADIANS(A146)))</f>
        <v/>
      </c>
      <c r="G146" s="8" t="n">
        <v>128</v>
      </c>
      <c r="H146" s="8">
        <f>$K$7</f>
        <v/>
      </c>
      <c r="I146" s="7" t="inlineStr">
        <is>
          <t>橫</t>
        </is>
      </c>
      <c r="J146" s="8" t="n">
        <v>2</v>
      </c>
      <c r="K146" s="7" t="inlineStr">
        <is>
          <t>左下</t>
        </is>
      </c>
      <c r="L146" s="8">
        <f>$O$7-($M$7+$L$7)/2+(-1)*$M$7/2</f>
        <v/>
      </c>
      <c r="M146" s="8">
        <f>$P$7-$M$7/2+$L$7/2+1*2*$L$7+(1)*$L$7/2</f>
        <v/>
      </c>
      <c r="N146" s="8">
        <f>L146-$B$7/2</f>
        <v/>
      </c>
      <c r="O146" s="8">
        <f>M146-$B$8/2</f>
        <v/>
      </c>
      <c r="P146" s="8">
        <f>SQRT(N146^2+O146^2)</f>
        <v/>
      </c>
      <c r="Q146" s="8">
        <f>IF(OR($H$7&lt;&gt;"OK",P146=""),"",IF(P146&lt;=$D$19,$A$19,IF(P146&gt;=INDEX($D$19:$D$2018,$H$6),INDEX($A$19:$A$2018,$H$6),INDEX($A$19:$A$2018,MATCH(P146,$D$19:INDEX($D$19:$D$2018,$H$6),1))+(P146-INDEX($D$19:$D$2018,MATCH(P146,$D$19:INDEX($D$19:$D$2018,$H$6),1)))*(INDEX($A$19:$A$2018,MATCH(P146,$D$19:INDEX($D$19:$D$2018,$H$6),1)+1)-INDEX($A$19:$A$2018,MATCH(P146,$D$19:INDEX($D$19:$D$2018,$H$6),1)))/(INDEX($D$19:$D$2018,MATCH(P146,$D$19:INDEX($D$19:$D$2018,$H$6),1)+1)-INDEX($D$19:$D$2018,MATCH(P146,$D$19:INDEX($D$19:$D$2018,$H$6),1))))))</f>
        <v/>
      </c>
      <c r="R146" s="8">
        <f>IF(P146=0,0,-Y146*N146/P146)</f>
        <v/>
      </c>
      <c r="S146" s="8">
        <f>IF(P146=0,0,Y146*O146/P146)</f>
        <v/>
      </c>
      <c r="T146" s="8">
        <f>IF(Y146=0,$B$7/2,$B$7/2-Z146*R146/Y146)</f>
        <v/>
      </c>
      <c r="U146" s="8">
        <f>IF(Y146=0,$B$8/2,$B$8/2+Z146*S146/Y146)</f>
        <v/>
      </c>
      <c r="V146" s="8">
        <f>SQRT((T146-L146)^2+(U146-M146)^2)</f>
        <v/>
      </c>
      <c r="Y146">
        <f>$B$10*TAN(RADIANS(Q146))</f>
        <v/>
      </c>
      <c r="Z146">
        <f>IF(OR($H$7&lt;&gt;"OK",Q146=""),"",IF(Q146&lt;=$A$19,$D$19,IF(Q146&gt;=INDEX($A$19:$A$2018,$H$6),INDEX($D$19:$D$2018,$H$6),INDEX($D$19:$D$2018,MATCH(Q146,$A$19:INDEX($A$19:$A$2018,$H$6),1))+(Q146-INDEX($A$19:$A$2018,MATCH(Q146,$A$19:INDEX($A$19:$A$2018,$H$6),1)))*(INDEX($D$19:$D$2018,MATCH(Q146,$A$19:INDEX($A$19:$A$2018,$H$6),1)+1)-INDEX($D$19:$D$2018,MATCH(Q146,$A$19:INDEX($A$19:$A$2018,$H$6),1)))/(INDEX($A$19:$A$2018,MATCH(Q146,$A$19:INDEX($A$19:$A$2018,$H$6),1)+1)-INDEX($A$19:$A$2018,MATCH(Q146,$A$19:INDEX($A$19:$A$2018,$H$6),1))))))</f>
        <v/>
      </c>
    </row>
    <row r="147">
      <c r="A147" s="11" t="n"/>
      <c r="B147" s="11" t="n"/>
      <c r="C147" s="12">
        <f>IF(A147="","",$B$9*TAN(RADIANS(A147)))</f>
        <v/>
      </c>
      <c r="D147" s="12">
        <f>IF(C147="","",C147*(1+B147/100))</f>
        <v/>
      </c>
      <c r="E147" s="12">
        <f>IF(A147="","",$B$10*TAN(RADIANS(A147)))</f>
        <v/>
      </c>
      <c r="G147" s="8" t="n">
        <v>129</v>
      </c>
      <c r="H147" s="8">
        <f>$K$7</f>
        <v/>
      </c>
      <c r="I147" s="7" t="inlineStr">
        <is>
          <t>橫</t>
        </is>
      </c>
      <c r="J147" s="8" t="n">
        <v>3</v>
      </c>
      <c r="K147" s="7" t="inlineStr">
        <is>
          <t>左上</t>
        </is>
      </c>
      <c r="L147" s="8">
        <f>$O$7-($M$7+$L$7)/2+(-1)*$M$7/2</f>
        <v/>
      </c>
      <c r="M147" s="8">
        <f>$P$7-$M$7/2+$L$7/2+2*2*$L$7+(-1)*$L$7/2</f>
        <v/>
      </c>
      <c r="N147" s="8">
        <f>L147-$B$7/2</f>
        <v/>
      </c>
      <c r="O147" s="8">
        <f>M147-$B$8/2</f>
        <v/>
      </c>
      <c r="P147" s="8">
        <f>SQRT(N147^2+O147^2)</f>
        <v/>
      </c>
      <c r="Q147" s="8">
        <f>IF(OR($H$7&lt;&gt;"OK",P147=""),"",IF(P147&lt;=$D$19,$A$19,IF(P147&gt;=INDEX($D$19:$D$2018,$H$6),INDEX($A$19:$A$2018,$H$6),INDEX($A$19:$A$2018,MATCH(P147,$D$19:INDEX($D$19:$D$2018,$H$6),1))+(P147-INDEX($D$19:$D$2018,MATCH(P147,$D$19:INDEX($D$19:$D$2018,$H$6),1)))*(INDEX($A$19:$A$2018,MATCH(P147,$D$19:INDEX($D$19:$D$2018,$H$6),1)+1)-INDEX($A$19:$A$2018,MATCH(P147,$D$19:INDEX($D$19:$D$2018,$H$6),1)))/(INDEX($D$19:$D$2018,MATCH(P147,$D$19:INDEX($D$19:$D$2018,$H$6),1)+1)-INDEX($D$19:$D$2018,MATCH(P147,$D$19:INDEX($D$19:$D$2018,$H$6),1))))))</f>
        <v/>
      </c>
      <c r="R147" s="8">
        <f>IF(P147=0,0,-Y147*N147/P147)</f>
        <v/>
      </c>
      <c r="S147" s="8">
        <f>IF(P147=0,0,Y147*O147/P147)</f>
        <v/>
      </c>
      <c r="T147" s="8">
        <f>IF(Y147=0,$B$7/2,$B$7/2-Z147*R147/Y147)</f>
        <v/>
      </c>
      <c r="U147" s="8">
        <f>IF(Y147=0,$B$8/2,$B$8/2+Z147*S147/Y147)</f>
        <v/>
      </c>
      <c r="V147" s="8">
        <f>SQRT((T147-L147)^2+(U147-M147)^2)</f>
        <v/>
      </c>
      <c r="Y147">
        <f>$B$10*TAN(RADIANS(Q147))</f>
        <v/>
      </c>
      <c r="Z147">
        <f>IF(OR($H$7&lt;&gt;"OK",Q147=""),"",IF(Q147&lt;=$A$19,$D$19,IF(Q147&gt;=INDEX($A$19:$A$2018,$H$6),INDEX($D$19:$D$2018,$H$6),INDEX($D$19:$D$2018,MATCH(Q147,$A$19:INDEX($A$19:$A$2018,$H$6),1))+(Q147-INDEX($A$19:$A$2018,MATCH(Q147,$A$19:INDEX($A$19:$A$2018,$H$6),1)))*(INDEX($D$19:$D$2018,MATCH(Q147,$A$19:INDEX($A$19:$A$2018,$H$6),1)+1)-INDEX($D$19:$D$2018,MATCH(Q147,$A$19:INDEX($A$19:$A$2018,$H$6),1)))/(INDEX($A$19:$A$2018,MATCH(Q147,$A$19:INDEX($A$19:$A$2018,$H$6),1)+1)-INDEX($A$19:$A$2018,MATCH(Q147,$A$19:INDEX($A$19:$A$2018,$H$6),1))))))</f>
        <v/>
      </c>
    </row>
    <row r="148">
      <c r="A148" s="11" t="n"/>
      <c r="B148" s="11" t="n"/>
      <c r="C148" s="12">
        <f>IF(A148="","",$B$9*TAN(RADIANS(A148)))</f>
        <v/>
      </c>
      <c r="D148" s="12">
        <f>IF(C148="","",C148*(1+B148/100))</f>
        <v/>
      </c>
      <c r="E148" s="12">
        <f>IF(A148="","",$B$10*TAN(RADIANS(A148)))</f>
        <v/>
      </c>
      <c r="G148" s="8" t="n">
        <v>130</v>
      </c>
      <c r="H148" s="8">
        <f>$K$7</f>
        <v/>
      </c>
      <c r="I148" s="7" t="inlineStr">
        <is>
          <t>橫</t>
        </is>
      </c>
      <c r="J148" s="8" t="n">
        <v>3</v>
      </c>
      <c r="K148" s="7" t="inlineStr">
        <is>
          <t>右上</t>
        </is>
      </c>
      <c r="L148" s="8">
        <f>$O$7-($M$7+$L$7)/2+(1)*$M$7/2</f>
        <v/>
      </c>
      <c r="M148" s="8">
        <f>$P$7-$M$7/2+$L$7/2+2*2*$L$7+(-1)*$L$7/2</f>
        <v/>
      </c>
      <c r="N148" s="8">
        <f>L148-$B$7/2</f>
        <v/>
      </c>
      <c r="O148" s="8">
        <f>M148-$B$8/2</f>
        <v/>
      </c>
      <c r="P148" s="8">
        <f>SQRT(N148^2+O148^2)</f>
        <v/>
      </c>
      <c r="Q148" s="8">
        <f>IF(OR($H$7&lt;&gt;"OK",P148=""),"",IF(P148&lt;=$D$19,$A$19,IF(P148&gt;=INDEX($D$19:$D$2018,$H$6),INDEX($A$19:$A$2018,$H$6),INDEX($A$19:$A$2018,MATCH(P148,$D$19:INDEX($D$19:$D$2018,$H$6),1))+(P148-INDEX($D$19:$D$2018,MATCH(P148,$D$19:INDEX($D$19:$D$2018,$H$6),1)))*(INDEX($A$19:$A$2018,MATCH(P148,$D$19:INDEX($D$19:$D$2018,$H$6),1)+1)-INDEX($A$19:$A$2018,MATCH(P148,$D$19:INDEX($D$19:$D$2018,$H$6),1)))/(INDEX($D$19:$D$2018,MATCH(P148,$D$19:INDEX($D$19:$D$2018,$H$6),1)+1)-INDEX($D$19:$D$2018,MATCH(P148,$D$19:INDEX($D$19:$D$2018,$H$6),1))))))</f>
        <v/>
      </c>
      <c r="R148" s="8">
        <f>IF(P148=0,0,-Y148*N148/P148)</f>
        <v/>
      </c>
      <c r="S148" s="8">
        <f>IF(P148=0,0,Y148*O148/P148)</f>
        <v/>
      </c>
      <c r="T148" s="8">
        <f>IF(Y148=0,$B$7/2,$B$7/2-Z148*R148/Y148)</f>
        <v/>
      </c>
      <c r="U148" s="8">
        <f>IF(Y148=0,$B$8/2,$B$8/2+Z148*S148/Y148)</f>
        <v/>
      </c>
      <c r="V148" s="8">
        <f>SQRT((T148-L148)^2+(U148-M148)^2)</f>
        <v/>
      </c>
      <c r="Y148">
        <f>$B$10*TAN(RADIANS(Q148))</f>
        <v/>
      </c>
      <c r="Z148">
        <f>IF(OR($H$7&lt;&gt;"OK",Q148=""),"",IF(Q148&lt;=$A$19,$D$19,IF(Q148&gt;=INDEX($A$19:$A$2018,$H$6),INDEX($D$19:$D$2018,$H$6),INDEX($D$19:$D$2018,MATCH(Q148,$A$19:INDEX($A$19:$A$2018,$H$6),1))+(Q148-INDEX($A$19:$A$2018,MATCH(Q148,$A$19:INDEX($A$19:$A$2018,$H$6),1)))*(INDEX($D$19:$D$2018,MATCH(Q148,$A$19:INDEX($A$19:$A$2018,$H$6),1)+1)-INDEX($D$19:$D$2018,MATCH(Q148,$A$19:INDEX($A$19:$A$2018,$H$6),1)))/(INDEX($A$19:$A$2018,MATCH(Q148,$A$19:INDEX($A$19:$A$2018,$H$6),1)+1)-INDEX($A$19:$A$2018,MATCH(Q148,$A$19:INDEX($A$19:$A$2018,$H$6),1))))))</f>
        <v/>
      </c>
    </row>
    <row r="149">
      <c r="A149" s="11" t="n"/>
      <c r="B149" s="11" t="n"/>
      <c r="C149" s="12">
        <f>IF(A149="","",$B$9*TAN(RADIANS(A149)))</f>
        <v/>
      </c>
      <c r="D149" s="12">
        <f>IF(C149="","",C149*(1+B149/100))</f>
        <v/>
      </c>
      <c r="E149" s="12">
        <f>IF(A149="","",$B$10*TAN(RADIANS(A149)))</f>
        <v/>
      </c>
      <c r="G149" s="8" t="n">
        <v>131</v>
      </c>
      <c r="H149" s="8">
        <f>$K$7</f>
        <v/>
      </c>
      <c r="I149" s="7" t="inlineStr">
        <is>
          <t>橫</t>
        </is>
      </c>
      <c r="J149" s="8" t="n">
        <v>3</v>
      </c>
      <c r="K149" s="7" t="inlineStr">
        <is>
          <t>右下</t>
        </is>
      </c>
      <c r="L149" s="8">
        <f>$O$7-($M$7+$L$7)/2+(1)*$M$7/2</f>
        <v/>
      </c>
      <c r="M149" s="8">
        <f>$P$7-$M$7/2+$L$7/2+2*2*$L$7+(1)*$L$7/2</f>
        <v/>
      </c>
      <c r="N149" s="8">
        <f>L149-$B$7/2</f>
        <v/>
      </c>
      <c r="O149" s="8">
        <f>M149-$B$8/2</f>
        <v/>
      </c>
      <c r="P149" s="8">
        <f>SQRT(N149^2+O149^2)</f>
        <v/>
      </c>
      <c r="Q149" s="8">
        <f>IF(OR($H$7&lt;&gt;"OK",P149=""),"",IF(P149&lt;=$D$19,$A$19,IF(P149&gt;=INDEX($D$19:$D$2018,$H$6),INDEX($A$19:$A$2018,$H$6),INDEX($A$19:$A$2018,MATCH(P149,$D$19:INDEX($D$19:$D$2018,$H$6),1))+(P149-INDEX($D$19:$D$2018,MATCH(P149,$D$19:INDEX($D$19:$D$2018,$H$6),1)))*(INDEX($A$19:$A$2018,MATCH(P149,$D$19:INDEX($D$19:$D$2018,$H$6),1)+1)-INDEX($A$19:$A$2018,MATCH(P149,$D$19:INDEX($D$19:$D$2018,$H$6),1)))/(INDEX($D$19:$D$2018,MATCH(P149,$D$19:INDEX($D$19:$D$2018,$H$6),1)+1)-INDEX($D$19:$D$2018,MATCH(P149,$D$19:INDEX($D$19:$D$2018,$H$6),1))))))</f>
        <v/>
      </c>
      <c r="R149" s="8">
        <f>IF(P149=0,0,-Y149*N149/P149)</f>
        <v/>
      </c>
      <c r="S149" s="8">
        <f>IF(P149=0,0,Y149*O149/P149)</f>
        <v/>
      </c>
      <c r="T149" s="8">
        <f>IF(Y149=0,$B$7/2,$B$7/2-Z149*R149/Y149)</f>
        <v/>
      </c>
      <c r="U149" s="8">
        <f>IF(Y149=0,$B$8/2,$B$8/2+Z149*S149/Y149)</f>
        <v/>
      </c>
      <c r="V149" s="8">
        <f>SQRT((T149-L149)^2+(U149-M149)^2)</f>
        <v/>
      </c>
      <c r="Y149">
        <f>$B$10*TAN(RADIANS(Q149))</f>
        <v/>
      </c>
      <c r="Z149">
        <f>IF(OR($H$7&lt;&gt;"OK",Q149=""),"",IF(Q149&lt;=$A$19,$D$19,IF(Q149&gt;=INDEX($A$19:$A$2018,$H$6),INDEX($D$19:$D$2018,$H$6),INDEX($D$19:$D$2018,MATCH(Q149,$A$19:INDEX($A$19:$A$2018,$H$6),1))+(Q149-INDEX($A$19:$A$2018,MATCH(Q149,$A$19:INDEX($A$19:$A$2018,$H$6),1)))*(INDEX($D$19:$D$2018,MATCH(Q149,$A$19:INDEX($A$19:$A$2018,$H$6),1)+1)-INDEX($D$19:$D$2018,MATCH(Q149,$A$19:INDEX($A$19:$A$2018,$H$6),1)))/(INDEX($A$19:$A$2018,MATCH(Q149,$A$19:INDEX($A$19:$A$2018,$H$6),1)+1)-INDEX($A$19:$A$2018,MATCH(Q149,$A$19:INDEX($A$19:$A$2018,$H$6),1))))))</f>
        <v/>
      </c>
    </row>
    <row r="150">
      <c r="A150" s="11" t="n"/>
      <c r="B150" s="11" t="n"/>
      <c r="C150" s="12">
        <f>IF(A150="","",$B$9*TAN(RADIANS(A150)))</f>
        <v/>
      </c>
      <c r="D150" s="12">
        <f>IF(C150="","",C150*(1+B150/100))</f>
        <v/>
      </c>
      <c r="E150" s="12">
        <f>IF(A150="","",$B$10*TAN(RADIANS(A150)))</f>
        <v/>
      </c>
      <c r="G150" s="8" t="n">
        <v>132</v>
      </c>
      <c r="H150" s="8">
        <f>$K$7</f>
        <v/>
      </c>
      <c r="I150" s="7" t="inlineStr">
        <is>
          <t>橫</t>
        </is>
      </c>
      <c r="J150" s="8" t="n">
        <v>3</v>
      </c>
      <c r="K150" s="7" t="inlineStr">
        <is>
          <t>左下</t>
        </is>
      </c>
      <c r="L150" s="8">
        <f>$O$7-($M$7+$L$7)/2+(-1)*$M$7/2</f>
        <v/>
      </c>
      <c r="M150" s="8">
        <f>$P$7-$M$7/2+$L$7/2+2*2*$L$7+(1)*$L$7/2</f>
        <v/>
      </c>
      <c r="N150" s="8">
        <f>L150-$B$7/2</f>
        <v/>
      </c>
      <c r="O150" s="8">
        <f>M150-$B$8/2</f>
        <v/>
      </c>
      <c r="P150" s="8">
        <f>SQRT(N150^2+O150^2)</f>
        <v/>
      </c>
      <c r="Q150" s="8">
        <f>IF(OR($H$7&lt;&gt;"OK",P150=""),"",IF(P150&lt;=$D$19,$A$19,IF(P150&gt;=INDEX($D$19:$D$2018,$H$6),INDEX($A$19:$A$2018,$H$6),INDEX($A$19:$A$2018,MATCH(P150,$D$19:INDEX($D$19:$D$2018,$H$6),1))+(P150-INDEX($D$19:$D$2018,MATCH(P150,$D$19:INDEX($D$19:$D$2018,$H$6),1)))*(INDEX($A$19:$A$2018,MATCH(P150,$D$19:INDEX($D$19:$D$2018,$H$6),1)+1)-INDEX($A$19:$A$2018,MATCH(P150,$D$19:INDEX($D$19:$D$2018,$H$6),1)))/(INDEX($D$19:$D$2018,MATCH(P150,$D$19:INDEX($D$19:$D$2018,$H$6),1)+1)-INDEX($D$19:$D$2018,MATCH(P150,$D$19:INDEX($D$19:$D$2018,$H$6),1))))))</f>
        <v/>
      </c>
      <c r="R150" s="8">
        <f>IF(P150=0,0,-Y150*N150/P150)</f>
        <v/>
      </c>
      <c r="S150" s="8">
        <f>IF(P150=0,0,Y150*O150/P150)</f>
        <v/>
      </c>
      <c r="T150" s="8">
        <f>IF(Y150=0,$B$7/2,$B$7/2-Z150*R150/Y150)</f>
        <v/>
      </c>
      <c r="U150" s="8">
        <f>IF(Y150=0,$B$8/2,$B$8/2+Z150*S150/Y150)</f>
        <v/>
      </c>
      <c r="V150" s="8">
        <f>SQRT((T150-L150)^2+(U150-M150)^2)</f>
        <v/>
      </c>
      <c r="Y150">
        <f>$B$10*TAN(RADIANS(Q150))</f>
        <v/>
      </c>
      <c r="Z150">
        <f>IF(OR($H$7&lt;&gt;"OK",Q150=""),"",IF(Q150&lt;=$A$19,$D$19,IF(Q150&gt;=INDEX($A$19:$A$2018,$H$6),INDEX($D$19:$D$2018,$H$6),INDEX($D$19:$D$2018,MATCH(Q150,$A$19:INDEX($A$19:$A$2018,$H$6),1))+(Q150-INDEX($A$19:$A$2018,MATCH(Q150,$A$19:INDEX($A$19:$A$2018,$H$6),1)))*(INDEX($D$19:$D$2018,MATCH(Q150,$A$19:INDEX($A$19:$A$2018,$H$6),1)+1)-INDEX($D$19:$D$2018,MATCH(Q150,$A$19:INDEX($A$19:$A$2018,$H$6),1)))/(INDEX($A$19:$A$2018,MATCH(Q150,$A$19:INDEX($A$19:$A$2018,$H$6),1)+1)-INDEX($A$19:$A$2018,MATCH(Q150,$A$19:INDEX($A$19:$A$2018,$H$6),1))))))</f>
        <v/>
      </c>
    </row>
    <row r="151">
      <c r="A151" s="11" t="n"/>
      <c r="B151" s="11" t="n"/>
      <c r="C151" s="12">
        <f>IF(A151="","",$B$9*TAN(RADIANS(A151)))</f>
        <v/>
      </c>
      <c r="D151" s="12">
        <f>IF(C151="","",C151*(1+B151/100))</f>
        <v/>
      </c>
      <c r="E151" s="12">
        <f>IF(A151="","",$B$10*TAN(RADIANS(A151)))</f>
        <v/>
      </c>
      <c r="G151" s="8" t="n">
        <v>133</v>
      </c>
      <c r="H151" s="8">
        <f>$K$7</f>
        <v/>
      </c>
      <c r="I151" s="7" t="inlineStr">
        <is>
          <t>橫</t>
        </is>
      </c>
      <c r="J151" s="8" t="n">
        <v>4</v>
      </c>
      <c r="K151" s="7" t="inlineStr">
        <is>
          <t>左上</t>
        </is>
      </c>
      <c r="L151" s="8">
        <f>$O$7-($M$7+$L$7)/2+(-1)*$M$7/2</f>
        <v/>
      </c>
      <c r="M151" s="8">
        <f>$P$7-$M$7/2+$L$7/2+3*2*$L$7+(-1)*$L$7/2</f>
        <v/>
      </c>
      <c r="N151" s="8">
        <f>L151-$B$7/2</f>
        <v/>
      </c>
      <c r="O151" s="8">
        <f>M151-$B$8/2</f>
        <v/>
      </c>
      <c r="P151" s="8">
        <f>SQRT(N151^2+O151^2)</f>
        <v/>
      </c>
      <c r="Q151" s="8">
        <f>IF(OR($H$7&lt;&gt;"OK",P151=""),"",IF(P151&lt;=$D$19,$A$19,IF(P151&gt;=INDEX($D$19:$D$2018,$H$6),INDEX($A$19:$A$2018,$H$6),INDEX($A$19:$A$2018,MATCH(P151,$D$19:INDEX($D$19:$D$2018,$H$6),1))+(P151-INDEX($D$19:$D$2018,MATCH(P151,$D$19:INDEX($D$19:$D$2018,$H$6),1)))*(INDEX($A$19:$A$2018,MATCH(P151,$D$19:INDEX($D$19:$D$2018,$H$6),1)+1)-INDEX($A$19:$A$2018,MATCH(P151,$D$19:INDEX($D$19:$D$2018,$H$6),1)))/(INDEX($D$19:$D$2018,MATCH(P151,$D$19:INDEX($D$19:$D$2018,$H$6),1)+1)-INDEX($D$19:$D$2018,MATCH(P151,$D$19:INDEX($D$19:$D$2018,$H$6),1))))))</f>
        <v/>
      </c>
      <c r="R151" s="8">
        <f>IF(P151=0,0,-Y151*N151/P151)</f>
        <v/>
      </c>
      <c r="S151" s="8">
        <f>IF(P151=0,0,Y151*O151/P151)</f>
        <v/>
      </c>
      <c r="T151" s="8">
        <f>IF(Y151=0,$B$7/2,$B$7/2-Z151*R151/Y151)</f>
        <v/>
      </c>
      <c r="U151" s="8">
        <f>IF(Y151=0,$B$8/2,$B$8/2+Z151*S151/Y151)</f>
        <v/>
      </c>
      <c r="V151" s="8">
        <f>SQRT((T151-L151)^2+(U151-M151)^2)</f>
        <v/>
      </c>
      <c r="Y151">
        <f>$B$10*TAN(RADIANS(Q151))</f>
        <v/>
      </c>
      <c r="Z151">
        <f>IF(OR($H$7&lt;&gt;"OK",Q151=""),"",IF(Q151&lt;=$A$19,$D$19,IF(Q151&gt;=INDEX($A$19:$A$2018,$H$6),INDEX($D$19:$D$2018,$H$6),INDEX($D$19:$D$2018,MATCH(Q151,$A$19:INDEX($A$19:$A$2018,$H$6),1))+(Q151-INDEX($A$19:$A$2018,MATCH(Q151,$A$19:INDEX($A$19:$A$2018,$H$6),1)))*(INDEX($D$19:$D$2018,MATCH(Q151,$A$19:INDEX($A$19:$A$2018,$H$6),1)+1)-INDEX($D$19:$D$2018,MATCH(Q151,$A$19:INDEX($A$19:$A$2018,$H$6),1)))/(INDEX($A$19:$A$2018,MATCH(Q151,$A$19:INDEX($A$19:$A$2018,$H$6),1)+1)-INDEX($A$19:$A$2018,MATCH(Q151,$A$19:INDEX($A$19:$A$2018,$H$6),1))))))</f>
        <v/>
      </c>
    </row>
    <row r="152">
      <c r="A152" s="11" t="n"/>
      <c r="B152" s="11" t="n"/>
      <c r="C152" s="12">
        <f>IF(A152="","",$B$9*TAN(RADIANS(A152)))</f>
        <v/>
      </c>
      <c r="D152" s="12">
        <f>IF(C152="","",C152*(1+B152/100))</f>
        <v/>
      </c>
      <c r="E152" s="12">
        <f>IF(A152="","",$B$10*TAN(RADIANS(A152)))</f>
        <v/>
      </c>
      <c r="G152" s="8" t="n">
        <v>134</v>
      </c>
      <c r="H152" s="8">
        <f>$K$7</f>
        <v/>
      </c>
      <c r="I152" s="7" t="inlineStr">
        <is>
          <t>橫</t>
        </is>
      </c>
      <c r="J152" s="8" t="n">
        <v>4</v>
      </c>
      <c r="K152" s="7" t="inlineStr">
        <is>
          <t>右上</t>
        </is>
      </c>
      <c r="L152" s="8">
        <f>$O$7-($M$7+$L$7)/2+(1)*$M$7/2</f>
        <v/>
      </c>
      <c r="M152" s="8">
        <f>$P$7-$M$7/2+$L$7/2+3*2*$L$7+(-1)*$L$7/2</f>
        <v/>
      </c>
      <c r="N152" s="8">
        <f>L152-$B$7/2</f>
        <v/>
      </c>
      <c r="O152" s="8">
        <f>M152-$B$8/2</f>
        <v/>
      </c>
      <c r="P152" s="8">
        <f>SQRT(N152^2+O152^2)</f>
        <v/>
      </c>
      <c r="Q152" s="8">
        <f>IF(OR($H$7&lt;&gt;"OK",P152=""),"",IF(P152&lt;=$D$19,$A$19,IF(P152&gt;=INDEX($D$19:$D$2018,$H$6),INDEX($A$19:$A$2018,$H$6),INDEX($A$19:$A$2018,MATCH(P152,$D$19:INDEX($D$19:$D$2018,$H$6),1))+(P152-INDEX($D$19:$D$2018,MATCH(P152,$D$19:INDEX($D$19:$D$2018,$H$6),1)))*(INDEX($A$19:$A$2018,MATCH(P152,$D$19:INDEX($D$19:$D$2018,$H$6),1)+1)-INDEX($A$19:$A$2018,MATCH(P152,$D$19:INDEX($D$19:$D$2018,$H$6),1)))/(INDEX($D$19:$D$2018,MATCH(P152,$D$19:INDEX($D$19:$D$2018,$H$6),1)+1)-INDEX($D$19:$D$2018,MATCH(P152,$D$19:INDEX($D$19:$D$2018,$H$6),1))))))</f>
        <v/>
      </c>
      <c r="R152" s="8">
        <f>IF(P152=0,0,-Y152*N152/P152)</f>
        <v/>
      </c>
      <c r="S152" s="8">
        <f>IF(P152=0,0,Y152*O152/P152)</f>
        <v/>
      </c>
      <c r="T152" s="8">
        <f>IF(Y152=0,$B$7/2,$B$7/2-Z152*R152/Y152)</f>
        <v/>
      </c>
      <c r="U152" s="8">
        <f>IF(Y152=0,$B$8/2,$B$8/2+Z152*S152/Y152)</f>
        <v/>
      </c>
      <c r="V152" s="8">
        <f>SQRT((T152-L152)^2+(U152-M152)^2)</f>
        <v/>
      </c>
      <c r="Y152">
        <f>$B$10*TAN(RADIANS(Q152))</f>
        <v/>
      </c>
      <c r="Z152">
        <f>IF(OR($H$7&lt;&gt;"OK",Q152=""),"",IF(Q152&lt;=$A$19,$D$19,IF(Q152&gt;=INDEX($A$19:$A$2018,$H$6),INDEX($D$19:$D$2018,$H$6),INDEX($D$19:$D$2018,MATCH(Q152,$A$19:INDEX($A$19:$A$2018,$H$6),1))+(Q152-INDEX($A$19:$A$2018,MATCH(Q152,$A$19:INDEX($A$19:$A$2018,$H$6),1)))*(INDEX($D$19:$D$2018,MATCH(Q152,$A$19:INDEX($A$19:$A$2018,$H$6),1)+1)-INDEX($D$19:$D$2018,MATCH(Q152,$A$19:INDEX($A$19:$A$2018,$H$6),1)))/(INDEX($A$19:$A$2018,MATCH(Q152,$A$19:INDEX($A$19:$A$2018,$H$6),1)+1)-INDEX($A$19:$A$2018,MATCH(Q152,$A$19:INDEX($A$19:$A$2018,$H$6),1))))))</f>
        <v/>
      </c>
    </row>
    <row r="153">
      <c r="A153" s="11" t="n"/>
      <c r="B153" s="11" t="n"/>
      <c r="C153" s="12">
        <f>IF(A153="","",$B$9*TAN(RADIANS(A153)))</f>
        <v/>
      </c>
      <c r="D153" s="12">
        <f>IF(C153="","",C153*(1+B153/100))</f>
        <v/>
      </c>
      <c r="E153" s="12">
        <f>IF(A153="","",$B$10*TAN(RADIANS(A153)))</f>
        <v/>
      </c>
      <c r="G153" s="8" t="n">
        <v>135</v>
      </c>
      <c r="H153" s="8">
        <f>$K$7</f>
        <v/>
      </c>
      <c r="I153" s="7" t="inlineStr">
        <is>
          <t>橫</t>
        </is>
      </c>
      <c r="J153" s="8" t="n">
        <v>4</v>
      </c>
      <c r="K153" s="7" t="inlineStr">
        <is>
          <t>右下</t>
        </is>
      </c>
      <c r="L153" s="8">
        <f>$O$7-($M$7+$L$7)/2+(1)*$M$7/2</f>
        <v/>
      </c>
      <c r="M153" s="8">
        <f>$P$7-$M$7/2+$L$7/2+3*2*$L$7+(1)*$L$7/2</f>
        <v/>
      </c>
      <c r="N153" s="8">
        <f>L153-$B$7/2</f>
        <v/>
      </c>
      <c r="O153" s="8">
        <f>M153-$B$8/2</f>
        <v/>
      </c>
      <c r="P153" s="8">
        <f>SQRT(N153^2+O153^2)</f>
        <v/>
      </c>
      <c r="Q153" s="8">
        <f>IF(OR($H$7&lt;&gt;"OK",P153=""),"",IF(P153&lt;=$D$19,$A$19,IF(P153&gt;=INDEX($D$19:$D$2018,$H$6),INDEX($A$19:$A$2018,$H$6),INDEX($A$19:$A$2018,MATCH(P153,$D$19:INDEX($D$19:$D$2018,$H$6),1))+(P153-INDEX($D$19:$D$2018,MATCH(P153,$D$19:INDEX($D$19:$D$2018,$H$6),1)))*(INDEX($A$19:$A$2018,MATCH(P153,$D$19:INDEX($D$19:$D$2018,$H$6),1)+1)-INDEX($A$19:$A$2018,MATCH(P153,$D$19:INDEX($D$19:$D$2018,$H$6),1)))/(INDEX($D$19:$D$2018,MATCH(P153,$D$19:INDEX($D$19:$D$2018,$H$6),1)+1)-INDEX($D$19:$D$2018,MATCH(P153,$D$19:INDEX($D$19:$D$2018,$H$6),1))))))</f>
        <v/>
      </c>
      <c r="R153" s="8">
        <f>IF(P153=0,0,-Y153*N153/P153)</f>
        <v/>
      </c>
      <c r="S153" s="8">
        <f>IF(P153=0,0,Y153*O153/P153)</f>
        <v/>
      </c>
      <c r="T153" s="8">
        <f>IF(Y153=0,$B$7/2,$B$7/2-Z153*R153/Y153)</f>
        <v/>
      </c>
      <c r="U153" s="8">
        <f>IF(Y153=0,$B$8/2,$B$8/2+Z153*S153/Y153)</f>
        <v/>
      </c>
      <c r="V153" s="8">
        <f>SQRT((T153-L153)^2+(U153-M153)^2)</f>
        <v/>
      </c>
      <c r="Y153">
        <f>$B$10*TAN(RADIANS(Q153))</f>
        <v/>
      </c>
      <c r="Z153">
        <f>IF(OR($H$7&lt;&gt;"OK",Q153=""),"",IF(Q153&lt;=$A$19,$D$19,IF(Q153&gt;=INDEX($A$19:$A$2018,$H$6),INDEX($D$19:$D$2018,$H$6),INDEX($D$19:$D$2018,MATCH(Q153,$A$19:INDEX($A$19:$A$2018,$H$6),1))+(Q153-INDEX($A$19:$A$2018,MATCH(Q153,$A$19:INDEX($A$19:$A$2018,$H$6),1)))*(INDEX($D$19:$D$2018,MATCH(Q153,$A$19:INDEX($A$19:$A$2018,$H$6),1)+1)-INDEX($D$19:$D$2018,MATCH(Q153,$A$19:INDEX($A$19:$A$2018,$H$6),1)))/(INDEX($A$19:$A$2018,MATCH(Q153,$A$19:INDEX($A$19:$A$2018,$H$6),1)+1)-INDEX($A$19:$A$2018,MATCH(Q153,$A$19:INDEX($A$19:$A$2018,$H$6),1))))))</f>
        <v/>
      </c>
    </row>
    <row r="154">
      <c r="A154" s="11" t="n"/>
      <c r="B154" s="11" t="n"/>
      <c r="C154" s="12">
        <f>IF(A154="","",$B$9*TAN(RADIANS(A154)))</f>
        <v/>
      </c>
      <c r="D154" s="12">
        <f>IF(C154="","",C154*(1+B154/100))</f>
        <v/>
      </c>
      <c r="E154" s="12">
        <f>IF(A154="","",$B$10*TAN(RADIANS(A154)))</f>
        <v/>
      </c>
      <c r="G154" s="8" t="n">
        <v>136</v>
      </c>
      <c r="H154" s="8">
        <f>$K$7</f>
        <v/>
      </c>
      <c r="I154" s="7" t="inlineStr">
        <is>
          <t>橫</t>
        </is>
      </c>
      <c r="J154" s="8" t="n">
        <v>4</v>
      </c>
      <c r="K154" s="7" t="inlineStr">
        <is>
          <t>左下</t>
        </is>
      </c>
      <c r="L154" s="8">
        <f>$O$7-($M$7+$L$7)/2+(-1)*$M$7/2</f>
        <v/>
      </c>
      <c r="M154" s="8">
        <f>$P$7-$M$7/2+$L$7/2+3*2*$L$7+(1)*$L$7/2</f>
        <v/>
      </c>
      <c r="N154" s="8">
        <f>L154-$B$7/2</f>
        <v/>
      </c>
      <c r="O154" s="8">
        <f>M154-$B$8/2</f>
        <v/>
      </c>
      <c r="P154" s="8">
        <f>SQRT(N154^2+O154^2)</f>
        <v/>
      </c>
      <c r="Q154" s="8">
        <f>IF(OR($H$7&lt;&gt;"OK",P154=""),"",IF(P154&lt;=$D$19,$A$19,IF(P154&gt;=INDEX($D$19:$D$2018,$H$6),INDEX($A$19:$A$2018,$H$6),INDEX($A$19:$A$2018,MATCH(P154,$D$19:INDEX($D$19:$D$2018,$H$6),1))+(P154-INDEX($D$19:$D$2018,MATCH(P154,$D$19:INDEX($D$19:$D$2018,$H$6),1)))*(INDEX($A$19:$A$2018,MATCH(P154,$D$19:INDEX($D$19:$D$2018,$H$6),1)+1)-INDEX($A$19:$A$2018,MATCH(P154,$D$19:INDEX($D$19:$D$2018,$H$6),1)))/(INDEX($D$19:$D$2018,MATCH(P154,$D$19:INDEX($D$19:$D$2018,$H$6),1)+1)-INDEX($D$19:$D$2018,MATCH(P154,$D$19:INDEX($D$19:$D$2018,$H$6),1))))))</f>
        <v/>
      </c>
      <c r="R154" s="8">
        <f>IF(P154=0,0,-Y154*N154/P154)</f>
        <v/>
      </c>
      <c r="S154" s="8">
        <f>IF(P154=0,0,Y154*O154/P154)</f>
        <v/>
      </c>
      <c r="T154" s="8">
        <f>IF(Y154=0,$B$7/2,$B$7/2-Z154*R154/Y154)</f>
        <v/>
      </c>
      <c r="U154" s="8">
        <f>IF(Y154=0,$B$8/2,$B$8/2+Z154*S154/Y154)</f>
        <v/>
      </c>
      <c r="V154" s="8">
        <f>SQRT((T154-L154)^2+(U154-M154)^2)</f>
        <v/>
      </c>
      <c r="Y154">
        <f>$B$10*TAN(RADIANS(Q154))</f>
        <v/>
      </c>
      <c r="Z154">
        <f>IF(OR($H$7&lt;&gt;"OK",Q154=""),"",IF(Q154&lt;=$A$19,$D$19,IF(Q154&gt;=INDEX($A$19:$A$2018,$H$6),INDEX($D$19:$D$2018,$H$6),INDEX($D$19:$D$2018,MATCH(Q154,$A$19:INDEX($A$19:$A$2018,$H$6),1))+(Q154-INDEX($A$19:$A$2018,MATCH(Q154,$A$19:INDEX($A$19:$A$2018,$H$6),1)))*(INDEX($D$19:$D$2018,MATCH(Q154,$A$19:INDEX($A$19:$A$2018,$H$6),1)+1)-INDEX($D$19:$D$2018,MATCH(Q154,$A$19:INDEX($A$19:$A$2018,$H$6),1)))/(INDEX($A$19:$A$2018,MATCH(Q154,$A$19:INDEX($A$19:$A$2018,$H$6),1)+1)-INDEX($A$19:$A$2018,MATCH(Q154,$A$19:INDEX($A$19:$A$2018,$H$6),1))))))</f>
        <v/>
      </c>
    </row>
    <row r="155">
      <c r="A155" s="11" t="n"/>
      <c r="B155" s="11" t="n"/>
      <c r="C155" s="12">
        <f>IF(A155="","",$B$9*TAN(RADIANS(A155)))</f>
        <v/>
      </c>
      <c r="D155" s="12">
        <f>IF(C155="","",C155*(1+B155/100))</f>
        <v/>
      </c>
      <c r="E155" s="12">
        <f>IF(A155="","",$B$10*TAN(RADIANS(A155)))</f>
        <v/>
      </c>
      <c r="G155" s="8" t="n">
        <v>137</v>
      </c>
      <c r="H155" s="8">
        <f>$K$7</f>
        <v/>
      </c>
      <c r="I155" s="7" t="inlineStr">
        <is>
          <t>橫</t>
        </is>
      </c>
      <c r="J155" s="8" t="n">
        <v>5</v>
      </c>
      <c r="K155" s="7" t="inlineStr">
        <is>
          <t>左上</t>
        </is>
      </c>
      <c r="L155" s="8">
        <f>$O$7-($M$7+$L$7)/2+(-1)*$M$7/2</f>
        <v/>
      </c>
      <c r="M155" s="8">
        <f>$P$7-$M$7/2+$L$7/2+4*2*$L$7+(-1)*$L$7/2</f>
        <v/>
      </c>
      <c r="N155" s="8">
        <f>L155-$B$7/2</f>
        <v/>
      </c>
      <c r="O155" s="8">
        <f>M155-$B$8/2</f>
        <v/>
      </c>
      <c r="P155" s="8">
        <f>SQRT(N155^2+O155^2)</f>
        <v/>
      </c>
      <c r="Q155" s="8">
        <f>IF(OR($H$7&lt;&gt;"OK",P155=""),"",IF(P155&lt;=$D$19,$A$19,IF(P155&gt;=INDEX($D$19:$D$2018,$H$6),INDEX($A$19:$A$2018,$H$6),INDEX($A$19:$A$2018,MATCH(P155,$D$19:INDEX($D$19:$D$2018,$H$6),1))+(P155-INDEX($D$19:$D$2018,MATCH(P155,$D$19:INDEX($D$19:$D$2018,$H$6),1)))*(INDEX($A$19:$A$2018,MATCH(P155,$D$19:INDEX($D$19:$D$2018,$H$6),1)+1)-INDEX($A$19:$A$2018,MATCH(P155,$D$19:INDEX($D$19:$D$2018,$H$6),1)))/(INDEX($D$19:$D$2018,MATCH(P155,$D$19:INDEX($D$19:$D$2018,$H$6),1)+1)-INDEX($D$19:$D$2018,MATCH(P155,$D$19:INDEX($D$19:$D$2018,$H$6),1))))))</f>
        <v/>
      </c>
      <c r="R155" s="8">
        <f>IF(P155=0,0,-Y155*N155/P155)</f>
        <v/>
      </c>
      <c r="S155" s="8">
        <f>IF(P155=0,0,Y155*O155/P155)</f>
        <v/>
      </c>
      <c r="T155" s="8">
        <f>IF(Y155=0,$B$7/2,$B$7/2-Z155*R155/Y155)</f>
        <v/>
      </c>
      <c r="U155" s="8">
        <f>IF(Y155=0,$B$8/2,$B$8/2+Z155*S155/Y155)</f>
        <v/>
      </c>
      <c r="V155" s="8">
        <f>SQRT((T155-L155)^2+(U155-M155)^2)</f>
        <v/>
      </c>
      <c r="Y155">
        <f>$B$10*TAN(RADIANS(Q155))</f>
        <v/>
      </c>
      <c r="Z155">
        <f>IF(OR($H$7&lt;&gt;"OK",Q155=""),"",IF(Q155&lt;=$A$19,$D$19,IF(Q155&gt;=INDEX($A$19:$A$2018,$H$6),INDEX($D$19:$D$2018,$H$6),INDEX($D$19:$D$2018,MATCH(Q155,$A$19:INDEX($A$19:$A$2018,$H$6),1))+(Q155-INDEX($A$19:$A$2018,MATCH(Q155,$A$19:INDEX($A$19:$A$2018,$H$6),1)))*(INDEX($D$19:$D$2018,MATCH(Q155,$A$19:INDEX($A$19:$A$2018,$H$6),1)+1)-INDEX($D$19:$D$2018,MATCH(Q155,$A$19:INDEX($A$19:$A$2018,$H$6),1)))/(INDEX($A$19:$A$2018,MATCH(Q155,$A$19:INDEX($A$19:$A$2018,$H$6),1)+1)-INDEX($A$19:$A$2018,MATCH(Q155,$A$19:INDEX($A$19:$A$2018,$H$6),1))))))</f>
        <v/>
      </c>
    </row>
    <row r="156">
      <c r="A156" s="11" t="n"/>
      <c r="B156" s="11" t="n"/>
      <c r="C156" s="12">
        <f>IF(A156="","",$B$9*TAN(RADIANS(A156)))</f>
        <v/>
      </c>
      <c r="D156" s="12">
        <f>IF(C156="","",C156*(1+B156/100))</f>
        <v/>
      </c>
      <c r="E156" s="12">
        <f>IF(A156="","",$B$10*TAN(RADIANS(A156)))</f>
        <v/>
      </c>
      <c r="G156" s="8" t="n">
        <v>138</v>
      </c>
      <c r="H156" s="8">
        <f>$K$7</f>
        <v/>
      </c>
      <c r="I156" s="7" t="inlineStr">
        <is>
          <t>橫</t>
        </is>
      </c>
      <c r="J156" s="8" t="n">
        <v>5</v>
      </c>
      <c r="K156" s="7" t="inlineStr">
        <is>
          <t>右上</t>
        </is>
      </c>
      <c r="L156" s="8">
        <f>$O$7-($M$7+$L$7)/2+(1)*$M$7/2</f>
        <v/>
      </c>
      <c r="M156" s="8">
        <f>$P$7-$M$7/2+$L$7/2+4*2*$L$7+(-1)*$L$7/2</f>
        <v/>
      </c>
      <c r="N156" s="8">
        <f>L156-$B$7/2</f>
        <v/>
      </c>
      <c r="O156" s="8">
        <f>M156-$B$8/2</f>
        <v/>
      </c>
      <c r="P156" s="8">
        <f>SQRT(N156^2+O156^2)</f>
        <v/>
      </c>
      <c r="Q156" s="8">
        <f>IF(OR($H$7&lt;&gt;"OK",P156=""),"",IF(P156&lt;=$D$19,$A$19,IF(P156&gt;=INDEX($D$19:$D$2018,$H$6),INDEX($A$19:$A$2018,$H$6),INDEX($A$19:$A$2018,MATCH(P156,$D$19:INDEX($D$19:$D$2018,$H$6),1))+(P156-INDEX($D$19:$D$2018,MATCH(P156,$D$19:INDEX($D$19:$D$2018,$H$6),1)))*(INDEX($A$19:$A$2018,MATCH(P156,$D$19:INDEX($D$19:$D$2018,$H$6),1)+1)-INDEX($A$19:$A$2018,MATCH(P156,$D$19:INDEX($D$19:$D$2018,$H$6),1)))/(INDEX($D$19:$D$2018,MATCH(P156,$D$19:INDEX($D$19:$D$2018,$H$6),1)+1)-INDEX($D$19:$D$2018,MATCH(P156,$D$19:INDEX($D$19:$D$2018,$H$6),1))))))</f>
        <v/>
      </c>
      <c r="R156" s="8">
        <f>IF(P156=0,0,-Y156*N156/P156)</f>
        <v/>
      </c>
      <c r="S156" s="8">
        <f>IF(P156=0,0,Y156*O156/P156)</f>
        <v/>
      </c>
      <c r="T156" s="8">
        <f>IF(Y156=0,$B$7/2,$B$7/2-Z156*R156/Y156)</f>
        <v/>
      </c>
      <c r="U156" s="8">
        <f>IF(Y156=0,$B$8/2,$B$8/2+Z156*S156/Y156)</f>
        <v/>
      </c>
      <c r="V156" s="8">
        <f>SQRT((T156-L156)^2+(U156-M156)^2)</f>
        <v/>
      </c>
      <c r="Y156">
        <f>$B$10*TAN(RADIANS(Q156))</f>
        <v/>
      </c>
      <c r="Z156">
        <f>IF(OR($H$7&lt;&gt;"OK",Q156=""),"",IF(Q156&lt;=$A$19,$D$19,IF(Q156&gt;=INDEX($A$19:$A$2018,$H$6),INDEX($D$19:$D$2018,$H$6),INDEX($D$19:$D$2018,MATCH(Q156,$A$19:INDEX($A$19:$A$2018,$H$6),1))+(Q156-INDEX($A$19:$A$2018,MATCH(Q156,$A$19:INDEX($A$19:$A$2018,$H$6),1)))*(INDEX($D$19:$D$2018,MATCH(Q156,$A$19:INDEX($A$19:$A$2018,$H$6),1)+1)-INDEX($D$19:$D$2018,MATCH(Q156,$A$19:INDEX($A$19:$A$2018,$H$6),1)))/(INDEX($A$19:$A$2018,MATCH(Q156,$A$19:INDEX($A$19:$A$2018,$H$6),1)+1)-INDEX($A$19:$A$2018,MATCH(Q156,$A$19:INDEX($A$19:$A$2018,$H$6),1))))))</f>
        <v/>
      </c>
    </row>
    <row r="157">
      <c r="A157" s="11" t="n"/>
      <c r="B157" s="11" t="n"/>
      <c r="C157" s="12">
        <f>IF(A157="","",$B$9*TAN(RADIANS(A157)))</f>
        <v/>
      </c>
      <c r="D157" s="12">
        <f>IF(C157="","",C157*(1+B157/100))</f>
        <v/>
      </c>
      <c r="E157" s="12">
        <f>IF(A157="","",$B$10*TAN(RADIANS(A157)))</f>
        <v/>
      </c>
      <c r="G157" s="8" t="n">
        <v>139</v>
      </c>
      <c r="H157" s="8">
        <f>$K$7</f>
        <v/>
      </c>
      <c r="I157" s="7" t="inlineStr">
        <is>
          <t>橫</t>
        </is>
      </c>
      <c r="J157" s="8" t="n">
        <v>5</v>
      </c>
      <c r="K157" s="7" t="inlineStr">
        <is>
          <t>右下</t>
        </is>
      </c>
      <c r="L157" s="8">
        <f>$O$7-($M$7+$L$7)/2+(1)*$M$7/2</f>
        <v/>
      </c>
      <c r="M157" s="8">
        <f>$P$7-$M$7/2+$L$7/2+4*2*$L$7+(1)*$L$7/2</f>
        <v/>
      </c>
      <c r="N157" s="8">
        <f>L157-$B$7/2</f>
        <v/>
      </c>
      <c r="O157" s="8">
        <f>M157-$B$8/2</f>
        <v/>
      </c>
      <c r="P157" s="8">
        <f>SQRT(N157^2+O157^2)</f>
        <v/>
      </c>
      <c r="Q157" s="8">
        <f>IF(OR($H$7&lt;&gt;"OK",P157=""),"",IF(P157&lt;=$D$19,$A$19,IF(P157&gt;=INDEX($D$19:$D$2018,$H$6),INDEX($A$19:$A$2018,$H$6),INDEX($A$19:$A$2018,MATCH(P157,$D$19:INDEX($D$19:$D$2018,$H$6),1))+(P157-INDEX($D$19:$D$2018,MATCH(P157,$D$19:INDEX($D$19:$D$2018,$H$6),1)))*(INDEX($A$19:$A$2018,MATCH(P157,$D$19:INDEX($D$19:$D$2018,$H$6),1)+1)-INDEX($A$19:$A$2018,MATCH(P157,$D$19:INDEX($D$19:$D$2018,$H$6),1)))/(INDEX($D$19:$D$2018,MATCH(P157,$D$19:INDEX($D$19:$D$2018,$H$6),1)+1)-INDEX($D$19:$D$2018,MATCH(P157,$D$19:INDEX($D$19:$D$2018,$H$6),1))))))</f>
        <v/>
      </c>
      <c r="R157" s="8">
        <f>IF(P157=0,0,-Y157*N157/P157)</f>
        <v/>
      </c>
      <c r="S157" s="8">
        <f>IF(P157=0,0,Y157*O157/P157)</f>
        <v/>
      </c>
      <c r="T157" s="8">
        <f>IF(Y157=0,$B$7/2,$B$7/2-Z157*R157/Y157)</f>
        <v/>
      </c>
      <c r="U157" s="8">
        <f>IF(Y157=0,$B$8/2,$B$8/2+Z157*S157/Y157)</f>
        <v/>
      </c>
      <c r="V157" s="8">
        <f>SQRT((T157-L157)^2+(U157-M157)^2)</f>
        <v/>
      </c>
      <c r="Y157">
        <f>$B$10*TAN(RADIANS(Q157))</f>
        <v/>
      </c>
      <c r="Z157">
        <f>IF(OR($H$7&lt;&gt;"OK",Q157=""),"",IF(Q157&lt;=$A$19,$D$19,IF(Q157&gt;=INDEX($A$19:$A$2018,$H$6),INDEX($D$19:$D$2018,$H$6),INDEX($D$19:$D$2018,MATCH(Q157,$A$19:INDEX($A$19:$A$2018,$H$6),1))+(Q157-INDEX($A$19:$A$2018,MATCH(Q157,$A$19:INDEX($A$19:$A$2018,$H$6),1)))*(INDEX($D$19:$D$2018,MATCH(Q157,$A$19:INDEX($A$19:$A$2018,$H$6),1)+1)-INDEX($D$19:$D$2018,MATCH(Q157,$A$19:INDEX($A$19:$A$2018,$H$6),1)))/(INDEX($A$19:$A$2018,MATCH(Q157,$A$19:INDEX($A$19:$A$2018,$H$6),1)+1)-INDEX($A$19:$A$2018,MATCH(Q157,$A$19:INDEX($A$19:$A$2018,$H$6),1))))))</f>
        <v/>
      </c>
    </row>
    <row r="158">
      <c r="A158" s="11" t="n"/>
      <c r="B158" s="11" t="n"/>
      <c r="C158" s="12">
        <f>IF(A158="","",$B$9*TAN(RADIANS(A158)))</f>
        <v/>
      </c>
      <c r="D158" s="12">
        <f>IF(C158="","",C158*(1+B158/100))</f>
        <v/>
      </c>
      <c r="E158" s="12">
        <f>IF(A158="","",$B$10*TAN(RADIANS(A158)))</f>
        <v/>
      </c>
      <c r="G158" s="8" t="n">
        <v>140</v>
      </c>
      <c r="H158" s="8">
        <f>$K$7</f>
        <v/>
      </c>
      <c r="I158" s="7" t="inlineStr">
        <is>
          <t>橫</t>
        </is>
      </c>
      <c r="J158" s="8" t="n">
        <v>5</v>
      </c>
      <c r="K158" s="7" t="inlineStr">
        <is>
          <t>左下</t>
        </is>
      </c>
      <c r="L158" s="8">
        <f>$O$7-($M$7+$L$7)/2+(-1)*$M$7/2</f>
        <v/>
      </c>
      <c r="M158" s="8">
        <f>$P$7-$M$7/2+$L$7/2+4*2*$L$7+(1)*$L$7/2</f>
        <v/>
      </c>
      <c r="N158" s="8">
        <f>L158-$B$7/2</f>
        <v/>
      </c>
      <c r="O158" s="8">
        <f>M158-$B$8/2</f>
        <v/>
      </c>
      <c r="P158" s="8">
        <f>SQRT(N158^2+O158^2)</f>
        <v/>
      </c>
      <c r="Q158" s="8">
        <f>IF(OR($H$7&lt;&gt;"OK",P158=""),"",IF(P158&lt;=$D$19,$A$19,IF(P158&gt;=INDEX($D$19:$D$2018,$H$6),INDEX($A$19:$A$2018,$H$6),INDEX($A$19:$A$2018,MATCH(P158,$D$19:INDEX($D$19:$D$2018,$H$6),1))+(P158-INDEX($D$19:$D$2018,MATCH(P158,$D$19:INDEX($D$19:$D$2018,$H$6),1)))*(INDEX($A$19:$A$2018,MATCH(P158,$D$19:INDEX($D$19:$D$2018,$H$6),1)+1)-INDEX($A$19:$A$2018,MATCH(P158,$D$19:INDEX($D$19:$D$2018,$H$6),1)))/(INDEX($D$19:$D$2018,MATCH(P158,$D$19:INDEX($D$19:$D$2018,$H$6),1)+1)-INDEX($D$19:$D$2018,MATCH(P158,$D$19:INDEX($D$19:$D$2018,$H$6),1))))))</f>
        <v/>
      </c>
      <c r="R158" s="8">
        <f>IF(P158=0,0,-Y158*N158/P158)</f>
        <v/>
      </c>
      <c r="S158" s="8">
        <f>IF(P158=0,0,Y158*O158/P158)</f>
        <v/>
      </c>
      <c r="T158" s="8">
        <f>IF(Y158=0,$B$7/2,$B$7/2-Z158*R158/Y158)</f>
        <v/>
      </c>
      <c r="U158" s="8">
        <f>IF(Y158=0,$B$8/2,$B$8/2+Z158*S158/Y158)</f>
        <v/>
      </c>
      <c r="V158" s="8">
        <f>SQRT((T158-L158)^2+(U158-M158)^2)</f>
        <v/>
      </c>
      <c r="Y158">
        <f>$B$10*TAN(RADIANS(Q158))</f>
        <v/>
      </c>
      <c r="Z158">
        <f>IF(OR($H$7&lt;&gt;"OK",Q158=""),"",IF(Q158&lt;=$A$19,$D$19,IF(Q158&gt;=INDEX($A$19:$A$2018,$H$6),INDEX($D$19:$D$2018,$H$6),INDEX($D$19:$D$2018,MATCH(Q158,$A$19:INDEX($A$19:$A$2018,$H$6),1))+(Q158-INDEX($A$19:$A$2018,MATCH(Q158,$A$19:INDEX($A$19:$A$2018,$H$6),1)))*(INDEX($D$19:$D$2018,MATCH(Q158,$A$19:INDEX($A$19:$A$2018,$H$6),1)+1)-INDEX($D$19:$D$2018,MATCH(Q158,$A$19:INDEX($A$19:$A$2018,$H$6),1)))/(INDEX($A$19:$A$2018,MATCH(Q158,$A$19:INDEX($A$19:$A$2018,$H$6),1)+1)-INDEX($A$19:$A$2018,MATCH(Q158,$A$19:INDEX($A$19:$A$2018,$H$6),1))))))</f>
        <v/>
      </c>
    </row>
    <row r="159">
      <c r="A159" s="11" t="n"/>
      <c r="B159" s="11" t="n"/>
      <c r="C159" s="12">
        <f>IF(A159="","",$B$9*TAN(RADIANS(A159)))</f>
        <v/>
      </c>
      <c r="D159" s="12">
        <f>IF(C159="","",C159*(1+B159/100))</f>
        <v/>
      </c>
      <c r="E159" s="12">
        <f>IF(A159="","",$B$10*TAN(RADIANS(A159)))</f>
        <v/>
      </c>
      <c r="G159" s="8" t="n">
        <v>141</v>
      </c>
      <c r="H159" s="8">
        <f>$K$7</f>
        <v/>
      </c>
      <c r="I159" s="7" t="inlineStr">
        <is>
          <t>豎</t>
        </is>
      </c>
      <c r="J159" s="8" t="n">
        <v>1</v>
      </c>
      <c r="K159" s="7" t="inlineStr">
        <is>
          <t>左上</t>
        </is>
      </c>
      <c r="L159" s="8">
        <f>$O$7+($M$7+$L$7)/2-$M$7/2+$L$7/2+0*2*$L$7+(-1)*$L$7/2</f>
        <v/>
      </c>
      <c r="M159" s="8">
        <f>$P$7+(-1)*$M$7/2</f>
        <v/>
      </c>
      <c r="N159" s="8">
        <f>L159-$B$7/2</f>
        <v/>
      </c>
      <c r="O159" s="8">
        <f>M159-$B$8/2</f>
        <v/>
      </c>
      <c r="P159" s="8">
        <f>SQRT(N159^2+O159^2)</f>
        <v/>
      </c>
      <c r="Q159" s="8">
        <f>IF(OR($H$7&lt;&gt;"OK",P159=""),"",IF(P159&lt;=$D$19,$A$19,IF(P159&gt;=INDEX($D$19:$D$2018,$H$6),INDEX($A$19:$A$2018,$H$6),INDEX($A$19:$A$2018,MATCH(P159,$D$19:INDEX($D$19:$D$2018,$H$6),1))+(P159-INDEX($D$19:$D$2018,MATCH(P159,$D$19:INDEX($D$19:$D$2018,$H$6),1)))*(INDEX($A$19:$A$2018,MATCH(P159,$D$19:INDEX($D$19:$D$2018,$H$6),1)+1)-INDEX($A$19:$A$2018,MATCH(P159,$D$19:INDEX($D$19:$D$2018,$H$6),1)))/(INDEX($D$19:$D$2018,MATCH(P159,$D$19:INDEX($D$19:$D$2018,$H$6),1)+1)-INDEX($D$19:$D$2018,MATCH(P159,$D$19:INDEX($D$19:$D$2018,$H$6),1))))))</f>
        <v/>
      </c>
      <c r="R159" s="8">
        <f>IF(P159=0,0,-Y159*N159/P159)</f>
        <v/>
      </c>
      <c r="S159" s="8">
        <f>IF(P159=0,0,Y159*O159/P159)</f>
        <v/>
      </c>
      <c r="T159" s="8">
        <f>IF(Y159=0,$B$7/2,$B$7/2-Z159*R159/Y159)</f>
        <v/>
      </c>
      <c r="U159" s="8">
        <f>IF(Y159=0,$B$8/2,$B$8/2+Z159*S159/Y159)</f>
        <v/>
      </c>
      <c r="V159" s="8">
        <f>SQRT((T159-L159)^2+(U159-M159)^2)</f>
        <v/>
      </c>
      <c r="Y159">
        <f>$B$10*TAN(RADIANS(Q159))</f>
        <v/>
      </c>
      <c r="Z159">
        <f>IF(OR($H$7&lt;&gt;"OK",Q159=""),"",IF(Q159&lt;=$A$19,$D$19,IF(Q159&gt;=INDEX($A$19:$A$2018,$H$6),INDEX($D$19:$D$2018,$H$6),INDEX($D$19:$D$2018,MATCH(Q159,$A$19:INDEX($A$19:$A$2018,$H$6),1))+(Q159-INDEX($A$19:$A$2018,MATCH(Q159,$A$19:INDEX($A$19:$A$2018,$H$6),1)))*(INDEX($D$19:$D$2018,MATCH(Q159,$A$19:INDEX($A$19:$A$2018,$H$6),1)+1)-INDEX($D$19:$D$2018,MATCH(Q159,$A$19:INDEX($A$19:$A$2018,$H$6),1)))/(INDEX($A$19:$A$2018,MATCH(Q159,$A$19:INDEX($A$19:$A$2018,$H$6),1)+1)-INDEX($A$19:$A$2018,MATCH(Q159,$A$19:INDEX($A$19:$A$2018,$H$6),1))))))</f>
        <v/>
      </c>
    </row>
    <row r="160">
      <c r="A160" s="11" t="n"/>
      <c r="B160" s="11" t="n"/>
      <c r="C160" s="12">
        <f>IF(A160="","",$B$9*TAN(RADIANS(A160)))</f>
        <v/>
      </c>
      <c r="D160" s="12">
        <f>IF(C160="","",C160*(1+B160/100))</f>
        <v/>
      </c>
      <c r="E160" s="12">
        <f>IF(A160="","",$B$10*TAN(RADIANS(A160)))</f>
        <v/>
      </c>
      <c r="G160" s="8" t="n">
        <v>142</v>
      </c>
      <c r="H160" s="8">
        <f>$K$7</f>
        <v/>
      </c>
      <c r="I160" s="7" t="inlineStr">
        <is>
          <t>豎</t>
        </is>
      </c>
      <c r="J160" s="8" t="n">
        <v>1</v>
      </c>
      <c r="K160" s="7" t="inlineStr">
        <is>
          <t>右上</t>
        </is>
      </c>
      <c r="L160" s="8">
        <f>$O$7+($M$7+$L$7)/2-$M$7/2+$L$7/2+0*2*$L$7+(1)*$L$7/2</f>
        <v/>
      </c>
      <c r="M160" s="8">
        <f>$P$7+(-1)*$M$7/2</f>
        <v/>
      </c>
      <c r="N160" s="8">
        <f>L160-$B$7/2</f>
        <v/>
      </c>
      <c r="O160" s="8">
        <f>M160-$B$8/2</f>
        <v/>
      </c>
      <c r="P160" s="8">
        <f>SQRT(N160^2+O160^2)</f>
        <v/>
      </c>
      <c r="Q160" s="8">
        <f>IF(OR($H$7&lt;&gt;"OK",P160=""),"",IF(P160&lt;=$D$19,$A$19,IF(P160&gt;=INDEX($D$19:$D$2018,$H$6),INDEX($A$19:$A$2018,$H$6),INDEX($A$19:$A$2018,MATCH(P160,$D$19:INDEX($D$19:$D$2018,$H$6),1))+(P160-INDEX($D$19:$D$2018,MATCH(P160,$D$19:INDEX($D$19:$D$2018,$H$6),1)))*(INDEX($A$19:$A$2018,MATCH(P160,$D$19:INDEX($D$19:$D$2018,$H$6),1)+1)-INDEX($A$19:$A$2018,MATCH(P160,$D$19:INDEX($D$19:$D$2018,$H$6),1)))/(INDEX($D$19:$D$2018,MATCH(P160,$D$19:INDEX($D$19:$D$2018,$H$6),1)+1)-INDEX($D$19:$D$2018,MATCH(P160,$D$19:INDEX($D$19:$D$2018,$H$6),1))))))</f>
        <v/>
      </c>
      <c r="R160" s="8">
        <f>IF(P160=0,0,-Y160*N160/P160)</f>
        <v/>
      </c>
      <c r="S160" s="8">
        <f>IF(P160=0,0,Y160*O160/P160)</f>
        <v/>
      </c>
      <c r="T160" s="8">
        <f>IF(Y160=0,$B$7/2,$B$7/2-Z160*R160/Y160)</f>
        <v/>
      </c>
      <c r="U160" s="8">
        <f>IF(Y160=0,$B$8/2,$B$8/2+Z160*S160/Y160)</f>
        <v/>
      </c>
      <c r="V160" s="8">
        <f>SQRT((T160-L160)^2+(U160-M160)^2)</f>
        <v/>
      </c>
      <c r="Y160">
        <f>$B$10*TAN(RADIANS(Q160))</f>
        <v/>
      </c>
      <c r="Z160">
        <f>IF(OR($H$7&lt;&gt;"OK",Q160=""),"",IF(Q160&lt;=$A$19,$D$19,IF(Q160&gt;=INDEX($A$19:$A$2018,$H$6),INDEX($D$19:$D$2018,$H$6),INDEX($D$19:$D$2018,MATCH(Q160,$A$19:INDEX($A$19:$A$2018,$H$6),1))+(Q160-INDEX($A$19:$A$2018,MATCH(Q160,$A$19:INDEX($A$19:$A$2018,$H$6),1)))*(INDEX($D$19:$D$2018,MATCH(Q160,$A$19:INDEX($A$19:$A$2018,$H$6),1)+1)-INDEX($D$19:$D$2018,MATCH(Q160,$A$19:INDEX($A$19:$A$2018,$H$6),1)))/(INDEX($A$19:$A$2018,MATCH(Q160,$A$19:INDEX($A$19:$A$2018,$H$6),1)+1)-INDEX($A$19:$A$2018,MATCH(Q160,$A$19:INDEX($A$19:$A$2018,$H$6),1))))))</f>
        <v/>
      </c>
    </row>
    <row r="161">
      <c r="A161" s="11" t="n"/>
      <c r="B161" s="11" t="n"/>
      <c r="C161" s="12">
        <f>IF(A161="","",$B$9*TAN(RADIANS(A161)))</f>
        <v/>
      </c>
      <c r="D161" s="12">
        <f>IF(C161="","",C161*(1+B161/100))</f>
        <v/>
      </c>
      <c r="E161" s="12">
        <f>IF(A161="","",$B$10*TAN(RADIANS(A161)))</f>
        <v/>
      </c>
      <c r="G161" s="8" t="n">
        <v>143</v>
      </c>
      <c r="H161" s="8">
        <f>$K$7</f>
        <v/>
      </c>
      <c r="I161" s="7" t="inlineStr">
        <is>
          <t>豎</t>
        </is>
      </c>
      <c r="J161" s="8" t="n">
        <v>1</v>
      </c>
      <c r="K161" s="7" t="inlineStr">
        <is>
          <t>右下</t>
        </is>
      </c>
      <c r="L161" s="8">
        <f>$O$7+($M$7+$L$7)/2-$M$7/2+$L$7/2+0*2*$L$7+(1)*$L$7/2</f>
        <v/>
      </c>
      <c r="M161" s="8">
        <f>$P$7+(1)*$M$7/2</f>
        <v/>
      </c>
      <c r="N161" s="8">
        <f>L161-$B$7/2</f>
        <v/>
      </c>
      <c r="O161" s="8">
        <f>M161-$B$8/2</f>
        <v/>
      </c>
      <c r="P161" s="8">
        <f>SQRT(N161^2+O161^2)</f>
        <v/>
      </c>
      <c r="Q161" s="8">
        <f>IF(OR($H$7&lt;&gt;"OK",P161=""),"",IF(P161&lt;=$D$19,$A$19,IF(P161&gt;=INDEX($D$19:$D$2018,$H$6),INDEX($A$19:$A$2018,$H$6),INDEX($A$19:$A$2018,MATCH(P161,$D$19:INDEX($D$19:$D$2018,$H$6),1))+(P161-INDEX($D$19:$D$2018,MATCH(P161,$D$19:INDEX($D$19:$D$2018,$H$6),1)))*(INDEX($A$19:$A$2018,MATCH(P161,$D$19:INDEX($D$19:$D$2018,$H$6),1)+1)-INDEX($A$19:$A$2018,MATCH(P161,$D$19:INDEX($D$19:$D$2018,$H$6),1)))/(INDEX($D$19:$D$2018,MATCH(P161,$D$19:INDEX($D$19:$D$2018,$H$6),1)+1)-INDEX($D$19:$D$2018,MATCH(P161,$D$19:INDEX($D$19:$D$2018,$H$6),1))))))</f>
        <v/>
      </c>
      <c r="R161" s="8">
        <f>IF(P161=0,0,-Y161*N161/P161)</f>
        <v/>
      </c>
      <c r="S161" s="8">
        <f>IF(P161=0,0,Y161*O161/P161)</f>
        <v/>
      </c>
      <c r="T161" s="8">
        <f>IF(Y161=0,$B$7/2,$B$7/2-Z161*R161/Y161)</f>
        <v/>
      </c>
      <c r="U161" s="8">
        <f>IF(Y161=0,$B$8/2,$B$8/2+Z161*S161/Y161)</f>
        <v/>
      </c>
      <c r="V161" s="8">
        <f>SQRT((T161-L161)^2+(U161-M161)^2)</f>
        <v/>
      </c>
      <c r="Y161">
        <f>$B$10*TAN(RADIANS(Q161))</f>
        <v/>
      </c>
      <c r="Z161">
        <f>IF(OR($H$7&lt;&gt;"OK",Q161=""),"",IF(Q161&lt;=$A$19,$D$19,IF(Q161&gt;=INDEX($A$19:$A$2018,$H$6),INDEX($D$19:$D$2018,$H$6),INDEX($D$19:$D$2018,MATCH(Q161,$A$19:INDEX($A$19:$A$2018,$H$6),1))+(Q161-INDEX($A$19:$A$2018,MATCH(Q161,$A$19:INDEX($A$19:$A$2018,$H$6),1)))*(INDEX($D$19:$D$2018,MATCH(Q161,$A$19:INDEX($A$19:$A$2018,$H$6),1)+1)-INDEX($D$19:$D$2018,MATCH(Q161,$A$19:INDEX($A$19:$A$2018,$H$6),1)))/(INDEX($A$19:$A$2018,MATCH(Q161,$A$19:INDEX($A$19:$A$2018,$H$6),1)+1)-INDEX($A$19:$A$2018,MATCH(Q161,$A$19:INDEX($A$19:$A$2018,$H$6),1))))))</f>
        <v/>
      </c>
    </row>
    <row r="162">
      <c r="A162" s="11" t="n"/>
      <c r="B162" s="11" t="n"/>
      <c r="C162" s="12">
        <f>IF(A162="","",$B$9*TAN(RADIANS(A162)))</f>
        <v/>
      </c>
      <c r="D162" s="12">
        <f>IF(C162="","",C162*(1+B162/100))</f>
        <v/>
      </c>
      <c r="E162" s="12">
        <f>IF(A162="","",$B$10*TAN(RADIANS(A162)))</f>
        <v/>
      </c>
      <c r="G162" s="8" t="n">
        <v>144</v>
      </c>
      <c r="H162" s="8">
        <f>$K$7</f>
        <v/>
      </c>
      <c r="I162" s="7" t="inlineStr">
        <is>
          <t>豎</t>
        </is>
      </c>
      <c r="J162" s="8" t="n">
        <v>1</v>
      </c>
      <c r="K162" s="7" t="inlineStr">
        <is>
          <t>左下</t>
        </is>
      </c>
      <c r="L162" s="8">
        <f>$O$7+($M$7+$L$7)/2-$M$7/2+$L$7/2+0*2*$L$7+(-1)*$L$7/2</f>
        <v/>
      </c>
      <c r="M162" s="8">
        <f>$P$7+(1)*$M$7/2</f>
        <v/>
      </c>
      <c r="N162" s="8">
        <f>L162-$B$7/2</f>
        <v/>
      </c>
      <c r="O162" s="8">
        <f>M162-$B$8/2</f>
        <v/>
      </c>
      <c r="P162" s="8">
        <f>SQRT(N162^2+O162^2)</f>
        <v/>
      </c>
      <c r="Q162" s="8">
        <f>IF(OR($H$7&lt;&gt;"OK",P162=""),"",IF(P162&lt;=$D$19,$A$19,IF(P162&gt;=INDEX($D$19:$D$2018,$H$6),INDEX($A$19:$A$2018,$H$6),INDEX($A$19:$A$2018,MATCH(P162,$D$19:INDEX($D$19:$D$2018,$H$6),1))+(P162-INDEX($D$19:$D$2018,MATCH(P162,$D$19:INDEX($D$19:$D$2018,$H$6),1)))*(INDEX($A$19:$A$2018,MATCH(P162,$D$19:INDEX($D$19:$D$2018,$H$6),1)+1)-INDEX($A$19:$A$2018,MATCH(P162,$D$19:INDEX($D$19:$D$2018,$H$6),1)))/(INDEX($D$19:$D$2018,MATCH(P162,$D$19:INDEX($D$19:$D$2018,$H$6),1)+1)-INDEX($D$19:$D$2018,MATCH(P162,$D$19:INDEX($D$19:$D$2018,$H$6),1))))))</f>
        <v/>
      </c>
      <c r="R162" s="8">
        <f>IF(P162=0,0,-Y162*N162/P162)</f>
        <v/>
      </c>
      <c r="S162" s="8">
        <f>IF(P162=0,0,Y162*O162/P162)</f>
        <v/>
      </c>
      <c r="T162" s="8">
        <f>IF(Y162=0,$B$7/2,$B$7/2-Z162*R162/Y162)</f>
        <v/>
      </c>
      <c r="U162" s="8">
        <f>IF(Y162=0,$B$8/2,$B$8/2+Z162*S162/Y162)</f>
        <v/>
      </c>
      <c r="V162" s="8">
        <f>SQRT((T162-L162)^2+(U162-M162)^2)</f>
        <v/>
      </c>
      <c r="Y162">
        <f>$B$10*TAN(RADIANS(Q162))</f>
        <v/>
      </c>
      <c r="Z162">
        <f>IF(OR($H$7&lt;&gt;"OK",Q162=""),"",IF(Q162&lt;=$A$19,$D$19,IF(Q162&gt;=INDEX($A$19:$A$2018,$H$6),INDEX($D$19:$D$2018,$H$6),INDEX($D$19:$D$2018,MATCH(Q162,$A$19:INDEX($A$19:$A$2018,$H$6),1))+(Q162-INDEX($A$19:$A$2018,MATCH(Q162,$A$19:INDEX($A$19:$A$2018,$H$6),1)))*(INDEX($D$19:$D$2018,MATCH(Q162,$A$19:INDEX($A$19:$A$2018,$H$6),1)+1)-INDEX($D$19:$D$2018,MATCH(Q162,$A$19:INDEX($A$19:$A$2018,$H$6),1)))/(INDEX($A$19:$A$2018,MATCH(Q162,$A$19:INDEX($A$19:$A$2018,$H$6),1)+1)-INDEX($A$19:$A$2018,MATCH(Q162,$A$19:INDEX($A$19:$A$2018,$H$6),1))))))</f>
        <v/>
      </c>
    </row>
    <row r="163">
      <c r="A163" s="11" t="n"/>
      <c r="B163" s="11" t="n"/>
      <c r="C163" s="12">
        <f>IF(A163="","",$B$9*TAN(RADIANS(A163)))</f>
        <v/>
      </c>
      <c r="D163" s="12">
        <f>IF(C163="","",C163*(1+B163/100))</f>
        <v/>
      </c>
      <c r="E163" s="12">
        <f>IF(A163="","",$B$10*TAN(RADIANS(A163)))</f>
        <v/>
      </c>
      <c r="G163" s="8" t="n">
        <v>145</v>
      </c>
      <c r="H163" s="8">
        <f>$K$7</f>
        <v/>
      </c>
      <c r="I163" s="7" t="inlineStr">
        <is>
          <t>豎</t>
        </is>
      </c>
      <c r="J163" s="8" t="n">
        <v>2</v>
      </c>
      <c r="K163" s="7" t="inlineStr">
        <is>
          <t>左上</t>
        </is>
      </c>
      <c r="L163" s="8">
        <f>$O$7+($M$7+$L$7)/2-$M$7/2+$L$7/2+1*2*$L$7+(-1)*$L$7/2</f>
        <v/>
      </c>
      <c r="M163" s="8">
        <f>$P$7+(-1)*$M$7/2</f>
        <v/>
      </c>
      <c r="N163" s="8">
        <f>L163-$B$7/2</f>
        <v/>
      </c>
      <c r="O163" s="8">
        <f>M163-$B$8/2</f>
        <v/>
      </c>
      <c r="P163" s="8">
        <f>SQRT(N163^2+O163^2)</f>
        <v/>
      </c>
      <c r="Q163" s="8">
        <f>IF(OR($H$7&lt;&gt;"OK",P163=""),"",IF(P163&lt;=$D$19,$A$19,IF(P163&gt;=INDEX($D$19:$D$2018,$H$6),INDEX($A$19:$A$2018,$H$6),INDEX($A$19:$A$2018,MATCH(P163,$D$19:INDEX($D$19:$D$2018,$H$6),1))+(P163-INDEX($D$19:$D$2018,MATCH(P163,$D$19:INDEX($D$19:$D$2018,$H$6),1)))*(INDEX($A$19:$A$2018,MATCH(P163,$D$19:INDEX($D$19:$D$2018,$H$6),1)+1)-INDEX($A$19:$A$2018,MATCH(P163,$D$19:INDEX($D$19:$D$2018,$H$6),1)))/(INDEX($D$19:$D$2018,MATCH(P163,$D$19:INDEX($D$19:$D$2018,$H$6),1)+1)-INDEX($D$19:$D$2018,MATCH(P163,$D$19:INDEX($D$19:$D$2018,$H$6),1))))))</f>
        <v/>
      </c>
      <c r="R163" s="8">
        <f>IF(P163=0,0,-Y163*N163/P163)</f>
        <v/>
      </c>
      <c r="S163" s="8">
        <f>IF(P163=0,0,Y163*O163/P163)</f>
        <v/>
      </c>
      <c r="T163" s="8">
        <f>IF(Y163=0,$B$7/2,$B$7/2-Z163*R163/Y163)</f>
        <v/>
      </c>
      <c r="U163" s="8">
        <f>IF(Y163=0,$B$8/2,$B$8/2+Z163*S163/Y163)</f>
        <v/>
      </c>
      <c r="V163" s="8">
        <f>SQRT((T163-L163)^2+(U163-M163)^2)</f>
        <v/>
      </c>
      <c r="Y163">
        <f>$B$10*TAN(RADIANS(Q163))</f>
        <v/>
      </c>
      <c r="Z163">
        <f>IF(OR($H$7&lt;&gt;"OK",Q163=""),"",IF(Q163&lt;=$A$19,$D$19,IF(Q163&gt;=INDEX($A$19:$A$2018,$H$6),INDEX($D$19:$D$2018,$H$6),INDEX($D$19:$D$2018,MATCH(Q163,$A$19:INDEX($A$19:$A$2018,$H$6),1))+(Q163-INDEX($A$19:$A$2018,MATCH(Q163,$A$19:INDEX($A$19:$A$2018,$H$6),1)))*(INDEX($D$19:$D$2018,MATCH(Q163,$A$19:INDEX($A$19:$A$2018,$H$6),1)+1)-INDEX($D$19:$D$2018,MATCH(Q163,$A$19:INDEX($A$19:$A$2018,$H$6),1)))/(INDEX($A$19:$A$2018,MATCH(Q163,$A$19:INDEX($A$19:$A$2018,$H$6),1)+1)-INDEX($A$19:$A$2018,MATCH(Q163,$A$19:INDEX($A$19:$A$2018,$H$6),1))))))</f>
        <v/>
      </c>
    </row>
    <row r="164">
      <c r="A164" s="11" t="n"/>
      <c r="B164" s="11" t="n"/>
      <c r="C164" s="12">
        <f>IF(A164="","",$B$9*TAN(RADIANS(A164)))</f>
        <v/>
      </c>
      <c r="D164" s="12">
        <f>IF(C164="","",C164*(1+B164/100))</f>
        <v/>
      </c>
      <c r="E164" s="12">
        <f>IF(A164="","",$B$10*TAN(RADIANS(A164)))</f>
        <v/>
      </c>
      <c r="G164" s="8" t="n">
        <v>146</v>
      </c>
      <c r="H164" s="8">
        <f>$K$7</f>
        <v/>
      </c>
      <c r="I164" s="7" t="inlineStr">
        <is>
          <t>豎</t>
        </is>
      </c>
      <c r="J164" s="8" t="n">
        <v>2</v>
      </c>
      <c r="K164" s="7" t="inlineStr">
        <is>
          <t>右上</t>
        </is>
      </c>
      <c r="L164" s="8">
        <f>$O$7+($M$7+$L$7)/2-$M$7/2+$L$7/2+1*2*$L$7+(1)*$L$7/2</f>
        <v/>
      </c>
      <c r="M164" s="8">
        <f>$P$7+(-1)*$M$7/2</f>
        <v/>
      </c>
      <c r="N164" s="8">
        <f>L164-$B$7/2</f>
        <v/>
      </c>
      <c r="O164" s="8">
        <f>M164-$B$8/2</f>
        <v/>
      </c>
      <c r="P164" s="8">
        <f>SQRT(N164^2+O164^2)</f>
        <v/>
      </c>
      <c r="Q164" s="8">
        <f>IF(OR($H$7&lt;&gt;"OK",P164=""),"",IF(P164&lt;=$D$19,$A$19,IF(P164&gt;=INDEX($D$19:$D$2018,$H$6),INDEX($A$19:$A$2018,$H$6),INDEX($A$19:$A$2018,MATCH(P164,$D$19:INDEX($D$19:$D$2018,$H$6),1))+(P164-INDEX($D$19:$D$2018,MATCH(P164,$D$19:INDEX($D$19:$D$2018,$H$6),1)))*(INDEX($A$19:$A$2018,MATCH(P164,$D$19:INDEX($D$19:$D$2018,$H$6),1)+1)-INDEX($A$19:$A$2018,MATCH(P164,$D$19:INDEX($D$19:$D$2018,$H$6),1)))/(INDEX($D$19:$D$2018,MATCH(P164,$D$19:INDEX($D$19:$D$2018,$H$6),1)+1)-INDEX($D$19:$D$2018,MATCH(P164,$D$19:INDEX($D$19:$D$2018,$H$6),1))))))</f>
        <v/>
      </c>
      <c r="R164" s="8">
        <f>IF(P164=0,0,-Y164*N164/P164)</f>
        <v/>
      </c>
      <c r="S164" s="8">
        <f>IF(P164=0,0,Y164*O164/P164)</f>
        <v/>
      </c>
      <c r="T164" s="8">
        <f>IF(Y164=0,$B$7/2,$B$7/2-Z164*R164/Y164)</f>
        <v/>
      </c>
      <c r="U164" s="8">
        <f>IF(Y164=0,$B$8/2,$B$8/2+Z164*S164/Y164)</f>
        <v/>
      </c>
      <c r="V164" s="8">
        <f>SQRT((T164-L164)^2+(U164-M164)^2)</f>
        <v/>
      </c>
      <c r="Y164">
        <f>$B$10*TAN(RADIANS(Q164))</f>
        <v/>
      </c>
      <c r="Z164">
        <f>IF(OR($H$7&lt;&gt;"OK",Q164=""),"",IF(Q164&lt;=$A$19,$D$19,IF(Q164&gt;=INDEX($A$19:$A$2018,$H$6),INDEX($D$19:$D$2018,$H$6),INDEX($D$19:$D$2018,MATCH(Q164,$A$19:INDEX($A$19:$A$2018,$H$6),1))+(Q164-INDEX($A$19:$A$2018,MATCH(Q164,$A$19:INDEX($A$19:$A$2018,$H$6),1)))*(INDEX($D$19:$D$2018,MATCH(Q164,$A$19:INDEX($A$19:$A$2018,$H$6),1)+1)-INDEX($D$19:$D$2018,MATCH(Q164,$A$19:INDEX($A$19:$A$2018,$H$6),1)))/(INDEX($A$19:$A$2018,MATCH(Q164,$A$19:INDEX($A$19:$A$2018,$H$6),1)+1)-INDEX($A$19:$A$2018,MATCH(Q164,$A$19:INDEX($A$19:$A$2018,$H$6),1))))))</f>
        <v/>
      </c>
    </row>
    <row r="165">
      <c r="A165" s="11" t="n"/>
      <c r="B165" s="11" t="n"/>
      <c r="C165" s="12">
        <f>IF(A165="","",$B$9*TAN(RADIANS(A165)))</f>
        <v/>
      </c>
      <c r="D165" s="12">
        <f>IF(C165="","",C165*(1+B165/100))</f>
        <v/>
      </c>
      <c r="E165" s="12">
        <f>IF(A165="","",$B$10*TAN(RADIANS(A165)))</f>
        <v/>
      </c>
      <c r="G165" s="8" t="n">
        <v>147</v>
      </c>
      <c r="H165" s="8">
        <f>$K$7</f>
        <v/>
      </c>
      <c r="I165" s="7" t="inlineStr">
        <is>
          <t>豎</t>
        </is>
      </c>
      <c r="J165" s="8" t="n">
        <v>2</v>
      </c>
      <c r="K165" s="7" t="inlineStr">
        <is>
          <t>右下</t>
        </is>
      </c>
      <c r="L165" s="8">
        <f>$O$7+($M$7+$L$7)/2-$M$7/2+$L$7/2+1*2*$L$7+(1)*$L$7/2</f>
        <v/>
      </c>
      <c r="M165" s="8">
        <f>$P$7+(1)*$M$7/2</f>
        <v/>
      </c>
      <c r="N165" s="8">
        <f>L165-$B$7/2</f>
        <v/>
      </c>
      <c r="O165" s="8">
        <f>M165-$B$8/2</f>
        <v/>
      </c>
      <c r="P165" s="8">
        <f>SQRT(N165^2+O165^2)</f>
        <v/>
      </c>
      <c r="Q165" s="8">
        <f>IF(OR($H$7&lt;&gt;"OK",P165=""),"",IF(P165&lt;=$D$19,$A$19,IF(P165&gt;=INDEX($D$19:$D$2018,$H$6),INDEX($A$19:$A$2018,$H$6),INDEX($A$19:$A$2018,MATCH(P165,$D$19:INDEX($D$19:$D$2018,$H$6),1))+(P165-INDEX($D$19:$D$2018,MATCH(P165,$D$19:INDEX($D$19:$D$2018,$H$6),1)))*(INDEX($A$19:$A$2018,MATCH(P165,$D$19:INDEX($D$19:$D$2018,$H$6),1)+1)-INDEX($A$19:$A$2018,MATCH(P165,$D$19:INDEX($D$19:$D$2018,$H$6),1)))/(INDEX($D$19:$D$2018,MATCH(P165,$D$19:INDEX($D$19:$D$2018,$H$6),1)+1)-INDEX($D$19:$D$2018,MATCH(P165,$D$19:INDEX($D$19:$D$2018,$H$6),1))))))</f>
        <v/>
      </c>
      <c r="R165" s="8">
        <f>IF(P165=0,0,-Y165*N165/P165)</f>
        <v/>
      </c>
      <c r="S165" s="8">
        <f>IF(P165=0,0,Y165*O165/P165)</f>
        <v/>
      </c>
      <c r="T165" s="8">
        <f>IF(Y165=0,$B$7/2,$B$7/2-Z165*R165/Y165)</f>
        <v/>
      </c>
      <c r="U165" s="8">
        <f>IF(Y165=0,$B$8/2,$B$8/2+Z165*S165/Y165)</f>
        <v/>
      </c>
      <c r="V165" s="8">
        <f>SQRT((T165-L165)^2+(U165-M165)^2)</f>
        <v/>
      </c>
      <c r="Y165">
        <f>$B$10*TAN(RADIANS(Q165))</f>
        <v/>
      </c>
      <c r="Z165">
        <f>IF(OR($H$7&lt;&gt;"OK",Q165=""),"",IF(Q165&lt;=$A$19,$D$19,IF(Q165&gt;=INDEX($A$19:$A$2018,$H$6),INDEX($D$19:$D$2018,$H$6),INDEX($D$19:$D$2018,MATCH(Q165,$A$19:INDEX($A$19:$A$2018,$H$6),1))+(Q165-INDEX($A$19:$A$2018,MATCH(Q165,$A$19:INDEX($A$19:$A$2018,$H$6),1)))*(INDEX($D$19:$D$2018,MATCH(Q165,$A$19:INDEX($A$19:$A$2018,$H$6),1)+1)-INDEX($D$19:$D$2018,MATCH(Q165,$A$19:INDEX($A$19:$A$2018,$H$6),1)))/(INDEX($A$19:$A$2018,MATCH(Q165,$A$19:INDEX($A$19:$A$2018,$H$6),1)+1)-INDEX($A$19:$A$2018,MATCH(Q165,$A$19:INDEX($A$19:$A$2018,$H$6),1))))))</f>
        <v/>
      </c>
    </row>
    <row r="166">
      <c r="A166" s="11" t="n"/>
      <c r="B166" s="11" t="n"/>
      <c r="C166" s="12">
        <f>IF(A166="","",$B$9*TAN(RADIANS(A166)))</f>
        <v/>
      </c>
      <c r="D166" s="12">
        <f>IF(C166="","",C166*(1+B166/100))</f>
        <v/>
      </c>
      <c r="E166" s="12">
        <f>IF(A166="","",$B$10*TAN(RADIANS(A166)))</f>
        <v/>
      </c>
      <c r="G166" s="8" t="n">
        <v>148</v>
      </c>
      <c r="H166" s="8">
        <f>$K$7</f>
        <v/>
      </c>
      <c r="I166" s="7" t="inlineStr">
        <is>
          <t>豎</t>
        </is>
      </c>
      <c r="J166" s="8" t="n">
        <v>2</v>
      </c>
      <c r="K166" s="7" t="inlineStr">
        <is>
          <t>左下</t>
        </is>
      </c>
      <c r="L166" s="8">
        <f>$O$7+($M$7+$L$7)/2-$M$7/2+$L$7/2+1*2*$L$7+(-1)*$L$7/2</f>
        <v/>
      </c>
      <c r="M166" s="8">
        <f>$P$7+(1)*$M$7/2</f>
        <v/>
      </c>
      <c r="N166" s="8">
        <f>L166-$B$7/2</f>
        <v/>
      </c>
      <c r="O166" s="8">
        <f>M166-$B$8/2</f>
        <v/>
      </c>
      <c r="P166" s="8">
        <f>SQRT(N166^2+O166^2)</f>
        <v/>
      </c>
      <c r="Q166" s="8">
        <f>IF(OR($H$7&lt;&gt;"OK",P166=""),"",IF(P166&lt;=$D$19,$A$19,IF(P166&gt;=INDEX($D$19:$D$2018,$H$6),INDEX($A$19:$A$2018,$H$6),INDEX($A$19:$A$2018,MATCH(P166,$D$19:INDEX($D$19:$D$2018,$H$6),1))+(P166-INDEX($D$19:$D$2018,MATCH(P166,$D$19:INDEX($D$19:$D$2018,$H$6),1)))*(INDEX($A$19:$A$2018,MATCH(P166,$D$19:INDEX($D$19:$D$2018,$H$6),1)+1)-INDEX($A$19:$A$2018,MATCH(P166,$D$19:INDEX($D$19:$D$2018,$H$6),1)))/(INDEX($D$19:$D$2018,MATCH(P166,$D$19:INDEX($D$19:$D$2018,$H$6),1)+1)-INDEX($D$19:$D$2018,MATCH(P166,$D$19:INDEX($D$19:$D$2018,$H$6),1))))))</f>
        <v/>
      </c>
      <c r="R166" s="8">
        <f>IF(P166=0,0,-Y166*N166/P166)</f>
        <v/>
      </c>
      <c r="S166" s="8">
        <f>IF(P166=0,0,Y166*O166/P166)</f>
        <v/>
      </c>
      <c r="T166" s="8">
        <f>IF(Y166=0,$B$7/2,$B$7/2-Z166*R166/Y166)</f>
        <v/>
      </c>
      <c r="U166" s="8">
        <f>IF(Y166=0,$B$8/2,$B$8/2+Z166*S166/Y166)</f>
        <v/>
      </c>
      <c r="V166" s="8">
        <f>SQRT((T166-L166)^2+(U166-M166)^2)</f>
        <v/>
      </c>
      <c r="Y166">
        <f>$B$10*TAN(RADIANS(Q166))</f>
        <v/>
      </c>
      <c r="Z166">
        <f>IF(OR($H$7&lt;&gt;"OK",Q166=""),"",IF(Q166&lt;=$A$19,$D$19,IF(Q166&gt;=INDEX($A$19:$A$2018,$H$6),INDEX($D$19:$D$2018,$H$6),INDEX($D$19:$D$2018,MATCH(Q166,$A$19:INDEX($A$19:$A$2018,$H$6),1))+(Q166-INDEX($A$19:$A$2018,MATCH(Q166,$A$19:INDEX($A$19:$A$2018,$H$6),1)))*(INDEX($D$19:$D$2018,MATCH(Q166,$A$19:INDEX($A$19:$A$2018,$H$6),1)+1)-INDEX($D$19:$D$2018,MATCH(Q166,$A$19:INDEX($A$19:$A$2018,$H$6),1)))/(INDEX($A$19:$A$2018,MATCH(Q166,$A$19:INDEX($A$19:$A$2018,$H$6),1)+1)-INDEX($A$19:$A$2018,MATCH(Q166,$A$19:INDEX($A$19:$A$2018,$H$6),1))))))</f>
        <v/>
      </c>
    </row>
    <row r="167">
      <c r="A167" s="11" t="n"/>
      <c r="B167" s="11" t="n"/>
      <c r="C167" s="12">
        <f>IF(A167="","",$B$9*TAN(RADIANS(A167)))</f>
        <v/>
      </c>
      <c r="D167" s="12">
        <f>IF(C167="","",C167*(1+B167/100))</f>
        <v/>
      </c>
      <c r="E167" s="12">
        <f>IF(A167="","",$B$10*TAN(RADIANS(A167)))</f>
        <v/>
      </c>
      <c r="G167" s="8" t="n">
        <v>149</v>
      </c>
      <c r="H167" s="8">
        <f>$K$7</f>
        <v/>
      </c>
      <c r="I167" s="7" t="inlineStr">
        <is>
          <t>豎</t>
        </is>
      </c>
      <c r="J167" s="8" t="n">
        <v>3</v>
      </c>
      <c r="K167" s="7" t="inlineStr">
        <is>
          <t>左上</t>
        </is>
      </c>
      <c r="L167" s="8">
        <f>$O$7+($M$7+$L$7)/2-$M$7/2+$L$7/2+2*2*$L$7+(-1)*$L$7/2</f>
        <v/>
      </c>
      <c r="M167" s="8">
        <f>$P$7+(-1)*$M$7/2</f>
        <v/>
      </c>
      <c r="N167" s="8">
        <f>L167-$B$7/2</f>
        <v/>
      </c>
      <c r="O167" s="8">
        <f>M167-$B$8/2</f>
        <v/>
      </c>
      <c r="P167" s="8">
        <f>SQRT(N167^2+O167^2)</f>
        <v/>
      </c>
      <c r="Q167" s="8">
        <f>IF(OR($H$7&lt;&gt;"OK",P167=""),"",IF(P167&lt;=$D$19,$A$19,IF(P167&gt;=INDEX($D$19:$D$2018,$H$6),INDEX($A$19:$A$2018,$H$6),INDEX($A$19:$A$2018,MATCH(P167,$D$19:INDEX($D$19:$D$2018,$H$6),1))+(P167-INDEX($D$19:$D$2018,MATCH(P167,$D$19:INDEX($D$19:$D$2018,$H$6),1)))*(INDEX($A$19:$A$2018,MATCH(P167,$D$19:INDEX($D$19:$D$2018,$H$6),1)+1)-INDEX($A$19:$A$2018,MATCH(P167,$D$19:INDEX($D$19:$D$2018,$H$6),1)))/(INDEX($D$19:$D$2018,MATCH(P167,$D$19:INDEX($D$19:$D$2018,$H$6),1)+1)-INDEX($D$19:$D$2018,MATCH(P167,$D$19:INDEX($D$19:$D$2018,$H$6),1))))))</f>
        <v/>
      </c>
      <c r="R167" s="8">
        <f>IF(P167=0,0,-Y167*N167/P167)</f>
        <v/>
      </c>
      <c r="S167" s="8">
        <f>IF(P167=0,0,Y167*O167/P167)</f>
        <v/>
      </c>
      <c r="T167" s="8">
        <f>IF(Y167=0,$B$7/2,$B$7/2-Z167*R167/Y167)</f>
        <v/>
      </c>
      <c r="U167" s="8">
        <f>IF(Y167=0,$B$8/2,$B$8/2+Z167*S167/Y167)</f>
        <v/>
      </c>
      <c r="V167" s="8">
        <f>SQRT((T167-L167)^2+(U167-M167)^2)</f>
        <v/>
      </c>
      <c r="Y167">
        <f>$B$10*TAN(RADIANS(Q167))</f>
        <v/>
      </c>
      <c r="Z167">
        <f>IF(OR($H$7&lt;&gt;"OK",Q167=""),"",IF(Q167&lt;=$A$19,$D$19,IF(Q167&gt;=INDEX($A$19:$A$2018,$H$6),INDEX($D$19:$D$2018,$H$6),INDEX($D$19:$D$2018,MATCH(Q167,$A$19:INDEX($A$19:$A$2018,$H$6),1))+(Q167-INDEX($A$19:$A$2018,MATCH(Q167,$A$19:INDEX($A$19:$A$2018,$H$6),1)))*(INDEX($D$19:$D$2018,MATCH(Q167,$A$19:INDEX($A$19:$A$2018,$H$6),1)+1)-INDEX($D$19:$D$2018,MATCH(Q167,$A$19:INDEX($A$19:$A$2018,$H$6),1)))/(INDEX($A$19:$A$2018,MATCH(Q167,$A$19:INDEX($A$19:$A$2018,$H$6),1)+1)-INDEX($A$19:$A$2018,MATCH(Q167,$A$19:INDEX($A$19:$A$2018,$H$6),1))))))</f>
        <v/>
      </c>
    </row>
    <row r="168">
      <c r="A168" s="11" t="n"/>
      <c r="B168" s="11" t="n"/>
      <c r="C168" s="12">
        <f>IF(A168="","",$B$9*TAN(RADIANS(A168)))</f>
        <v/>
      </c>
      <c r="D168" s="12">
        <f>IF(C168="","",C168*(1+B168/100))</f>
        <v/>
      </c>
      <c r="E168" s="12">
        <f>IF(A168="","",$B$10*TAN(RADIANS(A168)))</f>
        <v/>
      </c>
      <c r="G168" s="8" t="n">
        <v>150</v>
      </c>
      <c r="H168" s="8">
        <f>$K$7</f>
        <v/>
      </c>
      <c r="I168" s="7" t="inlineStr">
        <is>
          <t>豎</t>
        </is>
      </c>
      <c r="J168" s="8" t="n">
        <v>3</v>
      </c>
      <c r="K168" s="7" t="inlineStr">
        <is>
          <t>右上</t>
        </is>
      </c>
      <c r="L168" s="8">
        <f>$O$7+($M$7+$L$7)/2-$M$7/2+$L$7/2+2*2*$L$7+(1)*$L$7/2</f>
        <v/>
      </c>
      <c r="M168" s="8">
        <f>$P$7+(-1)*$M$7/2</f>
        <v/>
      </c>
      <c r="N168" s="8">
        <f>L168-$B$7/2</f>
        <v/>
      </c>
      <c r="O168" s="8">
        <f>M168-$B$8/2</f>
        <v/>
      </c>
      <c r="P168" s="8">
        <f>SQRT(N168^2+O168^2)</f>
        <v/>
      </c>
      <c r="Q168" s="8">
        <f>IF(OR($H$7&lt;&gt;"OK",P168=""),"",IF(P168&lt;=$D$19,$A$19,IF(P168&gt;=INDEX($D$19:$D$2018,$H$6),INDEX($A$19:$A$2018,$H$6),INDEX($A$19:$A$2018,MATCH(P168,$D$19:INDEX($D$19:$D$2018,$H$6),1))+(P168-INDEX($D$19:$D$2018,MATCH(P168,$D$19:INDEX($D$19:$D$2018,$H$6),1)))*(INDEX($A$19:$A$2018,MATCH(P168,$D$19:INDEX($D$19:$D$2018,$H$6),1)+1)-INDEX($A$19:$A$2018,MATCH(P168,$D$19:INDEX($D$19:$D$2018,$H$6),1)))/(INDEX($D$19:$D$2018,MATCH(P168,$D$19:INDEX($D$19:$D$2018,$H$6),1)+1)-INDEX($D$19:$D$2018,MATCH(P168,$D$19:INDEX($D$19:$D$2018,$H$6),1))))))</f>
        <v/>
      </c>
      <c r="R168" s="8">
        <f>IF(P168=0,0,-Y168*N168/P168)</f>
        <v/>
      </c>
      <c r="S168" s="8">
        <f>IF(P168=0,0,Y168*O168/P168)</f>
        <v/>
      </c>
      <c r="T168" s="8">
        <f>IF(Y168=0,$B$7/2,$B$7/2-Z168*R168/Y168)</f>
        <v/>
      </c>
      <c r="U168" s="8">
        <f>IF(Y168=0,$B$8/2,$B$8/2+Z168*S168/Y168)</f>
        <v/>
      </c>
      <c r="V168" s="8">
        <f>SQRT((T168-L168)^2+(U168-M168)^2)</f>
        <v/>
      </c>
      <c r="Y168">
        <f>$B$10*TAN(RADIANS(Q168))</f>
        <v/>
      </c>
      <c r="Z168">
        <f>IF(OR($H$7&lt;&gt;"OK",Q168=""),"",IF(Q168&lt;=$A$19,$D$19,IF(Q168&gt;=INDEX($A$19:$A$2018,$H$6),INDEX($D$19:$D$2018,$H$6),INDEX($D$19:$D$2018,MATCH(Q168,$A$19:INDEX($A$19:$A$2018,$H$6),1))+(Q168-INDEX($A$19:$A$2018,MATCH(Q168,$A$19:INDEX($A$19:$A$2018,$H$6),1)))*(INDEX($D$19:$D$2018,MATCH(Q168,$A$19:INDEX($A$19:$A$2018,$H$6),1)+1)-INDEX($D$19:$D$2018,MATCH(Q168,$A$19:INDEX($A$19:$A$2018,$H$6),1)))/(INDEX($A$19:$A$2018,MATCH(Q168,$A$19:INDEX($A$19:$A$2018,$H$6),1)+1)-INDEX($A$19:$A$2018,MATCH(Q168,$A$19:INDEX($A$19:$A$2018,$H$6),1))))))</f>
        <v/>
      </c>
    </row>
    <row r="169">
      <c r="A169" s="11" t="n"/>
      <c r="B169" s="11" t="n"/>
      <c r="C169" s="12">
        <f>IF(A169="","",$B$9*TAN(RADIANS(A169)))</f>
        <v/>
      </c>
      <c r="D169" s="12">
        <f>IF(C169="","",C169*(1+B169/100))</f>
        <v/>
      </c>
      <c r="E169" s="12">
        <f>IF(A169="","",$B$10*TAN(RADIANS(A169)))</f>
        <v/>
      </c>
      <c r="G169" s="8" t="n">
        <v>151</v>
      </c>
      <c r="H169" s="8">
        <f>$K$7</f>
        <v/>
      </c>
      <c r="I169" s="7" t="inlineStr">
        <is>
          <t>豎</t>
        </is>
      </c>
      <c r="J169" s="8" t="n">
        <v>3</v>
      </c>
      <c r="K169" s="7" t="inlineStr">
        <is>
          <t>右下</t>
        </is>
      </c>
      <c r="L169" s="8">
        <f>$O$7+($M$7+$L$7)/2-$M$7/2+$L$7/2+2*2*$L$7+(1)*$L$7/2</f>
        <v/>
      </c>
      <c r="M169" s="8">
        <f>$P$7+(1)*$M$7/2</f>
        <v/>
      </c>
      <c r="N169" s="8">
        <f>L169-$B$7/2</f>
        <v/>
      </c>
      <c r="O169" s="8">
        <f>M169-$B$8/2</f>
        <v/>
      </c>
      <c r="P169" s="8">
        <f>SQRT(N169^2+O169^2)</f>
        <v/>
      </c>
      <c r="Q169" s="8">
        <f>IF(OR($H$7&lt;&gt;"OK",P169=""),"",IF(P169&lt;=$D$19,$A$19,IF(P169&gt;=INDEX($D$19:$D$2018,$H$6),INDEX($A$19:$A$2018,$H$6),INDEX($A$19:$A$2018,MATCH(P169,$D$19:INDEX($D$19:$D$2018,$H$6),1))+(P169-INDEX($D$19:$D$2018,MATCH(P169,$D$19:INDEX($D$19:$D$2018,$H$6),1)))*(INDEX($A$19:$A$2018,MATCH(P169,$D$19:INDEX($D$19:$D$2018,$H$6),1)+1)-INDEX($A$19:$A$2018,MATCH(P169,$D$19:INDEX($D$19:$D$2018,$H$6),1)))/(INDEX($D$19:$D$2018,MATCH(P169,$D$19:INDEX($D$19:$D$2018,$H$6),1)+1)-INDEX($D$19:$D$2018,MATCH(P169,$D$19:INDEX($D$19:$D$2018,$H$6),1))))))</f>
        <v/>
      </c>
      <c r="R169" s="8">
        <f>IF(P169=0,0,-Y169*N169/P169)</f>
        <v/>
      </c>
      <c r="S169" s="8">
        <f>IF(P169=0,0,Y169*O169/P169)</f>
        <v/>
      </c>
      <c r="T169" s="8">
        <f>IF(Y169=0,$B$7/2,$B$7/2-Z169*R169/Y169)</f>
        <v/>
      </c>
      <c r="U169" s="8">
        <f>IF(Y169=0,$B$8/2,$B$8/2+Z169*S169/Y169)</f>
        <v/>
      </c>
      <c r="V169" s="8">
        <f>SQRT((T169-L169)^2+(U169-M169)^2)</f>
        <v/>
      </c>
      <c r="Y169">
        <f>$B$10*TAN(RADIANS(Q169))</f>
        <v/>
      </c>
      <c r="Z169">
        <f>IF(OR($H$7&lt;&gt;"OK",Q169=""),"",IF(Q169&lt;=$A$19,$D$19,IF(Q169&gt;=INDEX($A$19:$A$2018,$H$6),INDEX($D$19:$D$2018,$H$6),INDEX($D$19:$D$2018,MATCH(Q169,$A$19:INDEX($A$19:$A$2018,$H$6),1))+(Q169-INDEX($A$19:$A$2018,MATCH(Q169,$A$19:INDEX($A$19:$A$2018,$H$6),1)))*(INDEX($D$19:$D$2018,MATCH(Q169,$A$19:INDEX($A$19:$A$2018,$H$6),1)+1)-INDEX($D$19:$D$2018,MATCH(Q169,$A$19:INDEX($A$19:$A$2018,$H$6),1)))/(INDEX($A$19:$A$2018,MATCH(Q169,$A$19:INDEX($A$19:$A$2018,$H$6),1)+1)-INDEX($A$19:$A$2018,MATCH(Q169,$A$19:INDEX($A$19:$A$2018,$H$6),1))))))</f>
        <v/>
      </c>
    </row>
    <row r="170">
      <c r="A170" s="11" t="n"/>
      <c r="B170" s="11" t="n"/>
      <c r="C170" s="12">
        <f>IF(A170="","",$B$9*TAN(RADIANS(A170)))</f>
        <v/>
      </c>
      <c r="D170" s="12">
        <f>IF(C170="","",C170*(1+B170/100))</f>
        <v/>
      </c>
      <c r="E170" s="12">
        <f>IF(A170="","",$B$10*TAN(RADIANS(A170)))</f>
        <v/>
      </c>
      <c r="G170" s="8" t="n">
        <v>152</v>
      </c>
      <c r="H170" s="8">
        <f>$K$7</f>
        <v/>
      </c>
      <c r="I170" s="7" t="inlineStr">
        <is>
          <t>豎</t>
        </is>
      </c>
      <c r="J170" s="8" t="n">
        <v>3</v>
      </c>
      <c r="K170" s="7" t="inlineStr">
        <is>
          <t>左下</t>
        </is>
      </c>
      <c r="L170" s="8">
        <f>$O$7+($M$7+$L$7)/2-$M$7/2+$L$7/2+2*2*$L$7+(-1)*$L$7/2</f>
        <v/>
      </c>
      <c r="M170" s="8">
        <f>$P$7+(1)*$M$7/2</f>
        <v/>
      </c>
      <c r="N170" s="8">
        <f>L170-$B$7/2</f>
        <v/>
      </c>
      <c r="O170" s="8">
        <f>M170-$B$8/2</f>
        <v/>
      </c>
      <c r="P170" s="8">
        <f>SQRT(N170^2+O170^2)</f>
        <v/>
      </c>
      <c r="Q170" s="8">
        <f>IF(OR($H$7&lt;&gt;"OK",P170=""),"",IF(P170&lt;=$D$19,$A$19,IF(P170&gt;=INDEX($D$19:$D$2018,$H$6),INDEX($A$19:$A$2018,$H$6),INDEX($A$19:$A$2018,MATCH(P170,$D$19:INDEX($D$19:$D$2018,$H$6),1))+(P170-INDEX($D$19:$D$2018,MATCH(P170,$D$19:INDEX($D$19:$D$2018,$H$6),1)))*(INDEX($A$19:$A$2018,MATCH(P170,$D$19:INDEX($D$19:$D$2018,$H$6),1)+1)-INDEX($A$19:$A$2018,MATCH(P170,$D$19:INDEX($D$19:$D$2018,$H$6),1)))/(INDEX($D$19:$D$2018,MATCH(P170,$D$19:INDEX($D$19:$D$2018,$H$6),1)+1)-INDEX($D$19:$D$2018,MATCH(P170,$D$19:INDEX($D$19:$D$2018,$H$6),1))))))</f>
        <v/>
      </c>
      <c r="R170" s="8">
        <f>IF(P170=0,0,-Y170*N170/P170)</f>
        <v/>
      </c>
      <c r="S170" s="8">
        <f>IF(P170=0,0,Y170*O170/P170)</f>
        <v/>
      </c>
      <c r="T170" s="8">
        <f>IF(Y170=0,$B$7/2,$B$7/2-Z170*R170/Y170)</f>
        <v/>
      </c>
      <c r="U170" s="8">
        <f>IF(Y170=0,$B$8/2,$B$8/2+Z170*S170/Y170)</f>
        <v/>
      </c>
      <c r="V170" s="8">
        <f>SQRT((T170-L170)^2+(U170-M170)^2)</f>
        <v/>
      </c>
      <c r="Y170">
        <f>$B$10*TAN(RADIANS(Q170))</f>
        <v/>
      </c>
      <c r="Z170">
        <f>IF(OR($H$7&lt;&gt;"OK",Q170=""),"",IF(Q170&lt;=$A$19,$D$19,IF(Q170&gt;=INDEX($A$19:$A$2018,$H$6),INDEX($D$19:$D$2018,$H$6),INDEX($D$19:$D$2018,MATCH(Q170,$A$19:INDEX($A$19:$A$2018,$H$6),1))+(Q170-INDEX($A$19:$A$2018,MATCH(Q170,$A$19:INDEX($A$19:$A$2018,$H$6),1)))*(INDEX($D$19:$D$2018,MATCH(Q170,$A$19:INDEX($A$19:$A$2018,$H$6),1)+1)-INDEX($D$19:$D$2018,MATCH(Q170,$A$19:INDEX($A$19:$A$2018,$H$6),1)))/(INDEX($A$19:$A$2018,MATCH(Q170,$A$19:INDEX($A$19:$A$2018,$H$6),1)+1)-INDEX($A$19:$A$2018,MATCH(Q170,$A$19:INDEX($A$19:$A$2018,$H$6),1))))))</f>
        <v/>
      </c>
    </row>
    <row r="171">
      <c r="A171" s="11" t="n"/>
      <c r="B171" s="11" t="n"/>
      <c r="C171" s="12">
        <f>IF(A171="","",$B$9*TAN(RADIANS(A171)))</f>
        <v/>
      </c>
      <c r="D171" s="12">
        <f>IF(C171="","",C171*(1+B171/100))</f>
        <v/>
      </c>
      <c r="E171" s="12">
        <f>IF(A171="","",$B$10*TAN(RADIANS(A171)))</f>
        <v/>
      </c>
      <c r="G171" s="8" t="n">
        <v>153</v>
      </c>
      <c r="H171" s="8">
        <f>$K$7</f>
        <v/>
      </c>
      <c r="I171" s="7" t="inlineStr">
        <is>
          <t>豎</t>
        </is>
      </c>
      <c r="J171" s="8" t="n">
        <v>4</v>
      </c>
      <c r="K171" s="7" t="inlineStr">
        <is>
          <t>左上</t>
        </is>
      </c>
      <c r="L171" s="8">
        <f>$O$7+($M$7+$L$7)/2-$M$7/2+$L$7/2+3*2*$L$7+(-1)*$L$7/2</f>
        <v/>
      </c>
      <c r="M171" s="8">
        <f>$P$7+(-1)*$M$7/2</f>
        <v/>
      </c>
      <c r="N171" s="8">
        <f>L171-$B$7/2</f>
        <v/>
      </c>
      <c r="O171" s="8">
        <f>M171-$B$8/2</f>
        <v/>
      </c>
      <c r="P171" s="8">
        <f>SQRT(N171^2+O171^2)</f>
        <v/>
      </c>
      <c r="Q171" s="8">
        <f>IF(OR($H$7&lt;&gt;"OK",P171=""),"",IF(P171&lt;=$D$19,$A$19,IF(P171&gt;=INDEX($D$19:$D$2018,$H$6),INDEX($A$19:$A$2018,$H$6),INDEX($A$19:$A$2018,MATCH(P171,$D$19:INDEX($D$19:$D$2018,$H$6),1))+(P171-INDEX($D$19:$D$2018,MATCH(P171,$D$19:INDEX($D$19:$D$2018,$H$6),1)))*(INDEX($A$19:$A$2018,MATCH(P171,$D$19:INDEX($D$19:$D$2018,$H$6),1)+1)-INDEX($A$19:$A$2018,MATCH(P171,$D$19:INDEX($D$19:$D$2018,$H$6),1)))/(INDEX($D$19:$D$2018,MATCH(P171,$D$19:INDEX($D$19:$D$2018,$H$6),1)+1)-INDEX($D$19:$D$2018,MATCH(P171,$D$19:INDEX($D$19:$D$2018,$H$6),1))))))</f>
        <v/>
      </c>
      <c r="R171" s="8">
        <f>IF(P171=0,0,-Y171*N171/P171)</f>
        <v/>
      </c>
      <c r="S171" s="8">
        <f>IF(P171=0,0,Y171*O171/P171)</f>
        <v/>
      </c>
      <c r="T171" s="8">
        <f>IF(Y171=0,$B$7/2,$B$7/2-Z171*R171/Y171)</f>
        <v/>
      </c>
      <c r="U171" s="8">
        <f>IF(Y171=0,$B$8/2,$B$8/2+Z171*S171/Y171)</f>
        <v/>
      </c>
      <c r="V171" s="8">
        <f>SQRT((T171-L171)^2+(U171-M171)^2)</f>
        <v/>
      </c>
      <c r="Y171">
        <f>$B$10*TAN(RADIANS(Q171))</f>
        <v/>
      </c>
      <c r="Z171">
        <f>IF(OR($H$7&lt;&gt;"OK",Q171=""),"",IF(Q171&lt;=$A$19,$D$19,IF(Q171&gt;=INDEX($A$19:$A$2018,$H$6),INDEX($D$19:$D$2018,$H$6),INDEX($D$19:$D$2018,MATCH(Q171,$A$19:INDEX($A$19:$A$2018,$H$6),1))+(Q171-INDEX($A$19:$A$2018,MATCH(Q171,$A$19:INDEX($A$19:$A$2018,$H$6),1)))*(INDEX($D$19:$D$2018,MATCH(Q171,$A$19:INDEX($A$19:$A$2018,$H$6),1)+1)-INDEX($D$19:$D$2018,MATCH(Q171,$A$19:INDEX($A$19:$A$2018,$H$6),1)))/(INDEX($A$19:$A$2018,MATCH(Q171,$A$19:INDEX($A$19:$A$2018,$H$6),1)+1)-INDEX($A$19:$A$2018,MATCH(Q171,$A$19:INDEX($A$19:$A$2018,$H$6),1))))))</f>
        <v/>
      </c>
    </row>
    <row r="172">
      <c r="A172" s="11" t="n"/>
      <c r="B172" s="11" t="n"/>
      <c r="C172" s="12">
        <f>IF(A172="","",$B$9*TAN(RADIANS(A172)))</f>
        <v/>
      </c>
      <c r="D172" s="12">
        <f>IF(C172="","",C172*(1+B172/100))</f>
        <v/>
      </c>
      <c r="E172" s="12">
        <f>IF(A172="","",$B$10*TAN(RADIANS(A172)))</f>
        <v/>
      </c>
      <c r="G172" s="8" t="n">
        <v>154</v>
      </c>
      <c r="H172" s="8">
        <f>$K$7</f>
        <v/>
      </c>
      <c r="I172" s="7" t="inlineStr">
        <is>
          <t>豎</t>
        </is>
      </c>
      <c r="J172" s="8" t="n">
        <v>4</v>
      </c>
      <c r="K172" s="7" t="inlineStr">
        <is>
          <t>右上</t>
        </is>
      </c>
      <c r="L172" s="8">
        <f>$O$7+($M$7+$L$7)/2-$M$7/2+$L$7/2+3*2*$L$7+(1)*$L$7/2</f>
        <v/>
      </c>
      <c r="M172" s="8">
        <f>$P$7+(-1)*$M$7/2</f>
        <v/>
      </c>
      <c r="N172" s="8">
        <f>L172-$B$7/2</f>
        <v/>
      </c>
      <c r="O172" s="8">
        <f>M172-$B$8/2</f>
        <v/>
      </c>
      <c r="P172" s="8">
        <f>SQRT(N172^2+O172^2)</f>
        <v/>
      </c>
      <c r="Q172" s="8">
        <f>IF(OR($H$7&lt;&gt;"OK",P172=""),"",IF(P172&lt;=$D$19,$A$19,IF(P172&gt;=INDEX($D$19:$D$2018,$H$6),INDEX($A$19:$A$2018,$H$6),INDEX($A$19:$A$2018,MATCH(P172,$D$19:INDEX($D$19:$D$2018,$H$6),1))+(P172-INDEX($D$19:$D$2018,MATCH(P172,$D$19:INDEX($D$19:$D$2018,$H$6),1)))*(INDEX($A$19:$A$2018,MATCH(P172,$D$19:INDEX($D$19:$D$2018,$H$6),1)+1)-INDEX($A$19:$A$2018,MATCH(P172,$D$19:INDEX($D$19:$D$2018,$H$6),1)))/(INDEX($D$19:$D$2018,MATCH(P172,$D$19:INDEX($D$19:$D$2018,$H$6),1)+1)-INDEX($D$19:$D$2018,MATCH(P172,$D$19:INDEX($D$19:$D$2018,$H$6),1))))))</f>
        <v/>
      </c>
      <c r="R172" s="8">
        <f>IF(P172=0,0,-Y172*N172/P172)</f>
        <v/>
      </c>
      <c r="S172" s="8">
        <f>IF(P172=0,0,Y172*O172/P172)</f>
        <v/>
      </c>
      <c r="T172" s="8">
        <f>IF(Y172=0,$B$7/2,$B$7/2-Z172*R172/Y172)</f>
        <v/>
      </c>
      <c r="U172" s="8">
        <f>IF(Y172=0,$B$8/2,$B$8/2+Z172*S172/Y172)</f>
        <v/>
      </c>
      <c r="V172" s="8">
        <f>SQRT((T172-L172)^2+(U172-M172)^2)</f>
        <v/>
      </c>
      <c r="Y172">
        <f>$B$10*TAN(RADIANS(Q172))</f>
        <v/>
      </c>
      <c r="Z172">
        <f>IF(OR($H$7&lt;&gt;"OK",Q172=""),"",IF(Q172&lt;=$A$19,$D$19,IF(Q172&gt;=INDEX($A$19:$A$2018,$H$6),INDEX($D$19:$D$2018,$H$6),INDEX($D$19:$D$2018,MATCH(Q172,$A$19:INDEX($A$19:$A$2018,$H$6),1))+(Q172-INDEX($A$19:$A$2018,MATCH(Q172,$A$19:INDEX($A$19:$A$2018,$H$6),1)))*(INDEX($D$19:$D$2018,MATCH(Q172,$A$19:INDEX($A$19:$A$2018,$H$6),1)+1)-INDEX($D$19:$D$2018,MATCH(Q172,$A$19:INDEX($A$19:$A$2018,$H$6),1)))/(INDEX($A$19:$A$2018,MATCH(Q172,$A$19:INDEX($A$19:$A$2018,$H$6),1)+1)-INDEX($A$19:$A$2018,MATCH(Q172,$A$19:INDEX($A$19:$A$2018,$H$6),1))))))</f>
        <v/>
      </c>
    </row>
    <row r="173">
      <c r="A173" s="11" t="n"/>
      <c r="B173" s="11" t="n"/>
      <c r="C173" s="12">
        <f>IF(A173="","",$B$9*TAN(RADIANS(A173)))</f>
        <v/>
      </c>
      <c r="D173" s="12">
        <f>IF(C173="","",C173*(1+B173/100))</f>
        <v/>
      </c>
      <c r="E173" s="12">
        <f>IF(A173="","",$B$10*TAN(RADIANS(A173)))</f>
        <v/>
      </c>
      <c r="G173" s="8" t="n">
        <v>155</v>
      </c>
      <c r="H173" s="8">
        <f>$K$7</f>
        <v/>
      </c>
      <c r="I173" s="7" t="inlineStr">
        <is>
          <t>豎</t>
        </is>
      </c>
      <c r="J173" s="8" t="n">
        <v>4</v>
      </c>
      <c r="K173" s="7" t="inlineStr">
        <is>
          <t>右下</t>
        </is>
      </c>
      <c r="L173" s="8">
        <f>$O$7+($M$7+$L$7)/2-$M$7/2+$L$7/2+3*2*$L$7+(1)*$L$7/2</f>
        <v/>
      </c>
      <c r="M173" s="8">
        <f>$P$7+(1)*$M$7/2</f>
        <v/>
      </c>
      <c r="N173" s="8">
        <f>L173-$B$7/2</f>
        <v/>
      </c>
      <c r="O173" s="8">
        <f>M173-$B$8/2</f>
        <v/>
      </c>
      <c r="P173" s="8">
        <f>SQRT(N173^2+O173^2)</f>
        <v/>
      </c>
      <c r="Q173" s="8">
        <f>IF(OR($H$7&lt;&gt;"OK",P173=""),"",IF(P173&lt;=$D$19,$A$19,IF(P173&gt;=INDEX($D$19:$D$2018,$H$6),INDEX($A$19:$A$2018,$H$6),INDEX($A$19:$A$2018,MATCH(P173,$D$19:INDEX($D$19:$D$2018,$H$6),1))+(P173-INDEX($D$19:$D$2018,MATCH(P173,$D$19:INDEX($D$19:$D$2018,$H$6),1)))*(INDEX($A$19:$A$2018,MATCH(P173,$D$19:INDEX($D$19:$D$2018,$H$6),1)+1)-INDEX($A$19:$A$2018,MATCH(P173,$D$19:INDEX($D$19:$D$2018,$H$6),1)))/(INDEX($D$19:$D$2018,MATCH(P173,$D$19:INDEX($D$19:$D$2018,$H$6),1)+1)-INDEX($D$19:$D$2018,MATCH(P173,$D$19:INDEX($D$19:$D$2018,$H$6),1))))))</f>
        <v/>
      </c>
      <c r="R173" s="8">
        <f>IF(P173=0,0,-Y173*N173/P173)</f>
        <v/>
      </c>
      <c r="S173" s="8">
        <f>IF(P173=0,0,Y173*O173/P173)</f>
        <v/>
      </c>
      <c r="T173" s="8">
        <f>IF(Y173=0,$B$7/2,$B$7/2-Z173*R173/Y173)</f>
        <v/>
      </c>
      <c r="U173" s="8">
        <f>IF(Y173=0,$B$8/2,$B$8/2+Z173*S173/Y173)</f>
        <v/>
      </c>
      <c r="V173" s="8">
        <f>SQRT((T173-L173)^2+(U173-M173)^2)</f>
        <v/>
      </c>
      <c r="Y173">
        <f>$B$10*TAN(RADIANS(Q173))</f>
        <v/>
      </c>
      <c r="Z173">
        <f>IF(OR($H$7&lt;&gt;"OK",Q173=""),"",IF(Q173&lt;=$A$19,$D$19,IF(Q173&gt;=INDEX($A$19:$A$2018,$H$6),INDEX($D$19:$D$2018,$H$6),INDEX($D$19:$D$2018,MATCH(Q173,$A$19:INDEX($A$19:$A$2018,$H$6),1))+(Q173-INDEX($A$19:$A$2018,MATCH(Q173,$A$19:INDEX($A$19:$A$2018,$H$6),1)))*(INDEX($D$19:$D$2018,MATCH(Q173,$A$19:INDEX($A$19:$A$2018,$H$6),1)+1)-INDEX($D$19:$D$2018,MATCH(Q173,$A$19:INDEX($A$19:$A$2018,$H$6),1)))/(INDEX($A$19:$A$2018,MATCH(Q173,$A$19:INDEX($A$19:$A$2018,$H$6),1)+1)-INDEX($A$19:$A$2018,MATCH(Q173,$A$19:INDEX($A$19:$A$2018,$H$6),1))))))</f>
        <v/>
      </c>
    </row>
    <row r="174">
      <c r="A174" s="11" t="n"/>
      <c r="B174" s="11" t="n"/>
      <c r="C174" s="12">
        <f>IF(A174="","",$B$9*TAN(RADIANS(A174)))</f>
        <v/>
      </c>
      <c r="D174" s="12">
        <f>IF(C174="","",C174*(1+B174/100))</f>
        <v/>
      </c>
      <c r="E174" s="12">
        <f>IF(A174="","",$B$10*TAN(RADIANS(A174)))</f>
        <v/>
      </c>
      <c r="G174" s="8" t="n">
        <v>156</v>
      </c>
      <c r="H174" s="8">
        <f>$K$7</f>
        <v/>
      </c>
      <c r="I174" s="7" t="inlineStr">
        <is>
          <t>豎</t>
        </is>
      </c>
      <c r="J174" s="8" t="n">
        <v>4</v>
      </c>
      <c r="K174" s="7" t="inlineStr">
        <is>
          <t>左下</t>
        </is>
      </c>
      <c r="L174" s="8">
        <f>$O$7+($M$7+$L$7)/2-$M$7/2+$L$7/2+3*2*$L$7+(-1)*$L$7/2</f>
        <v/>
      </c>
      <c r="M174" s="8">
        <f>$P$7+(1)*$M$7/2</f>
        <v/>
      </c>
      <c r="N174" s="8">
        <f>L174-$B$7/2</f>
        <v/>
      </c>
      <c r="O174" s="8">
        <f>M174-$B$8/2</f>
        <v/>
      </c>
      <c r="P174" s="8">
        <f>SQRT(N174^2+O174^2)</f>
        <v/>
      </c>
      <c r="Q174" s="8">
        <f>IF(OR($H$7&lt;&gt;"OK",P174=""),"",IF(P174&lt;=$D$19,$A$19,IF(P174&gt;=INDEX($D$19:$D$2018,$H$6),INDEX($A$19:$A$2018,$H$6),INDEX($A$19:$A$2018,MATCH(P174,$D$19:INDEX($D$19:$D$2018,$H$6),1))+(P174-INDEX($D$19:$D$2018,MATCH(P174,$D$19:INDEX($D$19:$D$2018,$H$6),1)))*(INDEX($A$19:$A$2018,MATCH(P174,$D$19:INDEX($D$19:$D$2018,$H$6),1)+1)-INDEX($A$19:$A$2018,MATCH(P174,$D$19:INDEX($D$19:$D$2018,$H$6),1)))/(INDEX($D$19:$D$2018,MATCH(P174,$D$19:INDEX($D$19:$D$2018,$H$6),1)+1)-INDEX($D$19:$D$2018,MATCH(P174,$D$19:INDEX($D$19:$D$2018,$H$6),1))))))</f>
        <v/>
      </c>
      <c r="R174" s="8">
        <f>IF(P174=0,0,-Y174*N174/P174)</f>
        <v/>
      </c>
      <c r="S174" s="8">
        <f>IF(P174=0,0,Y174*O174/P174)</f>
        <v/>
      </c>
      <c r="T174" s="8">
        <f>IF(Y174=0,$B$7/2,$B$7/2-Z174*R174/Y174)</f>
        <v/>
      </c>
      <c r="U174" s="8">
        <f>IF(Y174=0,$B$8/2,$B$8/2+Z174*S174/Y174)</f>
        <v/>
      </c>
      <c r="V174" s="8">
        <f>SQRT((T174-L174)^2+(U174-M174)^2)</f>
        <v/>
      </c>
      <c r="Y174">
        <f>$B$10*TAN(RADIANS(Q174))</f>
        <v/>
      </c>
      <c r="Z174">
        <f>IF(OR($H$7&lt;&gt;"OK",Q174=""),"",IF(Q174&lt;=$A$19,$D$19,IF(Q174&gt;=INDEX($A$19:$A$2018,$H$6),INDEX($D$19:$D$2018,$H$6),INDEX($D$19:$D$2018,MATCH(Q174,$A$19:INDEX($A$19:$A$2018,$H$6),1))+(Q174-INDEX($A$19:$A$2018,MATCH(Q174,$A$19:INDEX($A$19:$A$2018,$H$6),1)))*(INDEX($D$19:$D$2018,MATCH(Q174,$A$19:INDEX($A$19:$A$2018,$H$6),1)+1)-INDEX($D$19:$D$2018,MATCH(Q174,$A$19:INDEX($A$19:$A$2018,$H$6),1)))/(INDEX($A$19:$A$2018,MATCH(Q174,$A$19:INDEX($A$19:$A$2018,$H$6),1)+1)-INDEX($A$19:$A$2018,MATCH(Q174,$A$19:INDEX($A$19:$A$2018,$H$6),1))))))</f>
        <v/>
      </c>
    </row>
    <row r="175">
      <c r="A175" s="11" t="n"/>
      <c r="B175" s="11" t="n"/>
      <c r="C175" s="12">
        <f>IF(A175="","",$B$9*TAN(RADIANS(A175)))</f>
        <v/>
      </c>
      <c r="D175" s="12">
        <f>IF(C175="","",C175*(1+B175/100))</f>
        <v/>
      </c>
      <c r="E175" s="12">
        <f>IF(A175="","",$B$10*TAN(RADIANS(A175)))</f>
        <v/>
      </c>
      <c r="G175" s="8" t="n">
        <v>157</v>
      </c>
      <c r="H175" s="8">
        <f>$K$7</f>
        <v/>
      </c>
      <c r="I175" s="7" t="inlineStr">
        <is>
          <t>豎</t>
        </is>
      </c>
      <c r="J175" s="8" t="n">
        <v>5</v>
      </c>
      <c r="K175" s="7" t="inlineStr">
        <is>
          <t>左上</t>
        </is>
      </c>
      <c r="L175" s="8">
        <f>$O$7+($M$7+$L$7)/2-$M$7/2+$L$7/2+4*2*$L$7+(-1)*$L$7/2</f>
        <v/>
      </c>
      <c r="M175" s="8">
        <f>$P$7+(-1)*$M$7/2</f>
        <v/>
      </c>
      <c r="N175" s="8">
        <f>L175-$B$7/2</f>
        <v/>
      </c>
      <c r="O175" s="8">
        <f>M175-$B$8/2</f>
        <v/>
      </c>
      <c r="P175" s="8">
        <f>SQRT(N175^2+O175^2)</f>
        <v/>
      </c>
      <c r="Q175" s="8">
        <f>IF(OR($H$7&lt;&gt;"OK",P175=""),"",IF(P175&lt;=$D$19,$A$19,IF(P175&gt;=INDEX($D$19:$D$2018,$H$6),INDEX($A$19:$A$2018,$H$6),INDEX($A$19:$A$2018,MATCH(P175,$D$19:INDEX($D$19:$D$2018,$H$6),1))+(P175-INDEX($D$19:$D$2018,MATCH(P175,$D$19:INDEX($D$19:$D$2018,$H$6),1)))*(INDEX($A$19:$A$2018,MATCH(P175,$D$19:INDEX($D$19:$D$2018,$H$6),1)+1)-INDEX($A$19:$A$2018,MATCH(P175,$D$19:INDEX($D$19:$D$2018,$H$6),1)))/(INDEX($D$19:$D$2018,MATCH(P175,$D$19:INDEX($D$19:$D$2018,$H$6),1)+1)-INDEX($D$19:$D$2018,MATCH(P175,$D$19:INDEX($D$19:$D$2018,$H$6),1))))))</f>
        <v/>
      </c>
      <c r="R175" s="8">
        <f>IF(P175=0,0,-Y175*N175/P175)</f>
        <v/>
      </c>
      <c r="S175" s="8">
        <f>IF(P175=0,0,Y175*O175/P175)</f>
        <v/>
      </c>
      <c r="T175" s="8">
        <f>IF(Y175=0,$B$7/2,$B$7/2-Z175*R175/Y175)</f>
        <v/>
      </c>
      <c r="U175" s="8">
        <f>IF(Y175=0,$B$8/2,$B$8/2+Z175*S175/Y175)</f>
        <v/>
      </c>
      <c r="V175" s="8">
        <f>SQRT((T175-L175)^2+(U175-M175)^2)</f>
        <v/>
      </c>
      <c r="Y175">
        <f>$B$10*TAN(RADIANS(Q175))</f>
        <v/>
      </c>
      <c r="Z175">
        <f>IF(OR($H$7&lt;&gt;"OK",Q175=""),"",IF(Q175&lt;=$A$19,$D$19,IF(Q175&gt;=INDEX($A$19:$A$2018,$H$6),INDEX($D$19:$D$2018,$H$6),INDEX($D$19:$D$2018,MATCH(Q175,$A$19:INDEX($A$19:$A$2018,$H$6),1))+(Q175-INDEX($A$19:$A$2018,MATCH(Q175,$A$19:INDEX($A$19:$A$2018,$H$6),1)))*(INDEX($D$19:$D$2018,MATCH(Q175,$A$19:INDEX($A$19:$A$2018,$H$6),1)+1)-INDEX($D$19:$D$2018,MATCH(Q175,$A$19:INDEX($A$19:$A$2018,$H$6),1)))/(INDEX($A$19:$A$2018,MATCH(Q175,$A$19:INDEX($A$19:$A$2018,$H$6),1)+1)-INDEX($A$19:$A$2018,MATCH(Q175,$A$19:INDEX($A$19:$A$2018,$H$6),1))))))</f>
        <v/>
      </c>
    </row>
    <row r="176">
      <c r="A176" s="11" t="n"/>
      <c r="B176" s="11" t="n"/>
      <c r="C176" s="12">
        <f>IF(A176="","",$B$9*TAN(RADIANS(A176)))</f>
        <v/>
      </c>
      <c r="D176" s="12">
        <f>IF(C176="","",C176*(1+B176/100))</f>
        <v/>
      </c>
      <c r="E176" s="12">
        <f>IF(A176="","",$B$10*TAN(RADIANS(A176)))</f>
        <v/>
      </c>
      <c r="G176" s="8" t="n">
        <v>158</v>
      </c>
      <c r="H176" s="8">
        <f>$K$7</f>
        <v/>
      </c>
      <c r="I176" s="7" t="inlineStr">
        <is>
          <t>豎</t>
        </is>
      </c>
      <c r="J176" s="8" t="n">
        <v>5</v>
      </c>
      <c r="K176" s="7" t="inlineStr">
        <is>
          <t>右上</t>
        </is>
      </c>
      <c r="L176" s="8">
        <f>$O$7+($M$7+$L$7)/2-$M$7/2+$L$7/2+4*2*$L$7+(1)*$L$7/2</f>
        <v/>
      </c>
      <c r="M176" s="8">
        <f>$P$7+(-1)*$M$7/2</f>
        <v/>
      </c>
      <c r="N176" s="8">
        <f>L176-$B$7/2</f>
        <v/>
      </c>
      <c r="O176" s="8">
        <f>M176-$B$8/2</f>
        <v/>
      </c>
      <c r="P176" s="8">
        <f>SQRT(N176^2+O176^2)</f>
        <v/>
      </c>
      <c r="Q176" s="8">
        <f>IF(OR($H$7&lt;&gt;"OK",P176=""),"",IF(P176&lt;=$D$19,$A$19,IF(P176&gt;=INDEX($D$19:$D$2018,$H$6),INDEX($A$19:$A$2018,$H$6),INDEX($A$19:$A$2018,MATCH(P176,$D$19:INDEX($D$19:$D$2018,$H$6),1))+(P176-INDEX($D$19:$D$2018,MATCH(P176,$D$19:INDEX($D$19:$D$2018,$H$6),1)))*(INDEX($A$19:$A$2018,MATCH(P176,$D$19:INDEX($D$19:$D$2018,$H$6),1)+1)-INDEX($A$19:$A$2018,MATCH(P176,$D$19:INDEX($D$19:$D$2018,$H$6),1)))/(INDEX($D$19:$D$2018,MATCH(P176,$D$19:INDEX($D$19:$D$2018,$H$6),1)+1)-INDEX($D$19:$D$2018,MATCH(P176,$D$19:INDEX($D$19:$D$2018,$H$6),1))))))</f>
        <v/>
      </c>
      <c r="R176" s="8">
        <f>IF(P176=0,0,-Y176*N176/P176)</f>
        <v/>
      </c>
      <c r="S176" s="8">
        <f>IF(P176=0,0,Y176*O176/P176)</f>
        <v/>
      </c>
      <c r="T176" s="8">
        <f>IF(Y176=0,$B$7/2,$B$7/2-Z176*R176/Y176)</f>
        <v/>
      </c>
      <c r="U176" s="8">
        <f>IF(Y176=0,$B$8/2,$B$8/2+Z176*S176/Y176)</f>
        <v/>
      </c>
      <c r="V176" s="8">
        <f>SQRT((T176-L176)^2+(U176-M176)^2)</f>
        <v/>
      </c>
      <c r="Y176">
        <f>$B$10*TAN(RADIANS(Q176))</f>
        <v/>
      </c>
      <c r="Z176">
        <f>IF(OR($H$7&lt;&gt;"OK",Q176=""),"",IF(Q176&lt;=$A$19,$D$19,IF(Q176&gt;=INDEX($A$19:$A$2018,$H$6),INDEX($D$19:$D$2018,$H$6),INDEX($D$19:$D$2018,MATCH(Q176,$A$19:INDEX($A$19:$A$2018,$H$6),1))+(Q176-INDEX($A$19:$A$2018,MATCH(Q176,$A$19:INDEX($A$19:$A$2018,$H$6),1)))*(INDEX($D$19:$D$2018,MATCH(Q176,$A$19:INDEX($A$19:$A$2018,$H$6),1)+1)-INDEX($D$19:$D$2018,MATCH(Q176,$A$19:INDEX($A$19:$A$2018,$H$6),1)))/(INDEX($A$19:$A$2018,MATCH(Q176,$A$19:INDEX($A$19:$A$2018,$H$6),1)+1)-INDEX($A$19:$A$2018,MATCH(Q176,$A$19:INDEX($A$19:$A$2018,$H$6),1))))))</f>
        <v/>
      </c>
    </row>
    <row r="177">
      <c r="A177" s="11" t="n"/>
      <c r="B177" s="11" t="n"/>
      <c r="C177" s="12">
        <f>IF(A177="","",$B$9*TAN(RADIANS(A177)))</f>
        <v/>
      </c>
      <c r="D177" s="12">
        <f>IF(C177="","",C177*(1+B177/100))</f>
        <v/>
      </c>
      <c r="E177" s="12">
        <f>IF(A177="","",$B$10*TAN(RADIANS(A177)))</f>
        <v/>
      </c>
      <c r="G177" s="8" t="n">
        <v>159</v>
      </c>
      <c r="H177" s="8">
        <f>$K$7</f>
        <v/>
      </c>
      <c r="I177" s="7" t="inlineStr">
        <is>
          <t>豎</t>
        </is>
      </c>
      <c r="J177" s="8" t="n">
        <v>5</v>
      </c>
      <c r="K177" s="7" t="inlineStr">
        <is>
          <t>右下</t>
        </is>
      </c>
      <c r="L177" s="8">
        <f>$O$7+($M$7+$L$7)/2-$M$7/2+$L$7/2+4*2*$L$7+(1)*$L$7/2</f>
        <v/>
      </c>
      <c r="M177" s="8">
        <f>$P$7+(1)*$M$7/2</f>
        <v/>
      </c>
      <c r="N177" s="8">
        <f>L177-$B$7/2</f>
        <v/>
      </c>
      <c r="O177" s="8">
        <f>M177-$B$8/2</f>
        <v/>
      </c>
      <c r="P177" s="8">
        <f>SQRT(N177^2+O177^2)</f>
        <v/>
      </c>
      <c r="Q177" s="8">
        <f>IF(OR($H$7&lt;&gt;"OK",P177=""),"",IF(P177&lt;=$D$19,$A$19,IF(P177&gt;=INDEX($D$19:$D$2018,$H$6),INDEX($A$19:$A$2018,$H$6),INDEX($A$19:$A$2018,MATCH(P177,$D$19:INDEX($D$19:$D$2018,$H$6),1))+(P177-INDEX($D$19:$D$2018,MATCH(P177,$D$19:INDEX($D$19:$D$2018,$H$6),1)))*(INDEX($A$19:$A$2018,MATCH(P177,$D$19:INDEX($D$19:$D$2018,$H$6),1)+1)-INDEX($A$19:$A$2018,MATCH(P177,$D$19:INDEX($D$19:$D$2018,$H$6),1)))/(INDEX($D$19:$D$2018,MATCH(P177,$D$19:INDEX($D$19:$D$2018,$H$6),1)+1)-INDEX($D$19:$D$2018,MATCH(P177,$D$19:INDEX($D$19:$D$2018,$H$6),1))))))</f>
        <v/>
      </c>
      <c r="R177" s="8">
        <f>IF(P177=0,0,-Y177*N177/P177)</f>
        <v/>
      </c>
      <c r="S177" s="8">
        <f>IF(P177=0,0,Y177*O177/P177)</f>
        <v/>
      </c>
      <c r="T177" s="8">
        <f>IF(Y177=0,$B$7/2,$B$7/2-Z177*R177/Y177)</f>
        <v/>
      </c>
      <c r="U177" s="8">
        <f>IF(Y177=0,$B$8/2,$B$8/2+Z177*S177/Y177)</f>
        <v/>
      </c>
      <c r="V177" s="8">
        <f>SQRT((T177-L177)^2+(U177-M177)^2)</f>
        <v/>
      </c>
      <c r="Y177">
        <f>$B$10*TAN(RADIANS(Q177))</f>
        <v/>
      </c>
      <c r="Z177">
        <f>IF(OR($H$7&lt;&gt;"OK",Q177=""),"",IF(Q177&lt;=$A$19,$D$19,IF(Q177&gt;=INDEX($A$19:$A$2018,$H$6),INDEX($D$19:$D$2018,$H$6),INDEX($D$19:$D$2018,MATCH(Q177,$A$19:INDEX($A$19:$A$2018,$H$6),1))+(Q177-INDEX($A$19:$A$2018,MATCH(Q177,$A$19:INDEX($A$19:$A$2018,$H$6),1)))*(INDEX($D$19:$D$2018,MATCH(Q177,$A$19:INDEX($A$19:$A$2018,$H$6),1)+1)-INDEX($D$19:$D$2018,MATCH(Q177,$A$19:INDEX($A$19:$A$2018,$H$6),1)))/(INDEX($A$19:$A$2018,MATCH(Q177,$A$19:INDEX($A$19:$A$2018,$H$6),1)+1)-INDEX($A$19:$A$2018,MATCH(Q177,$A$19:INDEX($A$19:$A$2018,$H$6),1))))))</f>
        <v/>
      </c>
    </row>
    <row r="178">
      <c r="A178" s="11" t="n"/>
      <c r="B178" s="11" t="n"/>
      <c r="C178" s="12">
        <f>IF(A178="","",$B$9*TAN(RADIANS(A178)))</f>
        <v/>
      </c>
      <c r="D178" s="12">
        <f>IF(C178="","",C178*(1+B178/100))</f>
        <v/>
      </c>
      <c r="E178" s="12">
        <f>IF(A178="","",$B$10*TAN(RADIANS(A178)))</f>
        <v/>
      </c>
      <c r="G178" s="8" t="n">
        <v>160</v>
      </c>
      <c r="H178" s="8">
        <f>$K$7</f>
        <v/>
      </c>
      <c r="I178" s="7" t="inlineStr">
        <is>
          <t>豎</t>
        </is>
      </c>
      <c r="J178" s="8" t="n">
        <v>5</v>
      </c>
      <c r="K178" s="7" t="inlineStr">
        <is>
          <t>左下</t>
        </is>
      </c>
      <c r="L178" s="8">
        <f>$O$7+($M$7+$L$7)/2-$M$7/2+$L$7/2+4*2*$L$7+(-1)*$L$7/2</f>
        <v/>
      </c>
      <c r="M178" s="8">
        <f>$P$7+(1)*$M$7/2</f>
        <v/>
      </c>
      <c r="N178" s="8">
        <f>L178-$B$7/2</f>
        <v/>
      </c>
      <c r="O178" s="8">
        <f>M178-$B$8/2</f>
        <v/>
      </c>
      <c r="P178" s="8">
        <f>SQRT(N178^2+O178^2)</f>
        <v/>
      </c>
      <c r="Q178" s="8">
        <f>IF(OR($H$7&lt;&gt;"OK",P178=""),"",IF(P178&lt;=$D$19,$A$19,IF(P178&gt;=INDEX($D$19:$D$2018,$H$6),INDEX($A$19:$A$2018,$H$6),INDEX($A$19:$A$2018,MATCH(P178,$D$19:INDEX($D$19:$D$2018,$H$6),1))+(P178-INDEX($D$19:$D$2018,MATCH(P178,$D$19:INDEX($D$19:$D$2018,$H$6),1)))*(INDEX($A$19:$A$2018,MATCH(P178,$D$19:INDEX($D$19:$D$2018,$H$6),1)+1)-INDEX($A$19:$A$2018,MATCH(P178,$D$19:INDEX($D$19:$D$2018,$H$6),1)))/(INDEX($D$19:$D$2018,MATCH(P178,$D$19:INDEX($D$19:$D$2018,$H$6),1)+1)-INDEX($D$19:$D$2018,MATCH(P178,$D$19:INDEX($D$19:$D$2018,$H$6),1))))))</f>
        <v/>
      </c>
      <c r="R178" s="8">
        <f>IF(P178=0,0,-Y178*N178/P178)</f>
        <v/>
      </c>
      <c r="S178" s="8">
        <f>IF(P178=0,0,Y178*O178/P178)</f>
        <v/>
      </c>
      <c r="T178" s="8">
        <f>IF(Y178=0,$B$7/2,$B$7/2-Z178*R178/Y178)</f>
        <v/>
      </c>
      <c r="U178" s="8">
        <f>IF(Y178=0,$B$8/2,$B$8/2+Z178*S178/Y178)</f>
        <v/>
      </c>
      <c r="V178" s="8">
        <f>SQRT((T178-L178)^2+(U178-M178)^2)</f>
        <v/>
      </c>
      <c r="Y178">
        <f>$B$10*TAN(RADIANS(Q178))</f>
        <v/>
      </c>
      <c r="Z178">
        <f>IF(OR($H$7&lt;&gt;"OK",Q178=""),"",IF(Q178&lt;=$A$19,$D$19,IF(Q178&gt;=INDEX($A$19:$A$2018,$H$6),INDEX($D$19:$D$2018,$H$6),INDEX($D$19:$D$2018,MATCH(Q178,$A$19:INDEX($A$19:$A$2018,$H$6),1))+(Q178-INDEX($A$19:$A$2018,MATCH(Q178,$A$19:INDEX($A$19:$A$2018,$H$6),1)))*(INDEX($D$19:$D$2018,MATCH(Q178,$A$19:INDEX($A$19:$A$2018,$H$6),1)+1)-INDEX($D$19:$D$2018,MATCH(Q178,$A$19:INDEX($A$19:$A$2018,$H$6),1)))/(INDEX($A$19:$A$2018,MATCH(Q178,$A$19:INDEX($A$19:$A$2018,$H$6),1)+1)-INDEX($A$19:$A$2018,MATCH(Q178,$A$19:INDEX($A$19:$A$2018,$H$6),1))))))</f>
        <v/>
      </c>
    </row>
    <row r="179">
      <c r="A179" s="11" t="n"/>
      <c r="B179" s="11" t="n"/>
      <c r="C179" s="12">
        <f>IF(A179="","",$B$9*TAN(RADIANS(A179)))</f>
        <v/>
      </c>
      <c r="D179" s="12">
        <f>IF(C179="","",C179*(1+B179/100))</f>
        <v/>
      </c>
      <c r="E179" s="12">
        <f>IF(A179="","",$B$10*TAN(RADIANS(A179)))</f>
        <v/>
      </c>
      <c r="G179" s="8" t="n">
        <v>161</v>
      </c>
      <c r="H179" s="8">
        <f>$K$8</f>
        <v/>
      </c>
      <c r="I179" s="7" t="inlineStr">
        <is>
          <t>橫</t>
        </is>
      </c>
      <c r="J179" s="8" t="n">
        <v>1</v>
      </c>
      <c r="K179" s="7" t="inlineStr">
        <is>
          <t>左上</t>
        </is>
      </c>
      <c r="L179" s="8">
        <f>$O$8-($M$8+$L$8)/2+(-1)*$M$8/2</f>
        <v/>
      </c>
      <c r="M179" s="8">
        <f>$P$8-$M$8/2+$L$8/2+0*2*$L$8+(-1)*$L$8/2</f>
        <v/>
      </c>
      <c r="N179" s="8">
        <f>L179-$B$7/2</f>
        <v/>
      </c>
      <c r="O179" s="8">
        <f>M179-$B$8/2</f>
        <v/>
      </c>
      <c r="P179" s="8">
        <f>SQRT(N179^2+O179^2)</f>
        <v/>
      </c>
      <c r="Q179" s="8">
        <f>IF(OR($H$7&lt;&gt;"OK",P179=""),"",IF(P179&lt;=$D$19,$A$19,IF(P179&gt;=INDEX($D$19:$D$2018,$H$6),INDEX($A$19:$A$2018,$H$6),INDEX($A$19:$A$2018,MATCH(P179,$D$19:INDEX($D$19:$D$2018,$H$6),1))+(P179-INDEX($D$19:$D$2018,MATCH(P179,$D$19:INDEX($D$19:$D$2018,$H$6),1)))*(INDEX($A$19:$A$2018,MATCH(P179,$D$19:INDEX($D$19:$D$2018,$H$6),1)+1)-INDEX($A$19:$A$2018,MATCH(P179,$D$19:INDEX($D$19:$D$2018,$H$6),1)))/(INDEX($D$19:$D$2018,MATCH(P179,$D$19:INDEX($D$19:$D$2018,$H$6),1)+1)-INDEX($D$19:$D$2018,MATCH(P179,$D$19:INDEX($D$19:$D$2018,$H$6),1))))))</f>
        <v/>
      </c>
      <c r="R179" s="8">
        <f>IF(P179=0,0,-Y179*N179/P179)</f>
        <v/>
      </c>
      <c r="S179" s="8">
        <f>IF(P179=0,0,Y179*O179/P179)</f>
        <v/>
      </c>
      <c r="T179" s="8">
        <f>IF(Y179=0,$B$7/2,$B$7/2-Z179*R179/Y179)</f>
        <v/>
      </c>
      <c r="U179" s="8">
        <f>IF(Y179=0,$B$8/2,$B$8/2+Z179*S179/Y179)</f>
        <v/>
      </c>
      <c r="V179" s="8">
        <f>SQRT((T179-L179)^2+(U179-M179)^2)</f>
        <v/>
      </c>
      <c r="Y179">
        <f>$B$10*TAN(RADIANS(Q179))</f>
        <v/>
      </c>
      <c r="Z179">
        <f>IF(OR($H$7&lt;&gt;"OK",Q179=""),"",IF(Q179&lt;=$A$19,$D$19,IF(Q179&gt;=INDEX($A$19:$A$2018,$H$6),INDEX($D$19:$D$2018,$H$6),INDEX($D$19:$D$2018,MATCH(Q179,$A$19:INDEX($A$19:$A$2018,$H$6),1))+(Q179-INDEX($A$19:$A$2018,MATCH(Q179,$A$19:INDEX($A$19:$A$2018,$H$6),1)))*(INDEX($D$19:$D$2018,MATCH(Q179,$A$19:INDEX($A$19:$A$2018,$H$6),1)+1)-INDEX($D$19:$D$2018,MATCH(Q179,$A$19:INDEX($A$19:$A$2018,$H$6),1)))/(INDEX($A$19:$A$2018,MATCH(Q179,$A$19:INDEX($A$19:$A$2018,$H$6),1)+1)-INDEX($A$19:$A$2018,MATCH(Q179,$A$19:INDEX($A$19:$A$2018,$H$6),1))))))</f>
        <v/>
      </c>
    </row>
    <row r="180">
      <c r="A180" s="11" t="n"/>
      <c r="B180" s="11" t="n"/>
      <c r="C180" s="12">
        <f>IF(A180="","",$B$9*TAN(RADIANS(A180)))</f>
        <v/>
      </c>
      <c r="D180" s="12">
        <f>IF(C180="","",C180*(1+B180/100))</f>
        <v/>
      </c>
      <c r="E180" s="12">
        <f>IF(A180="","",$B$10*TAN(RADIANS(A180)))</f>
        <v/>
      </c>
      <c r="G180" s="8" t="n">
        <v>162</v>
      </c>
      <c r="H180" s="8">
        <f>$K$8</f>
        <v/>
      </c>
      <c r="I180" s="7" t="inlineStr">
        <is>
          <t>橫</t>
        </is>
      </c>
      <c r="J180" s="8" t="n">
        <v>1</v>
      </c>
      <c r="K180" s="7" t="inlineStr">
        <is>
          <t>右上</t>
        </is>
      </c>
      <c r="L180" s="8">
        <f>$O$8-($M$8+$L$8)/2+(1)*$M$8/2</f>
        <v/>
      </c>
      <c r="M180" s="8">
        <f>$P$8-$M$8/2+$L$8/2+0*2*$L$8+(-1)*$L$8/2</f>
        <v/>
      </c>
      <c r="N180" s="8">
        <f>L180-$B$7/2</f>
        <v/>
      </c>
      <c r="O180" s="8">
        <f>M180-$B$8/2</f>
        <v/>
      </c>
      <c r="P180" s="8">
        <f>SQRT(N180^2+O180^2)</f>
        <v/>
      </c>
      <c r="Q180" s="8">
        <f>IF(OR($H$7&lt;&gt;"OK",P180=""),"",IF(P180&lt;=$D$19,$A$19,IF(P180&gt;=INDEX($D$19:$D$2018,$H$6),INDEX($A$19:$A$2018,$H$6),INDEX($A$19:$A$2018,MATCH(P180,$D$19:INDEX($D$19:$D$2018,$H$6),1))+(P180-INDEX($D$19:$D$2018,MATCH(P180,$D$19:INDEX($D$19:$D$2018,$H$6),1)))*(INDEX($A$19:$A$2018,MATCH(P180,$D$19:INDEX($D$19:$D$2018,$H$6),1)+1)-INDEX($A$19:$A$2018,MATCH(P180,$D$19:INDEX($D$19:$D$2018,$H$6),1)))/(INDEX($D$19:$D$2018,MATCH(P180,$D$19:INDEX($D$19:$D$2018,$H$6),1)+1)-INDEX($D$19:$D$2018,MATCH(P180,$D$19:INDEX($D$19:$D$2018,$H$6),1))))))</f>
        <v/>
      </c>
      <c r="R180" s="8">
        <f>IF(P180=0,0,-Y180*N180/P180)</f>
        <v/>
      </c>
      <c r="S180" s="8">
        <f>IF(P180=0,0,Y180*O180/P180)</f>
        <v/>
      </c>
      <c r="T180" s="8">
        <f>IF(Y180=0,$B$7/2,$B$7/2-Z180*R180/Y180)</f>
        <v/>
      </c>
      <c r="U180" s="8">
        <f>IF(Y180=0,$B$8/2,$B$8/2+Z180*S180/Y180)</f>
        <v/>
      </c>
      <c r="V180" s="8">
        <f>SQRT((T180-L180)^2+(U180-M180)^2)</f>
        <v/>
      </c>
      <c r="Y180">
        <f>$B$10*TAN(RADIANS(Q180))</f>
        <v/>
      </c>
      <c r="Z180">
        <f>IF(OR($H$7&lt;&gt;"OK",Q180=""),"",IF(Q180&lt;=$A$19,$D$19,IF(Q180&gt;=INDEX($A$19:$A$2018,$H$6),INDEX($D$19:$D$2018,$H$6),INDEX($D$19:$D$2018,MATCH(Q180,$A$19:INDEX($A$19:$A$2018,$H$6),1))+(Q180-INDEX($A$19:$A$2018,MATCH(Q180,$A$19:INDEX($A$19:$A$2018,$H$6),1)))*(INDEX($D$19:$D$2018,MATCH(Q180,$A$19:INDEX($A$19:$A$2018,$H$6),1)+1)-INDEX($D$19:$D$2018,MATCH(Q180,$A$19:INDEX($A$19:$A$2018,$H$6),1)))/(INDEX($A$19:$A$2018,MATCH(Q180,$A$19:INDEX($A$19:$A$2018,$H$6),1)+1)-INDEX($A$19:$A$2018,MATCH(Q180,$A$19:INDEX($A$19:$A$2018,$H$6),1))))))</f>
        <v/>
      </c>
    </row>
    <row r="181">
      <c r="A181" s="11" t="n"/>
      <c r="B181" s="11" t="n"/>
      <c r="C181" s="12">
        <f>IF(A181="","",$B$9*TAN(RADIANS(A181)))</f>
        <v/>
      </c>
      <c r="D181" s="12">
        <f>IF(C181="","",C181*(1+B181/100))</f>
        <v/>
      </c>
      <c r="E181" s="12">
        <f>IF(A181="","",$B$10*TAN(RADIANS(A181)))</f>
        <v/>
      </c>
      <c r="G181" s="8" t="n">
        <v>163</v>
      </c>
      <c r="H181" s="8">
        <f>$K$8</f>
        <v/>
      </c>
      <c r="I181" s="7" t="inlineStr">
        <is>
          <t>橫</t>
        </is>
      </c>
      <c r="J181" s="8" t="n">
        <v>1</v>
      </c>
      <c r="K181" s="7" t="inlineStr">
        <is>
          <t>右下</t>
        </is>
      </c>
      <c r="L181" s="8">
        <f>$O$8-($M$8+$L$8)/2+(1)*$M$8/2</f>
        <v/>
      </c>
      <c r="M181" s="8">
        <f>$P$8-$M$8/2+$L$8/2+0*2*$L$8+(1)*$L$8/2</f>
        <v/>
      </c>
      <c r="N181" s="8">
        <f>L181-$B$7/2</f>
        <v/>
      </c>
      <c r="O181" s="8">
        <f>M181-$B$8/2</f>
        <v/>
      </c>
      <c r="P181" s="8">
        <f>SQRT(N181^2+O181^2)</f>
        <v/>
      </c>
      <c r="Q181" s="8">
        <f>IF(OR($H$7&lt;&gt;"OK",P181=""),"",IF(P181&lt;=$D$19,$A$19,IF(P181&gt;=INDEX($D$19:$D$2018,$H$6),INDEX($A$19:$A$2018,$H$6),INDEX($A$19:$A$2018,MATCH(P181,$D$19:INDEX($D$19:$D$2018,$H$6),1))+(P181-INDEX($D$19:$D$2018,MATCH(P181,$D$19:INDEX($D$19:$D$2018,$H$6),1)))*(INDEX($A$19:$A$2018,MATCH(P181,$D$19:INDEX($D$19:$D$2018,$H$6),1)+1)-INDEX($A$19:$A$2018,MATCH(P181,$D$19:INDEX($D$19:$D$2018,$H$6),1)))/(INDEX($D$19:$D$2018,MATCH(P181,$D$19:INDEX($D$19:$D$2018,$H$6),1)+1)-INDEX($D$19:$D$2018,MATCH(P181,$D$19:INDEX($D$19:$D$2018,$H$6),1))))))</f>
        <v/>
      </c>
      <c r="R181" s="8">
        <f>IF(P181=0,0,-Y181*N181/P181)</f>
        <v/>
      </c>
      <c r="S181" s="8">
        <f>IF(P181=0,0,Y181*O181/P181)</f>
        <v/>
      </c>
      <c r="T181" s="8">
        <f>IF(Y181=0,$B$7/2,$B$7/2-Z181*R181/Y181)</f>
        <v/>
      </c>
      <c r="U181" s="8">
        <f>IF(Y181=0,$B$8/2,$B$8/2+Z181*S181/Y181)</f>
        <v/>
      </c>
      <c r="V181" s="8">
        <f>SQRT((T181-L181)^2+(U181-M181)^2)</f>
        <v/>
      </c>
      <c r="Y181">
        <f>$B$10*TAN(RADIANS(Q181))</f>
        <v/>
      </c>
      <c r="Z181">
        <f>IF(OR($H$7&lt;&gt;"OK",Q181=""),"",IF(Q181&lt;=$A$19,$D$19,IF(Q181&gt;=INDEX($A$19:$A$2018,$H$6),INDEX($D$19:$D$2018,$H$6),INDEX($D$19:$D$2018,MATCH(Q181,$A$19:INDEX($A$19:$A$2018,$H$6),1))+(Q181-INDEX($A$19:$A$2018,MATCH(Q181,$A$19:INDEX($A$19:$A$2018,$H$6),1)))*(INDEX($D$19:$D$2018,MATCH(Q181,$A$19:INDEX($A$19:$A$2018,$H$6),1)+1)-INDEX($D$19:$D$2018,MATCH(Q181,$A$19:INDEX($A$19:$A$2018,$H$6),1)))/(INDEX($A$19:$A$2018,MATCH(Q181,$A$19:INDEX($A$19:$A$2018,$H$6),1)+1)-INDEX($A$19:$A$2018,MATCH(Q181,$A$19:INDEX($A$19:$A$2018,$H$6),1))))))</f>
        <v/>
      </c>
    </row>
    <row r="182">
      <c r="A182" s="11" t="n"/>
      <c r="B182" s="11" t="n"/>
      <c r="C182" s="12">
        <f>IF(A182="","",$B$9*TAN(RADIANS(A182)))</f>
        <v/>
      </c>
      <c r="D182" s="12">
        <f>IF(C182="","",C182*(1+B182/100))</f>
        <v/>
      </c>
      <c r="E182" s="12">
        <f>IF(A182="","",$B$10*TAN(RADIANS(A182)))</f>
        <v/>
      </c>
      <c r="G182" s="8" t="n">
        <v>164</v>
      </c>
      <c r="H182" s="8">
        <f>$K$8</f>
        <v/>
      </c>
      <c r="I182" s="7" t="inlineStr">
        <is>
          <t>橫</t>
        </is>
      </c>
      <c r="J182" s="8" t="n">
        <v>1</v>
      </c>
      <c r="K182" s="7" t="inlineStr">
        <is>
          <t>左下</t>
        </is>
      </c>
      <c r="L182" s="8">
        <f>$O$8-($M$8+$L$8)/2+(-1)*$M$8/2</f>
        <v/>
      </c>
      <c r="M182" s="8">
        <f>$P$8-$M$8/2+$L$8/2+0*2*$L$8+(1)*$L$8/2</f>
        <v/>
      </c>
      <c r="N182" s="8">
        <f>L182-$B$7/2</f>
        <v/>
      </c>
      <c r="O182" s="8">
        <f>M182-$B$8/2</f>
        <v/>
      </c>
      <c r="P182" s="8">
        <f>SQRT(N182^2+O182^2)</f>
        <v/>
      </c>
      <c r="Q182" s="8">
        <f>IF(OR($H$7&lt;&gt;"OK",P182=""),"",IF(P182&lt;=$D$19,$A$19,IF(P182&gt;=INDEX($D$19:$D$2018,$H$6),INDEX($A$19:$A$2018,$H$6),INDEX($A$19:$A$2018,MATCH(P182,$D$19:INDEX($D$19:$D$2018,$H$6),1))+(P182-INDEX($D$19:$D$2018,MATCH(P182,$D$19:INDEX($D$19:$D$2018,$H$6),1)))*(INDEX($A$19:$A$2018,MATCH(P182,$D$19:INDEX($D$19:$D$2018,$H$6),1)+1)-INDEX($A$19:$A$2018,MATCH(P182,$D$19:INDEX($D$19:$D$2018,$H$6),1)))/(INDEX($D$19:$D$2018,MATCH(P182,$D$19:INDEX($D$19:$D$2018,$H$6),1)+1)-INDEX($D$19:$D$2018,MATCH(P182,$D$19:INDEX($D$19:$D$2018,$H$6),1))))))</f>
        <v/>
      </c>
      <c r="R182" s="8">
        <f>IF(P182=0,0,-Y182*N182/P182)</f>
        <v/>
      </c>
      <c r="S182" s="8">
        <f>IF(P182=0,0,Y182*O182/P182)</f>
        <v/>
      </c>
      <c r="T182" s="8">
        <f>IF(Y182=0,$B$7/2,$B$7/2-Z182*R182/Y182)</f>
        <v/>
      </c>
      <c r="U182" s="8">
        <f>IF(Y182=0,$B$8/2,$B$8/2+Z182*S182/Y182)</f>
        <v/>
      </c>
      <c r="V182" s="8">
        <f>SQRT((T182-L182)^2+(U182-M182)^2)</f>
        <v/>
      </c>
      <c r="Y182">
        <f>$B$10*TAN(RADIANS(Q182))</f>
        <v/>
      </c>
      <c r="Z182">
        <f>IF(OR($H$7&lt;&gt;"OK",Q182=""),"",IF(Q182&lt;=$A$19,$D$19,IF(Q182&gt;=INDEX($A$19:$A$2018,$H$6),INDEX($D$19:$D$2018,$H$6),INDEX($D$19:$D$2018,MATCH(Q182,$A$19:INDEX($A$19:$A$2018,$H$6),1))+(Q182-INDEX($A$19:$A$2018,MATCH(Q182,$A$19:INDEX($A$19:$A$2018,$H$6),1)))*(INDEX($D$19:$D$2018,MATCH(Q182,$A$19:INDEX($A$19:$A$2018,$H$6),1)+1)-INDEX($D$19:$D$2018,MATCH(Q182,$A$19:INDEX($A$19:$A$2018,$H$6),1)))/(INDEX($A$19:$A$2018,MATCH(Q182,$A$19:INDEX($A$19:$A$2018,$H$6),1)+1)-INDEX($A$19:$A$2018,MATCH(Q182,$A$19:INDEX($A$19:$A$2018,$H$6),1))))))</f>
        <v/>
      </c>
    </row>
    <row r="183">
      <c r="A183" s="11" t="n"/>
      <c r="B183" s="11" t="n"/>
      <c r="C183" s="12">
        <f>IF(A183="","",$B$9*TAN(RADIANS(A183)))</f>
        <v/>
      </c>
      <c r="D183" s="12">
        <f>IF(C183="","",C183*(1+B183/100))</f>
        <v/>
      </c>
      <c r="E183" s="12">
        <f>IF(A183="","",$B$10*TAN(RADIANS(A183)))</f>
        <v/>
      </c>
      <c r="G183" s="8" t="n">
        <v>165</v>
      </c>
      <c r="H183" s="8">
        <f>$K$8</f>
        <v/>
      </c>
      <c r="I183" s="7" t="inlineStr">
        <is>
          <t>橫</t>
        </is>
      </c>
      <c r="J183" s="8" t="n">
        <v>2</v>
      </c>
      <c r="K183" s="7" t="inlineStr">
        <is>
          <t>左上</t>
        </is>
      </c>
      <c r="L183" s="8">
        <f>$O$8-($M$8+$L$8)/2+(-1)*$M$8/2</f>
        <v/>
      </c>
      <c r="M183" s="8">
        <f>$P$8-$M$8/2+$L$8/2+1*2*$L$8+(-1)*$L$8/2</f>
        <v/>
      </c>
      <c r="N183" s="8">
        <f>L183-$B$7/2</f>
        <v/>
      </c>
      <c r="O183" s="8">
        <f>M183-$B$8/2</f>
        <v/>
      </c>
      <c r="P183" s="8">
        <f>SQRT(N183^2+O183^2)</f>
        <v/>
      </c>
      <c r="Q183" s="8">
        <f>IF(OR($H$7&lt;&gt;"OK",P183=""),"",IF(P183&lt;=$D$19,$A$19,IF(P183&gt;=INDEX($D$19:$D$2018,$H$6),INDEX($A$19:$A$2018,$H$6),INDEX($A$19:$A$2018,MATCH(P183,$D$19:INDEX($D$19:$D$2018,$H$6),1))+(P183-INDEX($D$19:$D$2018,MATCH(P183,$D$19:INDEX($D$19:$D$2018,$H$6),1)))*(INDEX($A$19:$A$2018,MATCH(P183,$D$19:INDEX($D$19:$D$2018,$H$6),1)+1)-INDEX($A$19:$A$2018,MATCH(P183,$D$19:INDEX($D$19:$D$2018,$H$6),1)))/(INDEX($D$19:$D$2018,MATCH(P183,$D$19:INDEX($D$19:$D$2018,$H$6),1)+1)-INDEX($D$19:$D$2018,MATCH(P183,$D$19:INDEX($D$19:$D$2018,$H$6),1))))))</f>
        <v/>
      </c>
      <c r="R183" s="8">
        <f>IF(P183=0,0,-Y183*N183/P183)</f>
        <v/>
      </c>
      <c r="S183" s="8">
        <f>IF(P183=0,0,Y183*O183/P183)</f>
        <v/>
      </c>
      <c r="T183" s="8">
        <f>IF(Y183=0,$B$7/2,$B$7/2-Z183*R183/Y183)</f>
        <v/>
      </c>
      <c r="U183" s="8">
        <f>IF(Y183=0,$B$8/2,$B$8/2+Z183*S183/Y183)</f>
        <v/>
      </c>
      <c r="V183" s="8">
        <f>SQRT((T183-L183)^2+(U183-M183)^2)</f>
        <v/>
      </c>
      <c r="Y183">
        <f>$B$10*TAN(RADIANS(Q183))</f>
        <v/>
      </c>
      <c r="Z183">
        <f>IF(OR($H$7&lt;&gt;"OK",Q183=""),"",IF(Q183&lt;=$A$19,$D$19,IF(Q183&gt;=INDEX($A$19:$A$2018,$H$6),INDEX($D$19:$D$2018,$H$6),INDEX($D$19:$D$2018,MATCH(Q183,$A$19:INDEX($A$19:$A$2018,$H$6),1))+(Q183-INDEX($A$19:$A$2018,MATCH(Q183,$A$19:INDEX($A$19:$A$2018,$H$6),1)))*(INDEX($D$19:$D$2018,MATCH(Q183,$A$19:INDEX($A$19:$A$2018,$H$6),1)+1)-INDEX($D$19:$D$2018,MATCH(Q183,$A$19:INDEX($A$19:$A$2018,$H$6),1)))/(INDEX($A$19:$A$2018,MATCH(Q183,$A$19:INDEX($A$19:$A$2018,$H$6),1)+1)-INDEX($A$19:$A$2018,MATCH(Q183,$A$19:INDEX($A$19:$A$2018,$H$6),1))))))</f>
        <v/>
      </c>
    </row>
    <row r="184">
      <c r="A184" s="11" t="n"/>
      <c r="B184" s="11" t="n"/>
      <c r="C184" s="12">
        <f>IF(A184="","",$B$9*TAN(RADIANS(A184)))</f>
        <v/>
      </c>
      <c r="D184" s="12">
        <f>IF(C184="","",C184*(1+B184/100))</f>
        <v/>
      </c>
      <c r="E184" s="12">
        <f>IF(A184="","",$B$10*TAN(RADIANS(A184)))</f>
        <v/>
      </c>
      <c r="G184" s="8" t="n">
        <v>166</v>
      </c>
      <c r="H184" s="8">
        <f>$K$8</f>
        <v/>
      </c>
      <c r="I184" s="7" t="inlineStr">
        <is>
          <t>橫</t>
        </is>
      </c>
      <c r="J184" s="8" t="n">
        <v>2</v>
      </c>
      <c r="K184" s="7" t="inlineStr">
        <is>
          <t>右上</t>
        </is>
      </c>
      <c r="L184" s="8">
        <f>$O$8-($M$8+$L$8)/2+(1)*$M$8/2</f>
        <v/>
      </c>
      <c r="M184" s="8">
        <f>$P$8-$M$8/2+$L$8/2+1*2*$L$8+(-1)*$L$8/2</f>
        <v/>
      </c>
      <c r="N184" s="8">
        <f>L184-$B$7/2</f>
        <v/>
      </c>
      <c r="O184" s="8">
        <f>M184-$B$8/2</f>
        <v/>
      </c>
      <c r="P184" s="8">
        <f>SQRT(N184^2+O184^2)</f>
        <v/>
      </c>
      <c r="Q184" s="8">
        <f>IF(OR($H$7&lt;&gt;"OK",P184=""),"",IF(P184&lt;=$D$19,$A$19,IF(P184&gt;=INDEX($D$19:$D$2018,$H$6),INDEX($A$19:$A$2018,$H$6),INDEX($A$19:$A$2018,MATCH(P184,$D$19:INDEX($D$19:$D$2018,$H$6),1))+(P184-INDEX($D$19:$D$2018,MATCH(P184,$D$19:INDEX($D$19:$D$2018,$H$6),1)))*(INDEX($A$19:$A$2018,MATCH(P184,$D$19:INDEX($D$19:$D$2018,$H$6),1)+1)-INDEX($A$19:$A$2018,MATCH(P184,$D$19:INDEX($D$19:$D$2018,$H$6),1)))/(INDEX($D$19:$D$2018,MATCH(P184,$D$19:INDEX($D$19:$D$2018,$H$6),1)+1)-INDEX($D$19:$D$2018,MATCH(P184,$D$19:INDEX($D$19:$D$2018,$H$6),1))))))</f>
        <v/>
      </c>
      <c r="R184" s="8">
        <f>IF(P184=0,0,-Y184*N184/P184)</f>
        <v/>
      </c>
      <c r="S184" s="8">
        <f>IF(P184=0,0,Y184*O184/P184)</f>
        <v/>
      </c>
      <c r="T184" s="8">
        <f>IF(Y184=0,$B$7/2,$B$7/2-Z184*R184/Y184)</f>
        <v/>
      </c>
      <c r="U184" s="8">
        <f>IF(Y184=0,$B$8/2,$B$8/2+Z184*S184/Y184)</f>
        <v/>
      </c>
      <c r="V184" s="8">
        <f>SQRT((T184-L184)^2+(U184-M184)^2)</f>
        <v/>
      </c>
      <c r="Y184">
        <f>$B$10*TAN(RADIANS(Q184))</f>
        <v/>
      </c>
      <c r="Z184">
        <f>IF(OR($H$7&lt;&gt;"OK",Q184=""),"",IF(Q184&lt;=$A$19,$D$19,IF(Q184&gt;=INDEX($A$19:$A$2018,$H$6),INDEX($D$19:$D$2018,$H$6),INDEX($D$19:$D$2018,MATCH(Q184,$A$19:INDEX($A$19:$A$2018,$H$6),1))+(Q184-INDEX($A$19:$A$2018,MATCH(Q184,$A$19:INDEX($A$19:$A$2018,$H$6),1)))*(INDEX($D$19:$D$2018,MATCH(Q184,$A$19:INDEX($A$19:$A$2018,$H$6),1)+1)-INDEX($D$19:$D$2018,MATCH(Q184,$A$19:INDEX($A$19:$A$2018,$H$6),1)))/(INDEX($A$19:$A$2018,MATCH(Q184,$A$19:INDEX($A$19:$A$2018,$H$6),1)+1)-INDEX($A$19:$A$2018,MATCH(Q184,$A$19:INDEX($A$19:$A$2018,$H$6),1))))))</f>
        <v/>
      </c>
    </row>
    <row r="185">
      <c r="A185" s="11" t="n"/>
      <c r="B185" s="11" t="n"/>
      <c r="C185" s="12">
        <f>IF(A185="","",$B$9*TAN(RADIANS(A185)))</f>
        <v/>
      </c>
      <c r="D185" s="12">
        <f>IF(C185="","",C185*(1+B185/100))</f>
        <v/>
      </c>
      <c r="E185" s="12">
        <f>IF(A185="","",$B$10*TAN(RADIANS(A185)))</f>
        <v/>
      </c>
      <c r="G185" s="8" t="n">
        <v>167</v>
      </c>
      <c r="H185" s="8">
        <f>$K$8</f>
        <v/>
      </c>
      <c r="I185" s="7" t="inlineStr">
        <is>
          <t>橫</t>
        </is>
      </c>
      <c r="J185" s="8" t="n">
        <v>2</v>
      </c>
      <c r="K185" s="7" t="inlineStr">
        <is>
          <t>右下</t>
        </is>
      </c>
      <c r="L185" s="8">
        <f>$O$8-($M$8+$L$8)/2+(1)*$M$8/2</f>
        <v/>
      </c>
      <c r="M185" s="8">
        <f>$P$8-$M$8/2+$L$8/2+1*2*$L$8+(1)*$L$8/2</f>
        <v/>
      </c>
      <c r="N185" s="8">
        <f>L185-$B$7/2</f>
        <v/>
      </c>
      <c r="O185" s="8">
        <f>M185-$B$8/2</f>
        <v/>
      </c>
      <c r="P185" s="8">
        <f>SQRT(N185^2+O185^2)</f>
        <v/>
      </c>
      <c r="Q185" s="8">
        <f>IF(OR($H$7&lt;&gt;"OK",P185=""),"",IF(P185&lt;=$D$19,$A$19,IF(P185&gt;=INDEX($D$19:$D$2018,$H$6),INDEX($A$19:$A$2018,$H$6),INDEX($A$19:$A$2018,MATCH(P185,$D$19:INDEX($D$19:$D$2018,$H$6),1))+(P185-INDEX($D$19:$D$2018,MATCH(P185,$D$19:INDEX($D$19:$D$2018,$H$6),1)))*(INDEX($A$19:$A$2018,MATCH(P185,$D$19:INDEX($D$19:$D$2018,$H$6),1)+1)-INDEX($A$19:$A$2018,MATCH(P185,$D$19:INDEX($D$19:$D$2018,$H$6),1)))/(INDEX($D$19:$D$2018,MATCH(P185,$D$19:INDEX($D$19:$D$2018,$H$6),1)+1)-INDEX($D$19:$D$2018,MATCH(P185,$D$19:INDEX($D$19:$D$2018,$H$6),1))))))</f>
        <v/>
      </c>
      <c r="R185" s="8">
        <f>IF(P185=0,0,-Y185*N185/P185)</f>
        <v/>
      </c>
      <c r="S185" s="8">
        <f>IF(P185=0,0,Y185*O185/P185)</f>
        <v/>
      </c>
      <c r="T185" s="8">
        <f>IF(Y185=0,$B$7/2,$B$7/2-Z185*R185/Y185)</f>
        <v/>
      </c>
      <c r="U185" s="8">
        <f>IF(Y185=0,$B$8/2,$B$8/2+Z185*S185/Y185)</f>
        <v/>
      </c>
      <c r="V185" s="8">
        <f>SQRT((T185-L185)^2+(U185-M185)^2)</f>
        <v/>
      </c>
      <c r="Y185">
        <f>$B$10*TAN(RADIANS(Q185))</f>
        <v/>
      </c>
      <c r="Z185">
        <f>IF(OR($H$7&lt;&gt;"OK",Q185=""),"",IF(Q185&lt;=$A$19,$D$19,IF(Q185&gt;=INDEX($A$19:$A$2018,$H$6),INDEX($D$19:$D$2018,$H$6),INDEX($D$19:$D$2018,MATCH(Q185,$A$19:INDEX($A$19:$A$2018,$H$6),1))+(Q185-INDEX($A$19:$A$2018,MATCH(Q185,$A$19:INDEX($A$19:$A$2018,$H$6),1)))*(INDEX($D$19:$D$2018,MATCH(Q185,$A$19:INDEX($A$19:$A$2018,$H$6),1)+1)-INDEX($D$19:$D$2018,MATCH(Q185,$A$19:INDEX($A$19:$A$2018,$H$6),1)))/(INDEX($A$19:$A$2018,MATCH(Q185,$A$19:INDEX($A$19:$A$2018,$H$6),1)+1)-INDEX($A$19:$A$2018,MATCH(Q185,$A$19:INDEX($A$19:$A$2018,$H$6),1))))))</f>
        <v/>
      </c>
    </row>
    <row r="186">
      <c r="A186" s="11" t="n"/>
      <c r="B186" s="11" t="n"/>
      <c r="C186" s="12">
        <f>IF(A186="","",$B$9*TAN(RADIANS(A186)))</f>
        <v/>
      </c>
      <c r="D186" s="12">
        <f>IF(C186="","",C186*(1+B186/100))</f>
        <v/>
      </c>
      <c r="E186" s="12">
        <f>IF(A186="","",$B$10*TAN(RADIANS(A186)))</f>
        <v/>
      </c>
      <c r="G186" s="8" t="n">
        <v>168</v>
      </c>
      <c r="H186" s="8">
        <f>$K$8</f>
        <v/>
      </c>
      <c r="I186" s="7" t="inlineStr">
        <is>
          <t>橫</t>
        </is>
      </c>
      <c r="J186" s="8" t="n">
        <v>2</v>
      </c>
      <c r="K186" s="7" t="inlineStr">
        <is>
          <t>左下</t>
        </is>
      </c>
      <c r="L186" s="8">
        <f>$O$8-($M$8+$L$8)/2+(-1)*$M$8/2</f>
        <v/>
      </c>
      <c r="M186" s="8">
        <f>$P$8-$M$8/2+$L$8/2+1*2*$L$8+(1)*$L$8/2</f>
        <v/>
      </c>
      <c r="N186" s="8">
        <f>L186-$B$7/2</f>
        <v/>
      </c>
      <c r="O186" s="8">
        <f>M186-$B$8/2</f>
        <v/>
      </c>
      <c r="P186" s="8">
        <f>SQRT(N186^2+O186^2)</f>
        <v/>
      </c>
      <c r="Q186" s="8">
        <f>IF(OR($H$7&lt;&gt;"OK",P186=""),"",IF(P186&lt;=$D$19,$A$19,IF(P186&gt;=INDEX($D$19:$D$2018,$H$6),INDEX($A$19:$A$2018,$H$6),INDEX($A$19:$A$2018,MATCH(P186,$D$19:INDEX($D$19:$D$2018,$H$6),1))+(P186-INDEX($D$19:$D$2018,MATCH(P186,$D$19:INDEX($D$19:$D$2018,$H$6),1)))*(INDEX($A$19:$A$2018,MATCH(P186,$D$19:INDEX($D$19:$D$2018,$H$6),1)+1)-INDEX($A$19:$A$2018,MATCH(P186,$D$19:INDEX($D$19:$D$2018,$H$6),1)))/(INDEX($D$19:$D$2018,MATCH(P186,$D$19:INDEX($D$19:$D$2018,$H$6),1)+1)-INDEX($D$19:$D$2018,MATCH(P186,$D$19:INDEX($D$19:$D$2018,$H$6),1))))))</f>
        <v/>
      </c>
      <c r="R186" s="8">
        <f>IF(P186=0,0,-Y186*N186/P186)</f>
        <v/>
      </c>
      <c r="S186" s="8">
        <f>IF(P186=0,0,Y186*O186/P186)</f>
        <v/>
      </c>
      <c r="T186" s="8">
        <f>IF(Y186=0,$B$7/2,$B$7/2-Z186*R186/Y186)</f>
        <v/>
      </c>
      <c r="U186" s="8">
        <f>IF(Y186=0,$B$8/2,$B$8/2+Z186*S186/Y186)</f>
        <v/>
      </c>
      <c r="V186" s="8">
        <f>SQRT((T186-L186)^2+(U186-M186)^2)</f>
        <v/>
      </c>
      <c r="Y186">
        <f>$B$10*TAN(RADIANS(Q186))</f>
        <v/>
      </c>
      <c r="Z186">
        <f>IF(OR($H$7&lt;&gt;"OK",Q186=""),"",IF(Q186&lt;=$A$19,$D$19,IF(Q186&gt;=INDEX($A$19:$A$2018,$H$6),INDEX($D$19:$D$2018,$H$6),INDEX($D$19:$D$2018,MATCH(Q186,$A$19:INDEX($A$19:$A$2018,$H$6),1))+(Q186-INDEX($A$19:$A$2018,MATCH(Q186,$A$19:INDEX($A$19:$A$2018,$H$6),1)))*(INDEX($D$19:$D$2018,MATCH(Q186,$A$19:INDEX($A$19:$A$2018,$H$6),1)+1)-INDEX($D$19:$D$2018,MATCH(Q186,$A$19:INDEX($A$19:$A$2018,$H$6),1)))/(INDEX($A$19:$A$2018,MATCH(Q186,$A$19:INDEX($A$19:$A$2018,$H$6),1)+1)-INDEX($A$19:$A$2018,MATCH(Q186,$A$19:INDEX($A$19:$A$2018,$H$6),1))))))</f>
        <v/>
      </c>
    </row>
    <row r="187">
      <c r="A187" s="11" t="n"/>
      <c r="B187" s="11" t="n"/>
      <c r="C187" s="12">
        <f>IF(A187="","",$B$9*TAN(RADIANS(A187)))</f>
        <v/>
      </c>
      <c r="D187" s="12">
        <f>IF(C187="","",C187*(1+B187/100))</f>
        <v/>
      </c>
      <c r="E187" s="12">
        <f>IF(A187="","",$B$10*TAN(RADIANS(A187)))</f>
        <v/>
      </c>
      <c r="G187" s="8" t="n">
        <v>169</v>
      </c>
      <c r="H187" s="8">
        <f>$K$8</f>
        <v/>
      </c>
      <c r="I187" s="7" t="inlineStr">
        <is>
          <t>橫</t>
        </is>
      </c>
      <c r="J187" s="8" t="n">
        <v>3</v>
      </c>
      <c r="K187" s="7" t="inlineStr">
        <is>
          <t>左上</t>
        </is>
      </c>
      <c r="L187" s="8">
        <f>$O$8-($M$8+$L$8)/2+(-1)*$M$8/2</f>
        <v/>
      </c>
      <c r="M187" s="8">
        <f>$P$8-$M$8/2+$L$8/2+2*2*$L$8+(-1)*$L$8/2</f>
        <v/>
      </c>
      <c r="N187" s="8">
        <f>L187-$B$7/2</f>
        <v/>
      </c>
      <c r="O187" s="8">
        <f>M187-$B$8/2</f>
        <v/>
      </c>
      <c r="P187" s="8">
        <f>SQRT(N187^2+O187^2)</f>
        <v/>
      </c>
      <c r="Q187" s="8">
        <f>IF(OR($H$7&lt;&gt;"OK",P187=""),"",IF(P187&lt;=$D$19,$A$19,IF(P187&gt;=INDEX($D$19:$D$2018,$H$6),INDEX($A$19:$A$2018,$H$6),INDEX($A$19:$A$2018,MATCH(P187,$D$19:INDEX($D$19:$D$2018,$H$6),1))+(P187-INDEX($D$19:$D$2018,MATCH(P187,$D$19:INDEX($D$19:$D$2018,$H$6),1)))*(INDEX($A$19:$A$2018,MATCH(P187,$D$19:INDEX($D$19:$D$2018,$H$6),1)+1)-INDEX($A$19:$A$2018,MATCH(P187,$D$19:INDEX($D$19:$D$2018,$H$6),1)))/(INDEX($D$19:$D$2018,MATCH(P187,$D$19:INDEX($D$19:$D$2018,$H$6),1)+1)-INDEX($D$19:$D$2018,MATCH(P187,$D$19:INDEX($D$19:$D$2018,$H$6),1))))))</f>
        <v/>
      </c>
      <c r="R187" s="8">
        <f>IF(P187=0,0,-Y187*N187/P187)</f>
        <v/>
      </c>
      <c r="S187" s="8">
        <f>IF(P187=0,0,Y187*O187/P187)</f>
        <v/>
      </c>
      <c r="T187" s="8">
        <f>IF(Y187=0,$B$7/2,$B$7/2-Z187*R187/Y187)</f>
        <v/>
      </c>
      <c r="U187" s="8">
        <f>IF(Y187=0,$B$8/2,$B$8/2+Z187*S187/Y187)</f>
        <v/>
      </c>
      <c r="V187" s="8">
        <f>SQRT((T187-L187)^2+(U187-M187)^2)</f>
        <v/>
      </c>
      <c r="Y187">
        <f>$B$10*TAN(RADIANS(Q187))</f>
        <v/>
      </c>
      <c r="Z187">
        <f>IF(OR($H$7&lt;&gt;"OK",Q187=""),"",IF(Q187&lt;=$A$19,$D$19,IF(Q187&gt;=INDEX($A$19:$A$2018,$H$6),INDEX($D$19:$D$2018,$H$6),INDEX($D$19:$D$2018,MATCH(Q187,$A$19:INDEX($A$19:$A$2018,$H$6),1))+(Q187-INDEX($A$19:$A$2018,MATCH(Q187,$A$19:INDEX($A$19:$A$2018,$H$6),1)))*(INDEX($D$19:$D$2018,MATCH(Q187,$A$19:INDEX($A$19:$A$2018,$H$6),1)+1)-INDEX($D$19:$D$2018,MATCH(Q187,$A$19:INDEX($A$19:$A$2018,$H$6),1)))/(INDEX($A$19:$A$2018,MATCH(Q187,$A$19:INDEX($A$19:$A$2018,$H$6),1)+1)-INDEX($A$19:$A$2018,MATCH(Q187,$A$19:INDEX($A$19:$A$2018,$H$6),1))))))</f>
        <v/>
      </c>
    </row>
    <row r="188">
      <c r="A188" s="11" t="n"/>
      <c r="B188" s="11" t="n"/>
      <c r="C188" s="12">
        <f>IF(A188="","",$B$9*TAN(RADIANS(A188)))</f>
        <v/>
      </c>
      <c r="D188" s="12">
        <f>IF(C188="","",C188*(1+B188/100))</f>
        <v/>
      </c>
      <c r="E188" s="12">
        <f>IF(A188="","",$B$10*TAN(RADIANS(A188)))</f>
        <v/>
      </c>
      <c r="G188" s="8" t="n">
        <v>170</v>
      </c>
      <c r="H188" s="8">
        <f>$K$8</f>
        <v/>
      </c>
      <c r="I188" s="7" t="inlineStr">
        <is>
          <t>橫</t>
        </is>
      </c>
      <c r="J188" s="8" t="n">
        <v>3</v>
      </c>
      <c r="K188" s="7" t="inlineStr">
        <is>
          <t>右上</t>
        </is>
      </c>
      <c r="L188" s="8">
        <f>$O$8-($M$8+$L$8)/2+(1)*$M$8/2</f>
        <v/>
      </c>
      <c r="M188" s="8">
        <f>$P$8-$M$8/2+$L$8/2+2*2*$L$8+(-1)*$L$8/2</f>
        <v/>
      </c>
      <c r="N188" s="8">
        <f>L188-$B$7/2</f>
        <v/>
      </c>
      <c r="O188" s="8">
        <f>M188-$B$8/2</f>
        <v/>
      </c>
      <c r="P188" s="8">
        <f>SQRT(N188^2+O188^2)</f>
        <v/>
      </c>
      <c r="Q188" s="8">
        <f>IF(OR($H$7&lt;&gt;"OK",P188=""),"",IF(P188&lt;=$D$19,$A$19,IF(P188&gt;=INDEX($D$19:$D$2018,$H$6),INDEX($A$19:$A$2018,$H$6),INDEX($A$19:$A$2018,MATCH(P188,$D$19:INDEX($D$19:$D$2018,$H$6),1))+(P188-INDEX($D$19:$D$2018,MATCH(P188,$D$19:INDEX($D$19:$D$2018,$H$6),1)))*(INDEX($A$19:$A$2018,MATCH(P188,$D$19:INDEX($D$19:$D$2018,$H$6),1)+1)-INDEX($A$19:$A$2018,MATCH(P188,$D$19:INDEX($D$19:$D$2018,$H$6),1)))/(INDEX($D$19:$D$2018,MATCH(P188,$D$19:INDEX($D$19:$D$2018,$H$6),1)+1)-INDEX($D$19:$D$2018,MATCH(P188,$D$19:INDEX($D$19:$D$2018,$H$6),1))))))</f>
        <v/>
      </c>
      <c r="R188" s="8">
        <f>IF(P188=0,0,-Y188*N188/P188)</f>
        <v/>
      </c>
      <c r="S188" s="8">
        <f>IF(P188=0,0,Y188*O188/P188)</f>
        <v/>
      </c>
      <c r="T188" s="8">
        <f>IF(Y188=0,$B$7/2,$B$7/2-Z188*R188/Y188)</f>
        <v/>
      </c>
      <c r="U188" s="8">
        <f>IF(Y188=0,$B$8/2,$B$8/2+Z188*S188/Y188)</f>
        <v/>
      </c>
      <c r="V188" s="8">
        <f>SQRT((T188-L188)^2+(U188-M188)^2)</f>
        <v/>
      </c>
      <c r="Y188">
        <f>$B$10*TAN(RADIANS(Q188))</f>
        <v/>
      </c>
      <c r="Z188">
        <f>IF(OR($H$7&lt;&gt;"OK",Q188=""),"",IF(Q188&lt;=$A$19,$D$19,IF(Q188&gt;=INDEX($A$19:$A$2018,$H$6),INDEX($D$19:$D$2018,$H$6),INDEX($D$19:$D$2018,MATCH(Q188,$A$19:INDEX($A$19:$A$2018,$H$6),1))+(Q188-INDEX($A$19:$A$2018,MATCH(Q188,$A$19:INDEX($A$19:$A$2018,$H$6),1)))*(INDEX($D$19:$D$2018,MATCH(Q188,$A$19:INDEX($A$19:$A$2018,$H$6),1)+1)-INDEX($D$19:$D$2018,MATCH(Q188,$A$19:INDEX($A$19:$A$2018,$H$6),1)))/(INDEX($A$19:$A$2018,MATCH(Q188,$A$19:INDEX($A$19:$A$2018,$H$6),1)+1)-INDEX($A$19:$A$2018,MATCH(Q188,$A$19:INDEX($A$19:$A$2018,$H$6),1))))))</f>
        <v/>
      </c>
    </row>
    <row r="189">
      <c r="A189" s="11" t="n"/>
      <c r="B189" s="11" t="n"/>
      <c r="C189" s="12">
        <f>IF(A189="","",$B$9*TAN(RADIANS(A189)))</f>
        <v/>
      </c>
      <c r="D189" s="12">
        <f>IF(C189="","",C189*(1+B189/100))</f>
        <v/>
      </c>
      <c r="E189" s="12">
        <f>IF(A189="","",$B$10*TAN(RADIANS(A189)))</f>
        <v/>
      </c>
      <c r="G189" s="8" t="n">
        <v>171</v>
      </c>
      <c r="H189" s="8">
        <f>$K$8</f>
        <v/>
      </c>
      <c r="I189" s="7" t="inlineStr">
        <is>
          <t>橫</t>
        </is>
      </c>
      <c r="J189" s="8" t="n">
        <v>3</v>
      </c>
      <c r="K189" s="7" t="inlineStr">
        <is>
          <t>右下</t>
        </is>
      </c>
      <c r="L189" s="8">
        <f>$O$8-($M$8+$L$8)/2+(1)*$M$8/2</f>
        <v/>
      </c>
      <c r="M189" s="8">
        <f>$P$8-$M$8/2+$L$8/2+2*2*$L$8+(1)*$L$8/2</f>
        <v/>
      </c>
      <c r="N189" s="8">
        <f>L189-$B$7/2</f>
        <v/>
      </c>
      <c r="O189" s="8">
        <f>M189-$B$8/2</f>
        <v/>
      </c>
      <c r="P189" s="8">
        <f>SQRT(N189^2+O189^2)</f>
        <v/>
      </c>
      <c r="Q189" s="8">
        <f>IF(OR($H$7&lt;&gt;"OK",P189=""),"",IF(P189&lt;=$D$19,$A$19,IF(P189&gt;=INDEX($D$19:$D$2018,$H$6),INDEX($A$19:$A$2018,$H$6),INDEX($A$19:$A$2018,MATCH(P189,$D$19:INDEX($D$19:$D$2018,$H$6),1))+(P189-INDEX($D$19:$D$2018,MATCH(P189,$D$19:INDEX($D$19:$D$2018,$H$6),1)))*(INDEX($A$19:$A$2018,MATCH(P189,$D$19:INDEX($D$19:$D$2018,$H$6),1)+1)-INDEX($A$19:$A$2018,MATCH(P189,$D$19:INDEX($D$19:$D$2018,$H$6),1)))/(INDEX($D$19:$D$2018,MATCH(P189,$D$19:INDEX($D$19:$D$2018,$H$6),1)+1)-INDEX($D$19:$D$2018,MATCH(P189,$D$19:INDEX($D$19:$D$2018,$H$6),1))))))</f>
        <v/>
      </c>
      <c r="R189" s="8">
        <f>IF(P189=0,0,-Y189*N189/P189)</f>
        <v/>
      </c>
      <c r="S189" s="8">
        <f>IF(P189=0,0,Y189*O189/P189)</f>
        <v/>
      </c>
      <c r="T189" s="8">
        <f>IF(Y189=0,$B$7/2,$B$7/2-Z189*R189/Y189)</f>
        <v/>
      </c>
      <c r="U189" s="8">
        <f>IF(Y189=0,$B$8/2,$B$8/2+Z189*S189/Y189)</f>
        <v/>
      </c>
      <c r="V189" s="8">
        <f>SQRT((T189-L189)^2+(U189-M189)^2)</f>
        <v/>
      </c>
      <c r="Y189">
        <f>$B$10*TAN(RADIANS(Q189))</f>
        <v/>
      </c>
      <c r="Z189">
        <f>IF(OR($H$7&lt;&gt;"OK",Q189=""),"",IF(Q189&lt;=$A$19,$D$19,IF(Q189&gt;=INDEX($A$19:$A$2018,$H$6),INDEX($D$19:$D$2018,$H$6),INDEX($D$19:$D$2018,MATCH(Q189,$A$19:INDEX($A$19:$A$2018,$H$6),1))+(Q189-INDEX($A$19:$A$2018,MATCH(Q189,$A$19:INDEX($A$19:$A$2018,$H$6),1)))*(INDEX($D$19:$D$2018,MATCH(Q189,$A$19:INDEX($A$19:$A$2018,$H$6),1)+1)-INDEX($D$19:$D$2018,MATCH(Q189,$A$19:INDEX($A$19:$A$2018,$H$6),1)))/(INDEX($A$19:$A$2018,MATCH(Q189,$A$19:INDEX($A$19:$A$2018,$H$6),1)+1)-INDEX($A$19:$A$2018,MATCH(Q189,$A$19:INDEX($A$19:$A$2018,$H$6),1))))))</f>
        <v/>
      </c>
    </row>
    <row r="190">
      <c r="A190" s="11" t="n"/>
      <c r="B190" s="11" t="n"/>
      <c r="C190" s="12">
        <f>IF(A190="","",$B$9*TAN(RADIANS(A190)))</f>
        <v/>
      </c>
      <c r="D190" s="12">
        <f>IF(C190="","",C190*(1+B190/100))</f>
        <v/>
      </c>
      <c r="E190" s="12">
        <f>IF(A190="","",$B$10*TAN(RADIANS(A190)))</f>
        <v/>
      </c>
      <c r="G190" s="8" t="n">
        <v>172</v>
      </c>
      <c r="H190" s="8">
        <f>$K$8</f>
        <v/>
      </c>
      <c r="I190" s="7" t="inlineStr">
        <is>
          <t>橫</t>
        </is>
      </c>
      <c r="J190" s="8" t="n">
        <v>3</v>
      </c>
      <c r="K190" s="7" t="inlineStr">
        <is>
          <t>左下</t>
        </is>
      </c>
      <c r="L190" s="8">
        <f>$O$8-($M$8+$L$8)/2+(-1)*$M$8/2</f>
        <v/>
      </c>
      <c r="M190" s="8">
        <f>$P$8-$M$8/2+$L$8/2+2*2*$L$8+(1)*$L$8/2</f>
        <v/>
      </c>
      <c r="N190" s="8">
        <f>L190-$B$7/2</f>
        <v/>
      </c>
      <c r="O190" s="8">
        <f>M190-$B$8/2</f>
        <v/>
      </c>
      <c r="P190" s="8">
        <f>SQRT(N190^2+O190^2)</f>
        <v/>
      </c>
      <c r="Q190" s="8">
        <f>IF(OR($H$7&lt;&gt;"OK",P190=""),"",IF(P190&lt;=$D$19,$A$19,IF(P190&gt;=INDEX($D$19:$D$2018,$H$6),INDEX($A$19:$A$2018,$H$6),INDEX($A$19:$A$2018,MATCH(P190,$D$19:INDEX($D$19:$D$2018,$H$6),1))+(P190-INDEX($D$19:$D$2018,MATCH(P190,$D$19:INDEX($D$19:$D$2018,$H$6),1)))*(INDEX($A$19:$A$2018,MATCH(P190,$D$19:INDEX($D$19:$D$2018,$H$6),1)+1)-INDEX($A$19:$A$2018,MATCH(P190,$D$19:INDEX($D$19:$D$2018,$H$6),1)))/(INDEX($D$19:$D$2018,MATCH(P190,$D$19:INDEX($D$19:$D$2018,$H$6),1)+1)-INDEX($D$19:$D$2018,MATCH(P190,$D$19:INDEX($D$19:$D$2018,$H$6),1))))))</f>
        <v/>
      </c>
      <c r="R190" s="8">
        <f>IF(P190=0,0,-Y190*N190/P190)</f>
        <v/>
      </c>
      <c r="S190" s="8">
        <f>IF(P190=0,0,Y190*O190/P190)</f>
        <v/>
      </c>
      <c r="T190" s="8">
        <f>IF(Y190=0,$B$7/2,$B$7/2-Z190*R190/Y190)</f>
        <v/>
      </c>
      <c r="U190" s="8">
        <f>IF(Y190=0,$B$8/2,$B$8/2+Z190*S190/Y190)</f>
        <v/>
      </c>
      <c r="V190" s="8">
        <f>SQRT((T190-L190)^2+(U190-M190)^2)</f>
        <v/>
      </c>
      <c r="Y190">
        <f>$B$10*TAN(RADIANS(Q190))</f>
        <v/>
      </c>
      <c r="Z190">
        <f>IF(OR($H$7&lt;&gt;"OK",Q190=""),"",IF(Q190&lt;=$A$19,$D$19,IF(Q190&gt;=INDEX($A$19:$A$2018,$H$6),INDEX($D$19:$D$2018,$H$6),INDEX($D$19:$D$2018,MATCH(Q190,$A$19:INDEX($A$19:$A$2018,$H$6),1))+(Q190-INDEX($A$19:$A$2018,MATCH(Q190,$A$19:INDEX($A$19:$A$2018,$H$6),1)))*(INDEX($D$19:$D$2018,MATCH(Q190,$A$19:INDEX($A$19:$A$2018,$H$6),1)+1)-INDEX($D$19:$D$2018,MATCH(Q190,$A$19:INDEX($A$19:$A$2018,$H$6),1)))/(INDEX($A$19:$A$2018,MATCH(Q190,$A$19:INDEX($A$19:$A$2018,$H$6),1)+1)-INDEX($A$19:$A$2018,MATCH(Q190,$A$19:INDEX($A$19:$A$2018,$H$6),1))))))</f>
        <v/>
      </c>
    </row>
    <row r="191">
      <c r="A191" s="11" t="n"/>
      <c r="B191" s="11" t="n"/>
      <c r="C191" s="12">
        <f>IF(A191="","",$B$9*TAN(RADIANS(A191)))</f>
        <v/>
      </c>
      <c r="D191" s="12">
        <f>IF(C191="","",C191*(1+B191/100))</f>
        <v/>
      </c>
      <c r="E191" s="12">
        <f>IF(A191="","",$B$10*TAN(RADIANS(A191)))</f>
        <v/>
      </c>
      <c r="G191" s="8" t="n">
        <v>173</v>
      </c>
      <c r="H191" s="8">
        <f>$K$8</f>
        <v/>
      </c>
      <c r="I191" s="7" t="inlineStr">
        <is>
          <t>橫</t>
        </is>
      </c>
      <c r="J191" s="8" t="n">
        <v>4</v>
      </c>
      <c r="K191" s="7" t="inlineStr">
        <is>
          <t>左上</t>
        </is>
      </c>
      <c r="L191" s="8">
        <f>$O$8-($M$8+$L$8)/2+(-1)*$M$8/2</f>
        <v/>
      </c>
      <c r="M191" s="8">
        <f>$P$8-$M$8/2+$L$8/2+3*2*$L$8+(-1)*$L$8/2</f>
        <v/>
      </c>
      <c r="N191" s="8">
        <f>L191-$B$7/2</f>
        <v/>
      </c>
      <c r="O191" s="8">
        <f>M191-$B$8/2</f>
        <v/>
      </c>
      <c r="P191" s="8">
        <f>SQRT(N191^2+O191^2)</f>
        <v/>
      </c>
      <c r="Q191" s="8">
        <f>IF(OR($H$7&lt;&gt;"OK",P191=""),"",IF(P191&lt;=$D$19,$A$19,IF(P191&gt;=INDEX($D$19:$D$2018,$H$6),INDEX($A$19:$A$2018,$H$6),INDEX($A$19:$A$2018,MATCH(P191,$D$19:INDEX($D$19:$D$2018,$H$6),1))+(P191-INDEX($D$19:$D$2018,MATCH(P191,$D$19:INDEX($D$19:$D$2018,$H$6),1)))*(INDEX($A$19:$A$2018,MATCH(P191,$D$19:INDEX($D$19:$D$2018,$H$6),1)+1)-INDEX($A$19:$A$2018,MATCH(P191,$D$19:INDEX($D$19:$D$2018,$H$6),1)))/(INDEX($D$19:$D$2018,MATCH(P191,$D$19:INDEX($D$19:$D$2018,$H$6),1)+1)-INDEX($D$19:$D$2018,MATCH(P191,$D$19:INDEX($D$19:$D$2018,$H$6),1))))))</f>
        <v/>
      </c>
      <c r="R191" s="8">
        <f>IF(P191=0,0,-Y191*N191/P191)</f>
        <v/>
      </c>
      <c r="S191" s="8">
        <f>IF(P191=0,0,Y191*O191/P191)</f>
        <v/>
      </c>
      <c r="T191" s="8">
        <f>IF(Y191=0,$B$7/2,$B$7/2-Z191*R191/Y191)</f>
        <v/>
      </c>
      <c r="U191" s="8">
        <f>IF(Y191=0,$B$8/2,$B$8/2+Z191*S191/Y191)</f>
        <v/>
      </c>
      <c r="V191" s="8">
        <f>SQRT((T191-L191)^2+(U191-M191)^2)</f>
        <v/>
      </c>
      <c r="Y191">
        <f>$B$10*TAN(RADIANS(Q191))</f>
        <v/>
      </c>
      <c r="Z191">
        <f>IF(OR($H$7&lt;&gt;"OK",Q191=""),"",IF(Q191&lt;=$A$19,$D$19,IF(Q191&gt;=INDEX($A$19:$A$2018,$H$6),INDEX($D$19:$D$2018,$H$6),INDEX($D$19:$D$2018,MATCH(Q191,$A$19:INDEX($A$19:$A$2018,$H$6),1))+(Q191-INDEX($A$19:$A$2018,MATCH(Q191,$A$19:INDEX($A$19:$A$2018,$H$6),1)))*(INDEX($D$19:$D$2018,MATCH(Q191,$A$19:INDEX($A$19:$A$2018,$H$6),1)+1)-INDEX($D$19:$D$2018,MATCH(Q191,$A$19:INDEX($A$19:$A$2018,$H$6),1)))/(INDEX($A$19:$A$2018,MATCH(Q191,$A$19:INDEX($A$19:$A$2018,$H$6),1)+1)-INDEX($A$19:$A$2018,MATCH(Q191,$A$19:INDEX($A$19:$A$2018,$H$6),1))))))</f>
        <v/>
      </c>
    </row>
    <row r="192">
      <c r="A192" s="11" t="n"/>
      <c r="B192" s="11" t="n"/>
      <c r="C192" s="12">
        <f>IF(A192="","",$B$9*TAN(RADIANS(A192)))</f>
        <v/>
      </c>
      <c r="D192" s="12">
        <f>IF(C192="","",C192*(1+B192/100))</f>
        <v/>
      </c>
      <c r="E192" s="12">
        <f>IF(A192="","",$B$10*TAN(RADIANS(A192)))</f>
        <v/>
      </c>
      <c r="G192" s="8" t="n">
        <v>174</v>
      </c>
      <c r="H192" s="8">
        <f>$K$8</f>
        <v/>
      </c>
      <c r="I192" s="7" t="inlineStr">
        <is>
          <t>橫</t>
        </is>
      </c>
      <c r="J192" s="8" t="n">
        <v>4</v>
      </c>
      <c r="K192" s="7" t="inlineStr">
        <is>
          <t>右上</t>
        </is>
      </c>
      <c r="L192" s="8">
        <f>$O$8-($M$8+$L$8)/2+(1)*$M$8/2</f>
        <v/>
      </c>
      <c r="M192" s="8">
        <f>$P$8-$M$8/2+$L$8/2+3*2*$L$8+(-1)*$L$8/2</f>
        <v/>
      </c>
      <c r="N192" s="8">
        <f>L192-$B$7/2</f>
        <v/>
      </c>
      <c r="O192" s="8">
        <f>M192-$B$8/2</f>
        <v/>
      </c>
      <c r="P192" s="8">
        <f>SQRT(N192^2+O192^2)</f>
        <v/>
      </c>
      <c r="Q192" s="8">
        <f>IF(OR($H$7&lt;&gt;"OK",P192=""),"",IF(P192&lt;=$D$19,$A$19,IF(P192&gt;=INDEX($D$19:$D$2018,$H$6),INDEX($A$19:$A$2018,$H$6),INDEX($A$19:$A$2018,MATCH(P192,$D$19:INDEX($D$19:$D$2018,$H$6),1))+(P192-INDEX($D$19:$D$2018,MATCH(P192,$D$19:INDEX($D$19:$D$2018,$H$6),1)))*(INDEX($A$19:$A$2018,MATCH(P192,$D$19:INDEX($D$19:$D$2018,$H$6),1)+1)-INDEX($A$19:$A$2018,MATCH(P192,$D$19:INDEX($D$19:$D$2018,$H$6),1)))/(INDEX($D$19:$D$2018,MATCH(P192,$D$19:INDEX($D$19:$D$2018,$H$6),1)+1)-INDEX($D$19:$D$2018,MATCH(P192,$D$19:INDEX($D$19:$D$2018,$H$6),1))))))</f>
        <v/>
      </c>
      <c r="R192" s="8">
        <f>IF(P192=0,0,-Y192*N192/P192)</f>
        <v/>
      </c>
      <c r="S192" s="8">
        <f>IF(P192=0,0,Y192*O192/P192)</f>
        <v/>
      </c>
      <c r="T192" s="8">
        <f>IF(Y192=0,$B$7/2,$B$7/2-Z192*R192/Y192)</f>
        <v/>
      </c>
      <c r="U192" s="8">
        <f>IF(Y192=0,$B$8/2,$B$8/2+Z192*S192/Y192)</f>
        <v/>
      </c>
      <c r="V192" s="8">
        <f>SQRT((T192-L192)^2+(U192-M192)^2)</f>
        <v/>
      </c>
      <c r="Y192">
        <f>$B$10*TAN(RADIANS(Q192))</f>
        <v/>
      </c>
      <c r="Z192">
        <f>IF(OR($H$7&lt;&gt;"OK",Q192=""),"",IF(Q192&lt;=$A$19,$D$19,IF(Q192&gt;=INDEX($A$19:$A$2018,$H$6),INDEX($D$19:$D$2018,$H$6),INDEX($D$19:$D$2018,MATCH(Q192,$A$19:INDEX($A$19:$A$2018,$H$6),1))+(Q192-INDEX($A$19:$A$2018,MATCH(Q192,$A$19:INDEX($A$19:$A$2018,$H$6),1)))*(INDEX($D$19:$D$2018,MATCH(Q192,$A$19:INDEX($A$19:$A$2018,$H$6),1)+1)-INDEX($D$19:$D$2018,MATCH(Q192,$A$19:INDEX($A$19:$A$2018,$H$6),1)))/(INDEX($A$19:$A$2018,MATCH(Q192,$A$19:INDEX($A$19:$A$2018,$H$6),1)+1)-INDEX($A$19:$A$2018,MATCH(Q192,$A$19:INDEX($A$19:$A$2018,$H$6),1))))))</f>
        <v/>
      </c>
    </row>
    <row r="193">
      <c r="A193" s="11" t="n"/>
      <c r="B193" s="11" t="n"/>
      <c r="C193" s="12">
        <f>IF(A193="","",$B$9*TAN(RADIANS(A193)))</f>
        <v/>
      </c>
      <c r="D193" s="12">
        <f>IF(C193="","",C193*(1+B193/100))</f>
        <v/>
      </c>
      <c r="E193" s="12">
        <f>IF(A193="","",$B$10*TAN(RADIANS(A193)))</f>
        <v/>
      </c>
      <c r="G193" s="8" t="n">
        <v>175</v>
      </c>
      <c r="H193" s="8">
        <f>$K$8</f>
        <v/>
      </c>
      <c r="I193" s="7" t="inlineStr">
        <is>
          <t>橫</t>
        </is>
      </c>
      <c r="J193" s="8" t="n">
        <v>4</v>
      </c>
      <c r="K193" s="7" t="inlineStr">
        <is>
          <t>右下</t>
        </is>
      </c>
      <c r="L193" s="8">
        <f>$O$8-($M$8+$L$8)/2+(1)*$M$8/2</f>
        <v/>
      </c>
      <c r="M193" s="8">
        <f>$P$8-$M$8/2+$L$8/2+3*2*$L$8+(1)*$L$8/2</f>
        <v/>
      </c>
      <c r="N193" s="8">
        <f>L193-$B$7/2</f>
        <v/>
      </c>
      <c r="O193" s="8">
        <f>M193-$B$8/2</f>
        <v/>
      </c>
      <c r="P193" s="8">
        <f>SQRT(N193^2+O193^2)</f>
        <v/>
      </c>
      <c r="Q193" s="8">
        <f>IF(OR($H$7&lt;&gt;"OK",P193=""),"",IF(P193&lt;=$D$19,$A$19,IF(P193&gt;=INDEX($D$19:$D$2018,$H$6),INDEX($A$19:$A$2018,$H$6),INDEX($A$19:$A$2018,MATCH(P193,$D$19:INDEX($D$19:$D$2018,$H$6),1))+(P193-INDEX($D$19:$D$2018,MATCH(P193,$D$19:INDEX($D$19:$D$2018,$H$6),1)))*(INDEX($A$19:$A$2018,MATCH(P193,$D$19:INDEX($D$19:$D$2018,$H$6),1)+1)-INDEX($A$19:$A$2018,MATCH(P193,$D$19:INDEX($D$19:$D$2018,$H$6),1)))/(INDEX($D$19:$D$2018,MATCH(P193,$D$19:INDEX($D$19:$D$2018,$H$6),1)+1)-INDEX($D$19:$D$2018,MATCH(P193,$D$19:INDEX($D$19:$D$2018,$H$6),1))))))</f>
        <v/>
      </c>
      <c r="R193" s="8">
        <f>IF(P193=0,0,-Y193*N193/P193)</f>
        <v/>
      </c>
      <c r="S193" s="8">
        <f>IF(P193=0,0,Y193*O193/P193)</f>
        <v/>
      </c>
      <c r="T193" s="8">
        <f>IF(Y193=0,$B$7/2,$B$7/2-Z193*R193/Y193)</f>
        <v/>
      </c>
      <c r="U193" s="8">
        <f>IF(Y193=0,$B$8/2,$B$8/2+Z193*S193/Y193)</f>
        <v/>
      </c>
      <c r="V193" s="8">
        <f>SQRT((T193-L193)^2+(U193-M193)^2)</f>
        <v/>
      </c>
      <c r="Y193">
        <f>$B$10*TAN(RADIANS(Q193))</f>
        <v/>
      </c>
      <c r="Z193">
        <f>IF(OR($H$7&lt;&gt;"OK",Q193=""),"",IF(Q193&lt;=$A$19,$D$19,IF(Q193&gt;=INDEX($A$19:$A$2018,$H$6),INDEX($D$19:$D$2018,$H$6),INDEX($D$19:$D$2018,MATCH(Q193,$A$19:INDEX($A$19:$A$2018,$H$6),1))+(Q193-INDEX($A$19:$A$2018,MATCH(Q193,$A$19:INDEX($A$19:$A$2018,$H$6),1)))*(INDEX($D$19:$D$2018,MATCH(Q193,$A$19:INDEX($A$19:$A$2018,$H$6),1)+1)-INDEX($D$19:$D$2018,MATCH(Q193,$A$19:INDEX($A$19:$A$2018,$H$6),1)))/(INDEX($A$19:$A$2018,MATCH(Q193,$A$19:INDEX($A$19:$A$2018,$H$6),1)+1)-INDEX($A$19:$A$2018,MATCH(Q193,$A$19:INDEX($A$19:$A$2018,$H$6),1))))))</f>
        <v/>
      </c>
    </row>
    <row r="194">
      <c r="A194" s="11" t="n"/>
      <c r="B194" s="11" t="n"/>
      <c r="C194" s="12">
        <f>IF(A194="","",$B$9*TAN(RADIANS(A194)))</f>
        <v/>
      </c>
      <c r="D194" s="12">
        <f>IF(C194="","",C194*(1+B194/100))</f>
        <v/>
      </c>
      <c r="E194" s="12">
        <f>IF(A194="","",$B$10*TAN(RADIANS(A194)))</f>
        <v/>
      </c>
      <c r="G194" s="8" t="n">
        <v>176</v>
      </c>
      <c r="H194" s="8">
        <f>$K$8</f>
        <v/>
      </c>
      <c r="I194" s="7" t="inlineStr">
        <is>
          <t>橫</t>
        </is>
      </c>
      <c r="J194" s="8" t="n">
        <v>4</v>
      </c>
      <c r="K194" s="7" t="inlineStr">
        <is>
          <t>左下</t>
        </is>
      </c>
      <c r="L194" s="8">
        <f>$O$8-($M$8+$L$8)/2+(-1)*$M$8/2</f>
        <v/>
      </c>
      <c r="M194" s="8">
        <f>$P$8-$M$8/2+$L$8/2+3*2*$L$8+(1)*$L$8/2</f>
        <v/>
      </c>
      <c r="N194" s="8">
        <f>L194-$B$7/2</f>
        <v/>
      </c>
      <c r="O194" s="8">
        <f>M194-$B$8/2</f>
        <v/>
      </c>
      <c r="P194" s="8">
        <f>SQRT(N194^2+O194^2)</f>
        <v/>
      </c>
      <c r="Q194" s="8">
        <f>IF(OR($H$7&lt;&gt;"OK",P194=""),"",IF(P194&lt;=$D$19,$A$19,IF(P194&gt;=INDEX($D$19:$D$2018,$H$6),INDEX($A$19:$A$2018,$H$6),INDEX($A$19:$A$2018,MATCH(P194,$D$19:INDEX($D$19:$D$2018,$H$6),1))+(P194-INDEX($D$19:$D$2018,MATCH(P194,$D$19:INDEX($D$19:$D$2018,$H$6),1)))*(INDEX($A$19:$A$2018,MATCH(P194,$D$19:INDEX($D$19:$D$2018,$H$6),1)+1)-INDEX($A$19:$A$2018,MATCH(P194,$D$19:INDEX($D$19:$D$2018,$H$6),1)))/(INDEX($D$19:$D$2018,MATCH(P194,$D$19:INDEX($D$19:$D$2018,$H$6),1)+1)-INDEX($D$19:$D$2018,MATCH(P194,$D$19:INDEX($D$19:$D$2018,$H$6),1))))))</f>
        <v/>
      </c>
      <c r="R194" s="8">
        <f>IF(P194=0,0,-Y194*N194/P194)</f>
        <v/>
      </c>
      <c r="S194" s="8">
        <f>IF(P194=0,0,Y194*O194/P194)</f>
        <v/>
      </c>
      <c r="T194" s="8">
        <f>IF(Y194=0,$B$7/2,$B$7/2-Z194*R194/Y194)</f>
        <v/>
      </c>
      <c r="U194" s="8">
        <f>IF(Y194=0,$B$8/2,$B$8/2+Z194*S194/Y194)</f>
        <v/>
      </c>
      <c r="V194" s="8">
        <f>SQRT((T194-L194)^2+(U194-M194)^2)</f>
        <v/>
      </c>
      <c r="Y194">
        <f>$B$10*TAN(RADIANS(Q194))</f>
        <v/>
      </c>
      <c r="Z194">
        <f>IF(OR($H$7&lt;&gt;"OK",Q194=""),"",IF(Q194&lt;=$A$19,$D$19,IF(Q194&gt;=INDEX($A$19:$A$2018,$H$6),INDEX($D$19:$D$2018,$H$6),INDEX($D$19:$D$2018,MATCH(Q194,$A$19:INDEX($A$19:$A$2018,$H$6),1))+(Q194-INDEX($A$19:$A$2018,MATCH(Q194,$A$19:INDEX($A$19:$A$2018,$H$6),1)))*(INDEX($D$19:$D$2018,MATCH(Q194,$A$19:INDEX($A$19:$A$2018,$H$6),1)+1)-INDEX($D$19:$D$2018,MATCH(Q194,$A$19:INDEX($A$19:$A$2018,$H$6),1)))/(INDEX($A$19:$A$2018,MATCH(Q194,$A$19:INDEX($A$19:$A$2018,$H$6),1)+1)-INDEX($A$19:$A$2018,MATCH(Q194,$A$19:INDEX($A$19:$A$2018,$H$6),1))))))</f>
        <v/>
      </c>
    </row>
    <row r="195">
      <c r="A195" s="11" t="n"/>
      <c r="B195" s="11" t="n"/>
      <c r="C195" s="12">
        <f>IF(A195="","",$B$9*TAN(RADIANS(A195)))</f>
        <v/>
      </c>
      <c r="D195" s="12">
        <f>IF(C195="","",C195*(1+B195/100))</f>
        <v/>
      </c>
      <c r="E195" s="12">
        <f>IF(A195="","",$B$10*TAN(RADIANS(A195)))</f>
        <v/>
      </c>
      <c r="G195" s="8" t="n">
        <v>177</v>
      </c>
      <c r="H195" s="8">
        <f>$K$8</f>
        <v/>
      </c>
      <c r="I195" s="7" t="inlineStr">
        <is>
          <t>橫</t>
        </is>
      </c>
      <c r="J195" s="8" t="n">
        <v>5</v>
      </c>
      <c r="K195" s="7" t="inlineStr">
        <is>
          <t>左上</t>
        </is>
      </c>
      <c r="L195" s="8">
        <f>$O$8-($M$8+$L$8)/2+(-1)*$M$8/2</f>
        <v/>
      </c>
      <c r="M195" s="8">
        <f>$P$8-$M$8/2+$L$8/2+4*2*$L$8+(-1)*$L$8/2</f>
        <v/>
      </c>
      <c r="N195" s="8">
        <f>L195-$B$7/2</f>
        <v/>
      </c>
      <c r="O195" s="8">
        <f>M195-$B$8/2</f>
        <v/>
      </c>
      <c r="P195" s="8">
        <f>SQRT(N195^2+O195^2)</f>
        <v/>
      </c>
      <c r="Q195" s="8">
        <f>IF(OR($H$7&lt;&gt;"OK",P195=""),"",IF(P195&lt;=$D$19,$A$19,IF(P195&gt;=INDEX($D$19:$D$2018,$H$6),INDEX($A$19:$A$2018,$H$6),INDEX($A$19:$A$2018,MATCH(P195,$D$19:INDEX($D$19:$D$2018,$H$6),1))+(P195-INDEX($D$19:$D$2018,MATCH(P195,$D$19:INDEX($D$19:$D$2018,$H$6),1)))*(INDEX($A$19:$A$2018,MATCH(P195,$D$19:INDEX($D$19:$D$2018,$H$6),1)+1)-INDEX($A$19:$A$2018,MATCH(P195,$D$19:INDEX($D$19:$D$2018,$H$6),1)))/(INDEX($D$19:$D$2018,MATCH(P195,$D$19:INDEX($D$19:$D$2018,$H$6),1)+1)-INDEX($D$19:$D$2018,MATCH(P195,$D$19:INDEX($D$19:$D$2018,$H$6),1))))))</f>
        <v/>
      </c>
      <c r="R195" s="8">
        <f>IF(P195=0,0,-Y195*N195/P195)</f>
        <v/>
      </c>
      <c r="S195" s="8">
        <f>IF(P195=0,0,Y195*O195/P195)</f>
        <v/>
      </c>
      <c r="T195" s="8">
        <f>IF(Y195=0,$B$7/2,$B$7/2-Z195*R195/Y195)</f>
        <v/>
      </c>
      <c r="U195" s="8">
        <f>IF(Y195=0,$B$8/2,$B$8/2+Z195*S195/Y195)</f>
        <v/>
      </c>
      <c r="V195" s="8">
        <f>SQRT((T195-L195)^2+(U195-M195)^2)</f>
        <v/>
      </c>
      <c r="Y195">
        <f>$B$10*TAN(RADIANS(Q195))</f>
        <v/>
      </c>
      <c r="Z195">
        <f>IF(OR($H$7&lt;&gt;"OK",Q195=""),"",IF(Q195&lt;=$A$19,$D$19,IF(Q195&gt;=INDEX($A$19:$A$2018,$H$6),INDEX($D$19:$D$2018,$H$6),INDEX($D$19:$D$2018,MATCH(Q195,$A$19:INDEX($A$19:$A$2018,$H$6),1))+(Q195-INDEX($A$19:$A$2018,MATCH(Q195,$A$19:INDEX($A$19:$A$2018,$H$6),1)))*(INDEX($D$19:$D$2018,MATCH(Q195,$A$19:INDEX($A$19:$A$2018,$H$6),1)+1)-INDEX($D$19:$D$2018,MATCH(Q195,$A$19:INDEX($A$19:$A$2018,$H$6),1)))/(INDEX($A$19:$A$2018,MATCH(Q195,$A$19:INDEX($A$19:$A$2018,$H$6),1)+1)-INDEX($A$19:$A$2018,MATCH(Q195,$A$19:INDEX($A$19:$A$2018,$H$6),1))))))</f>
        <v/>
      </c>
    </row>
    <row r="196">
      <c r="A196" s="11" t="n"/>
      <c r="B196" s="11" t="n"/>
      <c r="C196" s="12">
        <f>IF(A196="","",$B$9*TAN(RADIANS(A196)))</f>
        <v/>
      </c>
      <c r="D196" s="12">
        <f>IF(C196="","",C196*(1+B196/100))</f>
        <v/>
      </c>
      <c r="E196" s="12">
        <f>IF(A196="","",$B$10*TAN(RADIANS(A196)))</f>
        <v/>
      </c>
      <c r="G196" s="8" t="n">
        <v>178</v>
      </c>
      <c r="H196" s="8">
        <f>$K$8</f>
        <v/>
      </c>
      <c r="I196" s="7" t="inlineStr">
        <is>
          <t>橫</t>
        </is>
      </c>
      <c r="J196" s="8" t="n">
        <v>5</v>
      </c>
      <c r="K196" s="7" t="inlineStr">
        <is>
          <t>右上</t>
        </is>
      </c>
      <c r="L196" s="8">
        <f>$O$8-($M$8+$L$8)/2+(1)*$M$8/2</f>
        <v/>
      </c>
      <c r="M196" s="8">
        <f>$P$8-$M$8/2+$L$8/2+4*2*$L$8+(-1)*$L$8/2</f>
        <v/>
      </c>
      <c r="N196" s="8">
        <f>L196-$B$7/2</f>
        <v/>
      </c>
      <c r="O196" s="8">
        <f>M196-$B$8/2</f>
        <v/>
      </c>
      <c r="P196" s="8">
        <f>SQRT(N196^2+O196^2)</f>
        <v/>
      </c>
      <c r="Q196" s="8">
        <f>IF(OR($H$7&lt;&gt;"OK",P196=""),"",IF(P196&lt;=$D$19,$A$19,IF(P196&gt;=INDEX($D$19:$D$2018,$H$6),INDEX($A$19:$A$2018,$H$6),INDEX($A$19:$A$2018,MATCH(P196,$D$19:INDEX($D$19:$D$2018,$H$6),1))+(P196-INDEX($D$19:$D$2018,MATCH(P196,$D$19:INDEX($D$19:$D$2018,$H$6),1)))*(INDEX($A$19:$A$2018,MATCH(P196,$D$19:INDEX($D$19:$D$2018,$H$6),1)+1)-INDEX($A$19:$A$2018,MATCH(P196,$D$19:INDEX($D$19:$D$2018,$H$6),1)))/(INDEX($D$19:$D$2018,MATCH(P196,$D$19:INDEX($D$19:$D$2018,$H$6),1)+1)-INDEX($D$19:$D$2018,MATCH(P196,$D$19:INDEX($D$19:$D$2018,$H$6),1))))))</f>
        <v/>
      </c>
      <c r="R196" s="8">
        <f>IF(P196=0,0,-Y196*N196/P196)</f>
        <v/>
      </c>
      <c r="S196" s="8">
        <f>IF(P196=0,0,Y196*O196/P196)</f>
        <v/>
      </c>
      <c r="T196" s="8">
        <f>IF(Y196=0,$B$7/2,$B$7/2-Z196*R196/Y196)</f>
        <v/>
      </c>
      <c r="U196" s="8">
        <f>IF(Y196=0,$B$8/2,$B$8/2+Z196*S196/Y196)</f>
        <v/>
      </c>
      <c r="V196" s="8">
        <f>SQRT((T196-L196)^2+(U196-M196)^2)</f>
        <v/>
      </c>
      <c r="Y196">
        <f>$B$10*TAN(RADIANS(Q196))</f>
        <v/>
      </c>
      <c r="Z196">
        <f>IF(OR($H$7&lt;&gt;"OK",Q196=""),"",IF(Q196&lt;=$A$19,$D$19,IF(Q196&gt;=INDEX($A$19:$A$2018,$H$6),INDEX($D$19:$D$2018,$H$6),INDEX($D$19:$D$2018,MATCH(Q196,$A$19:INDEX($A$19:$A$2018,$H$6),1))+(Q196-INDEX($A$19:$A$2018,MATCH(Q196,$A$19:INDEX($A$19:$A$2018,$H$6),1)))*(INDEX($D$19:$D$2018,MATCH(Q196,$A$19:INDEX($A$19:$A$2018,$H$6),1)+1)-INDEX($D$19:$D$2018,MATCH(Q196,$A$19:INDEX($A$19:$A$2018,$H$6),1)))/(INDEX($A$19:$A$2018,MATCH(Q196,$A$19:INDEX($A$19:$A$2018,$H$6),1)+1)-INDEX($A$19:$A$2018,MATCH(Q196,$A$19:INDEX($A$19:$A$2018,$H$6),1))))))</f>
        <v/>
      </c>
    </row>
    <row r="197">
      <c r="A197" s="11" t="n"/>
      <c r="B197" s="11" t="n"/>
      <c r="C197" s="12">
        <f>IF(A197="","",$B$9*TAN(RADIANS(A197)))</f>
        <v/>
      </c>
      <c r="D197" s="12">
        <f>IF(C197="","",C197*(1+B197/100))</f>
        <v/>
      </c>
      <c r="E197" s="12">
        <f>IF(A197="","",$B$10*TAN(RADIANS(A197)))</f>
        <v/>
      </c>
      <c r="G197" s="8" t="n">
        <v>179</v>
      </c>
      <c r="H197" s="8">
        <f>$K$8</f>
        <v/>
      </c>
      <c r="I197" s="7" t="inlineStr">
        <is>
          <t>橫</t>
        </is>
      </c>
      <c r="J197" s="8" t="n">
        <v>5</v>
      </c>
      <c r="K197" s="7" t="inlineStr">
        <is>
          <t>右下</t>
        </is>
      </c>
      <c r="L197" s="8">
        <f>$O$8-($M$8+$L$8)/2+(1)*$M$8/2</f>
        <v/>
      </c>
      <c r="M197" s="8">
        <f>$P$8-$M$8/2+$L$8/2+4*2*$L$8+(1)*$L$8/2</f>
        <v/>
      </c>
      <c r="N197" s="8">
        <f>L197-$B$7/2</f>
        <v/>
      </c>
      <c r="O197" s="8">
        <f>M197-$B$8/2</f>
        <v/>
      </c>
      <c r="P197" s="8">
        <f>SQRT(N197^2+O197^2)</f>
        <v/>
      </c>
      <c r="Q197" s="8">
        <f>IF(OR($H$7&lt;&gt;"OK",P197=""),"",IF(P197&lt;=$D$19,$A$19,IF(P197&gt;=INDEX($D$19:$D$2018,$H$6),INDEX($A$19:$A$2018,$H$6),INDEX($A$19:$A$2018,MATCH(P197,$D$19:INDEX($D$19:$D$2018,$H$6),1))+(P197-INDEX($D$19:$D$2018,MATCH(P197,$D$19:INDEX($D$19:$D$2018,$H$6),1)))*(INDEX($A$19:$A$2018,MATCH(P197,$D$19:INDEX($D$19:$D$2018,$H$6),1)+1)-INDEX($A$19:$A$2018,MATCH(P197,$D$19:INDEX($D$19:$D$2018,$H$6),1)))/(INDEX($D$19:$D$2018,MATCH(P197,$D$19:INDEX($D$19:$D$2018,$H$6),1)+1)-INDEX($D$19:$D$2018,MATCH(P197,$D$19:INDEX($D$19:$D$2018,$H$6),1))))))</f>
        <v/>
      </c>
      <c r="R197" s="8">
        <f>IF(P197=0,0,-Y197*N197/P197)</f>
        <v/>
      </c>
      <c r="S197" s="8">
        <f>IF(P197=0,0,Y197*O197/P197)</f>
        <v/>
      </c>
      <c r="T197" s="8">
        <f>IF(Y197=0,$B$7/2,$B$7/2-Z197*R197/Y197)</f>
        <v/>
      </c>
      <c r="U197" s="8">
        <f>IF(Y197=0,$B$8/2,$B$8/2+Z197*S197/Y197)</f>
        <v/>
      </c>
      <c r="V197" s="8">
        <f>SQRT((T197-L197)^2+(U197-M197)^2)</f>
        <v/>
      </c>
      <c r="Y197">
        <f>$B$10*TAN(RADIANS(Q197))</f>
        <v/>
      </c>
      <c r="Z197">
        <f>IF(OR($H$7&lt;&gt;"OK",Q197=""),"",IF(Q197&lt;=$A$19,$D$19,IF(Q197&gt;=INDEX($A$19:$A$2018,$H$6),INDEX($D$19:$D$2018,$H$6),INDEX($D$19:$D$2018,MATCH(Q197,$A$19:INDEX($A$19:$A$2018,$H$6),1))+(Q197-INDEX($A$19:$A$2018,MATCH(Q197,$A$19:INDEX($A$19:$A$2018,$H$6),1)))*(INDEX($D$19:$D$2018,MATCH(Q197,$A$19:INDEX($A$19:$A$2018,$H$6),1)+1)-INDEX($D$19:$D$2018,MATCH(Q197,$A$19:INDEX($A$19:$A$2018,$H$6),1)))/(INDEX($A$19:$A$2018,MATCH(Q197,$A$19:INDEX($A$19:$A$2018,$H$6),1)+1)-INDEX($A$19:$A$2018,MATCH(Q197,$A$19:INDEX($A$19:$A$2018,$H$6),1))))))</f>
        <v/>
      </c>
    </row>
    <row r="198">
      <c r="A198" s="11" t="n"/>
      <c r="B198" s="11" t="n"/>
      <c r="C198" s="12">
        <f>IF(A198="","",$B$9*TAN(RADIANS(A198)))</f>
        <v/>
      </c>
      <c r="D198" s="12">
        <f>IF(C198="","",C198*(1+B198/100))</f>
        <v/>
      </c>
      <c r="E198" s="12">
        <f>IF(A198="","",$B$10*TAN(RADIANS(A198)))</f>
        <v/>
      </c>
      <c r="G198" s="8" t="n">
        <v>180</v>
      </c>
      <c r="H198" s="8">
        <f>$K$8</f>
        <v/>
      </c>
      <c r="I198" s="7" t="inlineStr">
        <is>
          <t>橫</t>
        </is>
      </c>
      <c r="J198" s="8" t="n">
        <v>5</v>
      </c>
      <c r="K198" s="7" t="inlineStr">
        <is>
          <t>左下</t>
        </is>
      </c>
      <c r="L198" s="8">
        <f>$O$8-($M$8+$L$8)/2+(-1)*$M$8/2</f>
        <v/>
      </c>
      <c r="M198" s="8">
        <f>$P$8-$M$8/2+$L$8/2+4*2*$L$8+(1)*$L$8/2</f>
        <v/>
      </c>
      <c r="N198" s="8">
        <f>L198-$B$7/2</f>
        <v/>
      </c>
      <c r="O198" s="8">
        <f>M198-$B$8/2</f>
        <v/>
      </c>
      <c r="P198" s="8">
        <f>SQRT(N198^2+O198^2)</f>
        <v/>
      </c>
      <c r="Q198" s="8">
        <f>IF(OR($H$7&lt;&gt;"OK",P198=""),"",IF(P198&lt;=$D$19,$A$19,IF(P198&gt;=INDEX($D$19:$D$2018,$H$6),INDEX($A$19:$A$2018,$H$6),INDEX($A$19:$A$2018,MATCH(P198,$D$19:INDEX($D$19:$D$2018,$H$6),1))+(P198-INDEX($D$19:$D$2018,MATCH(P198,$D$19:INDEX($D$19:$D$2018,$H$6),1)))*(INDEX($A$19:$A$2018,MATCH(P198,$D$19:INDEX($D$19:$D$2018,$H$6),1)+1)-INDEX($A$19:$A$2018,MATCH(P198,$D$19:INDEX($D$19:$D$2018,$H$6),1)))/(INDEX($D$19:$D$2018,MATCH(P198,$D$19:INDEX($D$19:$D$2018,$H$6),1)+1)-INDEX($D$19:$D$2018,MATCH(P198,$D$19:INDEX($D$19:$D$2018,$H$6),1))))))</f>
        <v/>
      </c>
      <c r="R198" s="8">
        <f>IF(P198=0,0,-Y198*N198/P198)</f>
        <v/>
      </c>
      <c r="S198" s="8">
        <f>IF(P198=0,0,Y198*O198/P198)</f>
        <v/>
      </c>
      <c r="T198" s="8">
        <f>IF(Y198=0,$B$7/2,$B$7/2-Z198*R198/Y198)</f>
        <v/>
      </c>
      <c r="U198" s="8">
        <f>IF(Y198=0,$B$8/2,$B$8/2+Z198*S198/Y198)</f>
        <v/>
      </c>
      <c r="V198" s="8">
        <f>SQRT((T198-L198)^2+(U198-M198)^2)</f>
        <v/>
      </c>
      <c r="Y198">
        <f>$B$10*TAN(RADIANS(Q198))</f>
        <v/>
      </c>
      <c r="Z198">
        <f>IF(OR($H$7&lt;&gt;"OK",Q198=""),"",IF(Q198&lt;=$A$19,$D$19,IF(Q198&gt;=INDEX($A$19:$A$2018,$H$6),INDEX($D$19:$D$2018,$H$6),INDEX($D$19:$D$2018,MATCH(Q198,$A$19:INDEX($A$19:$A$2018,$H$6),1))+(Q198-INDEX($A$19:$A$2018,MATCH(Q198,$A$19:INDEX($A$19:$A$2018,$H$6),1)))*(INDEX($D$19:$D$2018,MATCH(Q198,$A$19:INDEX($A$19:$A$2018,$H$6),1)+1)-INDEX($D$19:$D$2018,MATCH(Q198,$A$19:INDEX($A$19:$A$2018,$H$6),1)))/(INDEX($A$19:$A$2018,MATCH(Q198,$A$19:INDEX($A$19:$A$2018,$H$6),1)+1)-INDEX($A$19:$A$2018,MATCH(Q198,$A$19:INDEX($A$19:$A$2018,$H$6),1))))))</f>
        <v/>
      </c>
    </row>
    <row r="199">
      <c r="A199" s="11" t="n"/>
      <c r="B199" s="11" t="n"/>
      <c r="C199" s="12">
        <f>IF(A199="","",$B$9*TAN(RADIANS(A199)))</f>
        <v/>
      </c>
      <c r="D199" s="12">
        <f>IF(C199="","",C199*(1+B199/100))</f>
        <v/>
      </c>
      <c r="E199" s="12">
        <f>IF(A199="","",$B$10*TAN(RADIANS(A199)))</f>
        <v/>
      </c>
      <c r="G199" s="8" t="n">
        <v>181</v>
      </c>
      <c r="H199" s="8">
        <f>$K$8</f>
        <v/>
      </c>
      <c r="I199" s="7" t="inlineStr">
        <is>
          <t>豎</t>
        </is>
      </c>
      <c r="J199" s="8" t="n">
        <v>1</v>
      </c>
      <c r="K199" s="7" t="inlineStr">
        <is>
          <t>左上</t>
        </is>
      </c>
      <c r="L199" s="8">
        <f>$O$8+($M$8+$L$8)/2-$M$8/2+$L$8/2+0*2*$L$8+(-1)*$L$8/2</f>
        <v/>
      </c>
      <c r="M199" s="8">
        <f>$P$8+(-1)*$M$8/2</f>
        <v/>
      </c>
      <c r="N199" s="8">
        <f>L199-$B$7/2</f>
        <v/>
      </c>
      <c r="O199" s="8">
        <f>M199-$B$8/2</f>
        <v/>
      </c>
      <c r="P199" s="8">
        <f>SQRT(N199^2+O199^2)</f>
        <v/>
      </c>
      <c r="Q199" s="8">
        <f>IF(OR($H$7&lt;&gt;"OK",P199=""),"",IF(P199&lt;=$D$19,$A$19,IF(P199&gt;=INDEX($D$19:$D$2018,$H$6),INDEX($A$19:$A$2018,$H$6),INDEX($A$19:$A$2018,MATCH(P199,$D$19:INDEX($D$19:$D$2018,$H$6),1))+(P199-INDEX($D$19:$D$2018,MATCH(P199,$D$19:INDEX($D$19:$D$2018,$H$6),1)))*(INDEX($A$19:$A$2018,MATCH(P199,$D$19:INDEX($D$19:$D$2018,$H$6),1)+1)-INDEX($A$19:$A$2018,MATCH(P199,$D$19:INDEX($D$19:$D$2018,$H$6),1)))/(INDEX($D$19:$D$2018,MATCH(P199,$D$19:INDEX($D$19:$D$2018,$H$6),1)+1)-INDEX($D$19:$D$2018,MATCH(P199,$D$19:INDEX($D$19:$D$2018,$H$6),1))))))</f>
        <v/>
      </c>
      <c r="R199" s="8">
        <f>IF(P199=0,0,-Y199*N199/P199)</f>
        <v/>
      </c>
      <c r="S199" s="8">
        <f>IF(P199=0,0,Y199*O199/P199)</f>
        <v/>
      </c>
      <c r="T199" s="8">
        <f>IF(Y199=0,$B$7/2,$B$7/2-Z199*R199/Y199)</f>
        <v/>
      </c>
      <c r="U199" s="8">
        <f>IF(Y199=0,$B$8/2,$B$8/2+Z199*S199/Y199)</f>
        <v/>
      </c>
      <c r="V199" s="8">
        <f>SQRT((T199-L199)^2+(U199-M199)^2)</f>
        <v/>
      </c>
      <c r="Y199">
        <f>$B$10*TAN(RADIANS(Q199))</f>
        <v/>
      </c>
      <c r="Z199">
        <f>IF(OR($H$7&lt;&gt;"OK",Q199=""),"",IF(Q199&lt;=$A$19,$D$19,IF(Q199&gt;=INDEX($A$19:$A$2018,$H$6),INDEX($D$19:$D$2018,$H$6),INDEX($D$19:$D$2018,MATCH(Q199,$A$19:INDEX($A$19:$A$2018,$H$6),1))+(Q199-INDEX($A$19:$A$2018,MATCH(Q199,$A$19:INDEX($A$19:$A$2018,$H$6),1)))*(INDEX($D$19:$D$2018,MATCH(Q199,$A$19:INDEX($A$19:$A$2018,$H$6),1)+1)-INDEX($D$19:$D$2018,MATCH(Q199,$A$19:INDEX($A$19:$A$2018,$H$6),1)))/(INDEX($A$19:$A$2018,MATCH(Q199,$A$19:INDEX($A$19:$A$2018,$H$6),1)+1)-INDEX($A$19:$A$2018,MATCH(Q199,$A$19:INDEX($A$19:$A$2018,$H$6),1))))))</f>
        <v/>
      </c>
    </row>
    <row r="200">
      <c r="A200" s="11" t="n"/>
      <c r="B200" s="11" t="n"/>
      <c r="C200" s="12">
        <f>IF(A200="","",$B$9*TAN(RADIANS(A200)))</f>
        <v/>
      </c>
      <c r="D200" s="12">
        <f>IF(C200="","",C200*(1+B200/100))</f>
        <v/>
      </c>
      <c r="E200" s="12">
        <f>IF(A200="","",$B$10*TAN(RADIANS(A200)))</f>
        <v/>
      </c>
      <c r="G200" s="8" t="n">
        <v>182</v>
      </c>
      <c r="H200" s="8">
        <f>$K$8</f>
        <v/>
      </c>
      <c r="I200" s="7" t="inlineStr">
        <is>
          <t>豎</t>
        </is>
      </c>
      <c r="J200" s="8" t="n">
        <v>1</v>
      </c>
      <c r="K200" s="7" t="inlineStr">
        <is>
          <t>右上</t>
        </is>
      </c>
      <c r="L200" s="8">
        <f>$O$8+($M$8+$L$8)/2-$M$8/2+$L$8/2+0*2*$L$8+(1)*$L$8/2</f>
        <v/>
      </c>
      <c r="M200" s="8">
        <f>$P$8+(-1)*$M$8/2</f>
        <v/>
      </c>
      <c r="N200" s="8">
        <f>L200-$B$7/2</f>
        <v/>
      </c>
      <c r="O200" s="8">
        <f>M200-$B$8/2</f>
        <v/>
      </c>
      <c r="P200" s="8">
        <f>SQRT(N200^2+O200^2)</f>
        <v/>
      </c>
      <c r="Q200" s="8">
        <f>IF(OR($H$7&lt;&gt;"OK",P200=""),"",IF(P200&lt;=$D$19,$A$19,IF(P200&gt;=INDEX($D$19:$D$2018,$H$6),INDEX($A$19:$A$2018,$H$6),INDEX($A$19:$A$2018,MATCH(P200,$D$19:INDEX($D$19:$D$2018,$H$6),1))+(P200-INDEX($D$19:$D$2018,MATCH(P200,$D$19:INDEX($D$19:$D$2018,$H$6),1)))*(INDEX($A$19:$A$2018,MATCH(P200,$D$19:INDEX($D$19:$D$2018,$H$6),1)+1)-INDEX($A$19:$A$2018,MATCH(P200,$D$19:INDEX($D$19:$D$2018,$H$6),1)))/(INDEX($D$19:$D$2018,MATCH(P200,$D$19:INDEX($D$19:$D$2018,$H$6),1)+1)-INDEX($D$19:$D$2018,MATCH(P200,$D$19:INDEX($D$19:$D$2018,$H$6),1))))))</f>
        <v/>
      </c>
      <c r="R200" s="8">
        <f>IF(P200=0,0,-Y200*N200/P200)</f>
        <v/>
      </c>
      <c r="S200" s="8">
        <f>IF(P200=0,0,Y200*O200/P200)</f>
        <v/>
      </c>
      <c r="T200" s="8">
        <f>IF(Y200=0,$B$7/2,$B$7/2-Z200*R200/Y200)</f>
        <v/>
      </c>
      <c r="U200" s="8">
        <f>IF(Y200=0,$B$8/2,$B$8/2+Z200*S200/Y200)</f>
        <v/>
      </c>
      <c r="V200" s="8">
        <f>SQRT((T200-L200)^2+(U200-M200)^2)</f>
        <v/>
      </c>
      <c r="Y200">
        <f>$B$10*TAN(RADIANS(Q200))</f>
        <v/>
      </c>
      <c r="Z200">
        <f>IF(OR($H$7&lt;&gt;"OK",Q200=""),"",IF(Q200&lt;=$A$19,$D$19,IF(Q200&gt;=INDEX($A$19:$A$2018,$H$6),INDEX($D$19:$D$2018,$H$6),INDEX($D$19:$D$2018,MATCH(Q200,$A$19:INDEX($A$19:$A$2018,$H$6),1))+(Q200-INDEX($A$19:$A$2018,MATCH(Q200,$A$19:INDEX($A$19:$A$2018,$H$6),1)))*(INDEX($D$19:$D$2018,MATCH(Q200,$A$19:INDEX($A$19:$A$2018,$H$6),1)+1)-INDEX($D$19:$D$2018,MATCH(Q200,$A$19:INDEX($A$19:$A$2018,$H$6),1)))/(INDEX($A$19:$A$2018,MATCH(Q200,$A$19:INDEX($A$19:$A$2018,$H$6),1)+1)-INDEX($A$19:$A$2018,MATCH(Q200,$A$19:INDEX($A$19:$A$2018,$H$6),1))))))</f>
        <v/>
      </c>
    </row>
    <row r="201">
      <c r="A201" s="11" t="n"/>
      <c r="B201" s="11" t="n"/>
      <c r="C201" s="12">
        <f>IF(A201="","",$B$9*TAN(RADIANS(A201)))</f>
        <v/>
      </c>
      <c r="D201" s="12">
        <f>IF(C201="","",C201*(1+B201/100))</f>
        <v/>
      </c>
      <c r="E201" s="12">
        <f>IF(A201="","",$B$10*TAN(RADIANS(A201)))</f>
        <v/>
      </c>
      <c r="G201" s="8" t="n">
        <v>183</v>
      </c>
      <c r="H201" s="8">
        <f>$K$8</f>
        <v/>
      </c>
      <c r="I201" s="7" t="inlineStr">
        <is>
          <t>豎</t>
        </is>
      </c>
      <c r="J201" s="8" t="n">
        <v>1</v>
      </c>
      <c r="K201" s="7" t="inlineStr">
        <is>
          <t>右下</t>
        </is>
      </c>
      <c r="L201" s="8">
        <f>$O$8+($M$8+$L$8)/2-$M$8/2+$L$8/2+0*2*$L$8+(1)*$L$8/2</f>
        <v/>
      </c>
      <c r="M201" s="8">
        <f>$P$8+(1)*$M$8/2</f>
        <v/>
      </c>
      <c r="N201" s="8">
        <f>L201-$B$7/2</f>
        <v/>
      </c>
      <c r="O201" s="8">
        <f>M201-$B$8/2</f>
        <v/>
      </c>
      <c r="P201" s="8">
        <f>SQRT(N201^2+O201^2)</f>
        <v/>
      </c>
      <c r="Q201" s="8">
        <f>IF(OR($H$7&lt;&gt;"OK",P201=""),"",IF(P201&lt;=$D$19,$A$19,IF(P201&gt;=INDEX($D$19:$D$2018,$H$6),INDEX($A$19:$A$2018,$H$6),INDEX($A$19:$A$2018,MATCH(P201,$D$19:INDEX($D$19:$D$2018,$H$6),1))+(P201-INDEX($D$19:$D$2018,MATCH(P201,$D$19:INDEX($D$19:$D$2018,$H$6),1)))*(INDEX($A$19:$A$2018,MATCH(P201,$D$19:INDEX($D$19:$D$2018,$H$6),1)+1)-INDEX($A$19:$A$2018,MATCH(P201,$D$19:INDEX($D$19:$D$2018,$H$6),1)))/(INDEX($D$19:$D$2018,MATCH(P201,$D$19:INDEX($D$19:$D$2018,$H$6),1)+1)-INDEX($D$19:$D$2018,MATCH(P201,$D$19:INDEX($D$19:$D$2018,$H$6),1))))))</f>
        <v/>
      </c>
      <c r="R201" s="8">
        <f>IF(P201=0,0,-Y201*N201/P201)</f>
        <v/>
      </c>
      <c r="S201" s="8">
        <f>IF(P201=0,0,Y201*O201/P201)</f>
        <v/>
      </c>
      <c r="T201" s="8">
        <f>IF(Y201=0,$B$7/2,$B$7/2-Z201*R201/Y201)</f>
        <v/>
      </c>
      <c r="U201" s="8">
        <f>IF(Y201=0,$B$8/2,$B$8/2+Z201*S201/Y201)</f>
        <v/>
      </c>
      <c r="V201" s="8">
        <f>SQRT((T201-L201)^2+(U201-M201)^2)</f>
        <v/>
      </c>
      <c r="Y201">
        <f>$B$10*TAN(RADIANS(Q201))</f>
        <v/>
      </c>
      <c r="Z201">
        <f>IF(OR($H$7&lt;&gt;"OK",Q201=""),"",IF(Q201&lt;=$A$19,$D$19,IF(Q201&gt;=INDEX($A$19:$A$2018,$H$6),INDEX($D$19:$D$2018,$H$6),INDEX($D$19:$D$2018,MATCH(Q201,$A$19:INDEX($A$19:$A$2018,$H$6),1))+(Q201-INDEX($A$19:$A$2018,MATCH(Q201,$A$19:INDEX($A$19:$A$2018,$H$6),1)))*(INDEX($D$19:$D$2018,MATCH(Q201,$A$19:INDEX($A$19:$A$2018,$H$6),1)+1)-INDEX($D$19:$D$2018,MATCH(Q201,$A$19:INDEX($A$19:$A$2018,$H$6),1)))/(INDEX($A$19:$A$2018,MATCH(Q201,$A$19:INDEX($A$19:$A$2018,$H$6),1)+1)-INDEX($A$19:$A$2018,MATCH(Q201,$A$19:INDEX($A$19:$A$2018,$H$6),1))))))</f>
        <v/>
      </c>
    </row>
    <row r="202">
      <c r="A202" s="11" t="n"/>
      <c r="B202" s="11" t="n"/>
      <c r="C202" s="12">
        <f>IF(A202="","",$B$9*TAN(RADIANS(A202)))</f>
        <v/>
      </c>
      <c r="D202" s="12">
        <f>IF(C202="","",C202*(1+B202/100))</f>
        <v/>
      </c>
      <c r="E202" s="12">
        <f>IF(A202="","",$B$10*TAN(RADIANS(A202)))</f>
        <v/>
      </c>
      <c r="G202" s="8" t="n">
        <v>184</v>
      </c>
      <c r="H202" s="8">
        <f>$K$8</f>
        <v/>
      </c>
      <c r="I202" s="7" t="inlineStr">
        <is>
          <t>豎</t>
        </is>
      </c>
      <c r="J202" s="8" t="n">
        <v>1</v>
      </c>
      <c r="K202" s="7" t="inlineStr">
        <is>
          <t>左下</t>
        </is>
      </c>
      <c r="L202" s="8">
        <f>$O$8+($M$8+$L$8)/2-$M$8/2+$L$8/2+0*2*$L$8+(-1)*$L$8/2</f>
        <v/>
      </c>
      <c r="M202" s="8">
        <f>$P$8+(1)*$M$8/2</f>
        <v/>
      </c>
      <c r="N202" s="8">
        <f>L202-$B$7/2</f>
        <v/>
      </c>
      <c r="O202" s="8">
        <f>M202-$B$8/2</f>
        <v/>
      </c>
      <c r="P202" s="8">
        <f>SQRT(N202^2+O202^2)</f>
        <v/>
      </c>
      <c r="Q202" s="8">
        <f>IF(OR($H$7&lt;&gt;"OK",P202=""),"",IF(P202&lt;=$D$19,$A$19,IF(P202&gt;=INDEX($D$19:$D$2018,$H$6),INDEX($A$19:$A$2018,$H$6),INDEX($A$19:$A$2018,MATCH(P202,$D$19:INDEX($D$19:$D$2018,$H$6),1))+(P202-INDEX($D$19:$D$2018,MATCH(P202,$D$19:INDEX($D$19:$D$2018,$H$6),1)))*(INDEX($A$19:$A$2018,MATCH(P202,$D$19:INDEX($D$19:$D$2018,$H$6),1)+1)-INDEX($A$19:$A$2018,MATCH(P202,$D$19:INDEX($D$19:$D$2018,$H$6),1)))/(INDEX($D$19:$D$2018,MATCH(P202,$D$19:INDEX($D$19:$D$2018,$H$6),1)+1)-INDEX($D$19:$D$2018,MATCH(P202,$D$19:INDEX($D$19:$D$2018,$H$6),1))))))</f>
        <v/>
      </c>
      <c r="R202" s="8">
        <f>IF(P202=0,0,-Y202*N202/P202)</f>
        <v/>
      </c>
      <c r="S202" s="8">
        <f>IF(P202=0,0,Y202*O202/P202)</f>
        <v/>
      </c>
      <c r="T202" s="8">
        <f>IF(Y202=0,$B$7/2,$B$7/2-Z202*R202/Y202)</f>
        <v/>
      </c>
      <c r="U202" s="8">
        <f>IF(Y202=0,$B$8/2,$B$8/2+Z202*S202/Y202)</f>
        <v/>
      </c>
      <c r="V202" s="8">
        <f>SQRT((T202-L202)^2+(U202-M202)^2)</f>
        <v/>
      </c>
      <c r="Y202">
        <f>$B$10*TAN(RADIANS(Q202))</f>
        <v/>
      </c>
      <c r="Z202">
        <f>IF(OR($H$7&lt;&gt;"OK",Q202=""),"",IF(Q202&lt;=$A$19,$D$19,IF(Q202&gt;=INDEX($A$19:$A$2018,$H$6),INDEX($D$19:$D$2018,$H$6),INDEX($D$19:$D$2018,MATCH(Q202,$A$19:INDEX($A$19:$A$2018,$H$6),1))+(Q202-INDEX($A$19:$A$2018,MATCH(Q202,$A$19:INDEX($A$19:$A$2018,$H$6),1)))*(INDEX($D$19:$D$2018,MATCH(Q202,$A$19:INDEX($A$19:$A$2018,$H$6),1)+1)-INDEX($D$19:$D$2018,MATCH(Q202,$A$19:INDEX($A$19:$A$2018,$H$6),1)))/(INDEX($A$19:$A$2018,MATCH(Q202,$A$19:INDEX($A$19:$A$2018,$H$6),1)+1)-INDEX($A$19:$A$2018,MATCH(Q202,$A$19:INDEX($A$19:$A$2018,$H$6),1))))))</f>
        <v/>
      </c>
    </row>
    <row r="203">
      <c r="A203" s="11" t="n"/>
      <c r="B203" s="11" t="n"/>
      <c r="C203" s="12">
        <f>IF(A203="","",$B$9*TAN(RADIANS(A203)))</f>
        <v/>
      </c>
      <c r="D203" s="12">
        <f>IF(C203="","",C203*(1+B203/100))</f>
        <v/>
      </c>
      <c r="E203" s="12">
        <f>IF(A203="","",$B$10*TAN(RADIANS(A203)))</f>
        <v/>
      </c>
      <c r="G203" s="8" t="n">
        <v>185</v>
      </c>
      <c r="H203" s="8">
        <f>$K$8</f>
        <v/>
      </c>
      <c r="I203" s="7" t="inlineStr">
        <is>
          <t>豎</t>
        </is>
      </c>
      <c r="J203" s="8" t="n">
        <v>2</v>
      </c>
      <c r="K203" s="7" t="inlineStr">
        <is>
          <t>左上</t>
        </is>
      </c>
      <c r="L203" s="8">
        <f>$O$8+($M$8+$L$8)/2-$M$8/2+$L$8/2+1*2*$L$8+(-1)*$L$8/2</f>
        <v/>
      </c>
      <c r="M203" s="8">
        <f>$P$8+(-1)*$M$8/2</f>
        <v/>
      </c>
      <c r="N203" s="8">
        <f>L203-$B$7/2</f>
        <v/>
      </c>
      <c r="O203" s="8">
        <f>M203-$B$8/2</f>
        <v/>
      </c>
      <c r="P203" s="8">
        <f>SQRT(N203^2+O203^2)</f>
        <v/>
      </c>
      <c r="Q203" s="8">
        <f>IF(OR($H$7&lt;&gt;"OK",P203=""),"",IF(P203&lt;=$D$19,$A$19,IF(P203&gt;=INDEX($D$19:$D$2018,$H$6),INDEX($A$19:$A$2018,$H$6),INDEX($A$19:$A$2018,MATCH(P203,$D$19:INDEX($D$19:$D$2018,$H$6),1))+(P203-INDEX($D$19:$D$2018,MATCH(P203,$D$19:INDEX($D$19:$D$2018,$H$6),1)))*(INDEX($A$19:$A$2018,MATCH(P203,$D$19:INDEX($D$19:$D$2018,$H$6),1)+1)-INDEX($A$19:$A$2018,MATCH(P203,$D$19:INDEX($D$19:$D$2018,$H$6),1)))/(INDEX($D$19:$D$2018,MATCH(P203,$D$19:INDEX($D$19:$D$2018,$H$6),1)+1)-INDEX($D$19:$D$2018,MATCH(P203,$D$19:INDEX($D$19:$D$2018,$H$6),1))))))</f>
        <v/>
      </c>
      <c r="R203" s="8">
        <f>IF(P203=0,0,-Y203*N203/P203)</f>
        <v/>
      </c>
      <c r="S203" s="8">
        <f>IF(P203=0,0,Y203*O203/P203)</f>
        <v/>
      </c>
      <c r="T203" s="8">
        <f>IF(Y203=0,$B$7/2,$B$7/2-Z203*R203/Y203)</f>
        <v/>
      </c>
      <c r="U203" s="8">
        <f>IF(Y203=0,$B$8/2,$B$8/2+Z203*S203/Y203)</f>
        <v/>
      </c>
      <c r="V203" s="8">
        <f>SQRT((T203-L203)^2+(U203-M203)^2)</f>
        <v/>
      </c>
      <c r="Y203">
        <f>$B$10*TAN(RADIANS(Q203))</f>
        <v/>
      </c>
      <c r="Z203">
        <f>IF(OR($H$7&lt;&gt;"OK",Q203=""),"",IF(Q203&lt;=$A$19,$D$19,IF(Q203&gt;=INDEX($A$19:$A$2018,$H$6),INDEX($D$19:$D$2018,$H$6),INDEX($D$19:$D$2018,MATCH(Q203,$A$19:INDEX($A$19:$A$2018,$H$6),1))+(Q203-INDEX($A$19:$A$2018,MATCH(Q203,$A$19:INDEX($A$19:$A$2018,$H$6),1)))*(INDEX($D$19:$D$2018,MATCH(Q203,$A$19:INDEX($A$19:$A$2018,$H$6),1)+1)-INDEX($D$19:$D$2018,MATCH(Q203,$A$19:INDEX($A$19:$A$2018,$H$6),1)))/(INDEX($A$19:$A$2018,MATCH(Q203,$A$19:INDEX($A$19:$A$2018,$H$6),1)+1)-INDEX($A$19:$A$2018,MATCH(Q203,$A$19:INDEX($A$19:$A$2018,$H$6),1))))))</f>
        <v/>
      </c>
    </row>
    <row r="204">
      <c r="A204" s="11" t="n"/>
      <c r="B204" s="11" t="n"/>
      <c r="C204" s="12">
        <f>IF(A204="","",$B$9*TAN(RADIANS(A204)))</f>
        <v/>
      </c>
      <c r="D204" s="12">
        <f>IF(C204="","",C204*(1+B204/100))</f>
        <v/>
      </c>
      <c r="E204" s="12">
        <f>IF(A204="","",$B$10*TAN(RADIANS(A204)))</f>
        <v/>
      </c>
      <c r="G204" s="8" t="n">
        <v>186</v>
      </c>
      <c r="H204" s="8">
        <f>$K$8</f>
        <v/>
      </c>
      <c r="I204" s="7" t="inlineStr">
        <is>
          <t>豎</t>
        </is>
      </c>
      <c r="J204" s="8" t="n">
        <v>2</v>
      </c>
      <c r="K204" s="7" t="inlineStr">
        <is>
          <t>右上</t>
        </is>
      </c>
      <c r="L204" s="8">
        <f>$O$8+($M$8+$L$8)/2-$M$8/2+$L$8/2+1*2*$L$8+(1)*$L$8/2</f>
        <v/>
      </c>
      <c r="M204" s="8">
        <f>$P$8+(-1)*$M$8/2</f>
        <v/>
      </c>
      <c r="N204" s="8">
        <f>L204-$B$7/2</f>
        <v/>
      </c>
      <c r="O204" s="8">
        <f>M204-$B$8/2</f>
        <v/>
      </c>
      <c r="P204" s="8">
        <f>SQRT(N204^2+O204^2)</f>
        <v/>
      </c>
      <c r="Q204" s="8">
        <f>IF(OR($H$7&lt;&gt;"OK",P204=""),"",IF(P204&lt;=$D$19,$A$19,IF(P204&gt;=INDEX($D$19:$D$2018,$H$6),INDEX($A$19:$A$2018,$H$6),INDEX($A$19:$A$2018,MATCH(P204,$D$19:INDEX($D$19:$D$2018,$H$6),1))+(P204-INDEX($D$19:$D$2018,MATCH(P204,$D$19:INDEX($D$19:$D$2018,$H$6),1)))*(INDEX($A$19:$A$2018,MATCH(P204,$D$19:INDEX($D$19:$D$2018,$H$6),1)+1)-INDEX($A$19:$A$2018,MATCH(P204,$D$19:INDEX($D$19:$D$2018,$H$6),1)))/(INDEX($D$19:$D$2018,MATCH(P204,$D$19:INDEX($D$19:$D$2018,$H$6),1)+1)-INDEX($D$19:$D$2018,MATCH(P204,$D$19:INDEX($D$19:$D$2018,$H$6),1))))))</f>
        <v/>
      </c>
      <c r="R204" s="8">
        <f>IF(P204=0,0,-Y204*N204/P204)</f>
        <v/>
      </c>
      <c r="S204" s="8">
        <f>IF(P204=0,0,Y204*O204/P204)</f>
        <v/>
      </c>
      <c r="T204" s="8">
        <f>IF(Y204=0,$B$7/2,$B$7/2-Z204*R204/Y204)</f>
        <v/>
      </c>
      <c r="U204" s="8">
        <f>IF(Y204=0,$B$8/2,$B$8/2+Z204*S204/Y204)</f>
        <v/>
      </c>
      <c r="V204" s="8">
        <f>SQRT((T204-L204)^2+(U204-M204)^2)</f>
        <v/>
      </c>
      <c r="Y204">
        <f>$B$10*TAN(RADIANS(Q204))</f>
        <v/>
      </c>
      <c r="Z204">
        <f>IF(OR($H$7&lt;&gt;"OK",Q204=""),"",IF(Q204&lt;=$A$19,$D$19,IF(Q204&gt;=INDEX($A$19:$A$2018,$H$6),INDEX($D$19:$D$2018,$H$6),INDEX($D$19:$D$2018,MATCH(Q204,$A$19:INDEX($A$19:$A$2018,$H$6),1))+(Q204-INDEX($A$19:$A$2018,MATCH(Q204,$A$19:INDEX($A$19:$A$2018,$H$6),1)))*(INDEX($D$19:$D$2018,MATCH(Q204,$A$19:INDEX($A$19:$A$2018,$H$6),1)+1)-INDEX($D$19:$D$2018,MATCH(Q204,$A$19:INDEX($A$19:$A$2018,$H$6),1)))/(INDEX($A$19:$A$2018,MATCH(Q204,$A$19:INDEX($A$19:$A$2018,$H$6),1)+1)-INDEX($A$19:$A$2018,MATCH(Q204,$A$19:INDEX($A$19:$A$2018,$H$6),1))))))</f>
        <v/>
      </c>
    </row>
    <row r="205">
      <c r="A205" s="11" t="n"/>
      <c r="B205" s="11" t="n"/>
      <c r="C205" s="12">
        <f>IF(A205="","",$B$9*TAN(RADIANS(A205)))</f>
        <v/>
      </c>
      <c r="D205" s="12">
        <f>IF(C205="","",C205*(1+B205/100))</f>
        <v/>
      </c>
      <c r="E205" s="12">
        <f>IF(A205="","",$B$10*TAN(RADIANS(A205)))</f>
        <v/>
      </c>
      <c r="G205" s="8" t="n">
        <v>187</v>
      </c>
      <c r="H205" s="8">
        <f>$K$8</f>
        <v/>
      </c>
      <c r="I205" s="7" t="inlineStr">
        <is>
          <t>豎</t>
        </is>
      </c>
      <c r="J205" s="8" t="n">
        <v>2</v>
      </c>
      <c r="K205" s="7" t="inlineStr">
        <is>
          <t>右下</t>
        </is>
      </c>
      <c r="L205" s="8">
        <f>$O$8+($M$8+$L$8)/2-$M$8/2+$L$8/2+1*2*$L$8+(1)*$L$8/2</f>
        <v/>
      </c>
      <c r="M205" s="8">
        <f>$P$8+(1)*$M$8/2</f>
        <v/>
      </c>
      <c r="N205" s="8">
        <f>L205-$B$7/2</f>
        <v/>
      </c>
      <c r="O205" s="8">
        <f>M205-$B$8/2</f>
        <v/>
      </c>
      <c r="P205" s="8">
        <f>SQRT(N205^2+O205^2)</f>
        <v/>
      </c>
      <c r="Q205" s="8">
        <f>IF(OR($H$7&lt;&gt;"OK",P205=""),"",IF(P205&lt;=$D$19,$A$19,IF(P205&gt;=INDEX($D$19:$D$2018,$H$6),INDEX($A$19:$A$2018,$H$6),INDEX($A$19:$A$2018,MATCH(P205,$D$19:INDEX($D$19:$D$2018,$H$6),1))+(P205-INDEX($D$19:$D$2018,MATCH(P205,$D$19:INDEX($D$19:$D$2018,$H$6),1)))*(INDEX($A$19:$A$2018,MATCH(P205,$D$19:INDEX($D$19:$D$2018,$H$6),1)+1)-INDEX($A$19:$A$2018,MATCH(P205,$D$19:INDEX($D$19:$D$2018,$H$6),1)))/(INDEX($D$19:$D$2018,MATCH(P205,$D$19:INDEX($D$19:$D$2018,$H$6),1)+1)-INDEX($D$19:$D$2018,MATCH(P205,$D$19:INDEX($D$19:$D$2018,$H$6),1))))))</f>
        <v/>
      </c>
      <c r="R205" s="8">
        <f>IF(P205=0,0,-Y205*N205/P205)</f>
        <v/>
      </c>
      <c r="S205" s="8">
        <f>IF(P205=0,0,Y205*O205/P205)</f>
        <v/>
      </c>
      <c r="T205" s="8">
        <f>IF(Y205=0,$B$7/2,$B$7/2-Z205*R205/Y205)</f>
        <v/>
      </c>
      <c r="U205" s="8">
        <f>IF(Y205=0,$B$8/2,$B$8/2+Z205*S205/Y205)</f>
        <v/>
      </c>
      <c r="V205" s="8">
        <f>SQRT((T205-L205)^2+(U205-M205)^2)</f>
        <v/>
      </c>
      <c r="Y205">
        <f>$B$10*TAN(RADIANS(Q205))</f>
        <v/>
      </c>
      <c r="Z205">
        <f>IF(OR($H$7&lt;&gt;"OK",Q205=""),"",IF(Q205&lt;=$A$19,$D$19,IF(Q205&gt;=INDEX($A$19:$A$2018,$H$6),INDEX($D$19:$D$2018,$H$6),INDEX($D$19:$D$2018,MATCH(Q205,$A$19:INDEX($A$19:$A$2018,$H$6),1))+(Q205-INDEX($A$19:$A$2018,MATCH(Q205,$A$19:INDEX($A$19:$A$2018,$H$6),1)))*(INDEX($D$19:$D$2018,MATCH(Q205,$A$19:INDEX($A$19:$A$2018,$H$6),1)+1)-INDEX($D$19:$D$2018,MATCH(Q205,$A$19:INDEX($A$19:$A$2018,$H$6),1)))/(INDEX($A$19:$A$2018,MATCH(Q205,$A$19:INDEX($A$19:$A$2018,$H$6),1)+1)-INDEX($A$19:$A$2018,MATCH(Q205,$A$19:INDEX($A$19:$A$2018,$H$6),1))))))</f>
        <v/>
      </c>
    </row>
    <row r="206">
      <c r="A206" s="11" t="n"/>
      <c r="B206" s="11" t="n"/>
      <c r="C206" s="12">
        <f>IF(A206="","",$B$9*TAN(RADIANS(A206)))</f>
        <v/>
      </c>
      <c r="D206" s="12">
        <f>IF(C206="","",C206*(1+B206/100))</f>
        <v/>
      </c>
      <c r="E206" s="12">
        <f>IF(A206="","",$B$10*TAN(RADIANS(A206)))</f>
        <v/>
      </c>
      <c r="G206" s="8" t="n">
        <v>188</v>
      </c>
      <c r="H206" s="8">
        <f>$K$8</f>
        <v/>
      </c>
      <c r="I206" s="7" t="inlineStr">
        <is>
          <t>豎</t>
        </is>
      </c>
      <c r="J206" s="8" t="n">
        <v>2</v>
      </c>
      <c r="K206" s="7" t="inlineStr">
        <is>
          <t>左下</t>
        </is>
      </c>
      <c r="L206" s="8">
        <f>$O$8+($M$8+$L$8)/2-$M$8/2+$L$8/2+1*2*$L$8+(-1)*$L$8/2</f>
        <v/>
      </c>
      <c r="M206" s="8">
        <f>$P$8+(1)*$M$8/2</f>
        <v/>
      </c>
      <c r="N206" s="8">
        <f>L206-$B$7/2</f>
        <v/>
      </c>
      <c r="O206" s="8">
        <f>M206-$B$8/2</f>
        <v/>
      </c>
      <c r="P206" s="8">
        <f>SQRT(N206^2+O206^2)</f>
        <v/>
      </c>
      <c r="Q206" s="8">
        <f>IF(OR($H$7&lt;&gt;"OK",P206=""),"",IF(P206&lt;=$D$19,$A$19,IF(P206&gt;=INDEX($D$19:$D$2018,$H$6),INDEX($A$19:$A$2018,$H$6),INDEX($A$19:$A$2018,MATCH(P206,$D$19:INDEX($D$19:$D$2018,$H$6),1))+(P206-INDEX($D$19:$D$2018,MATCH(P206,$D$19:INDEX($D$19:$D$2018,$H$6),1)))*(INDEX($A$19:$A$2018,MATCH(P206,$D$19:INDEX($D$19:$D$2018,$H$6),1)+1)-INDEX($A$19:$A$2018,MATCH(P206,$D$19:INDEX($D$19:$D$2018,$H$6),1)))/(INDEX($D$19:$D$2018,MATCH(P206,$D$19:INDEX($D$19:$D$2018,$H$6),1)+1)-INDEX($D$19:$D$2018,MATCH(P206,$D$19:INDEX($D$19:$D$2018,$H$6),1))))))</f>
        <v/>
      </c>
      <c r="R206" s="8">
        <f>IF(P206=0,0,-Y206*N206/P206)</f>
        <v/>
      </c>
      <c r="S206" s="8">
        <f>IF(P206=0,0,Y206*O206/P206)</f>
        <v/>
      </c>
      <c r="T206" s="8">
        <f>IF(Y206=0,$B$7/2,$B$7/2-Z206*R206/Y206)</f>
        <v/>
      </c>
      <c r="U206" s="8">
        <f>IF(Y206=0,$B$8/2,$B$8/2+Z206*S206/Y206)</f>
        <v/>
      </c>
      <c r="V206" s="8">
        <f>SQRT((T206-L206)^2+(U206-M206)^2)</f>
        <v/>
      </c>
      <c r="Y206">
        <f>$B$10*TAN(RADIANS(Q206))</f>
        <v/>
      </c>
      <c r="Z206">
        <f>IF(OR($H$7&lt;&gt;"OK",Q206=""),"",IF(Q206&lt;=$A$19,$D$19,IF(Q206&gt;=INDEX($A$19:$A$2018,$H$6),INDEX($D$19:$D$2018,$H$6),INDEX($D$19:$D$2018,MATCH(Q206,$A$19:INDEX($A$19:$A$2018,$H$6),1))+(Q206-INDEX($A$19:$A$2018,MATCH(Q206,$A$19:INDEX($A$19:$A$2018,$H$6),1)))*(INDEX($D$19:$D$2018,MATCH(Q206,$A$19:INDEX($A$19:$A$2018,$H$6),1)+1)-INDEX($D$19:$D$2018,MATCH(Q206,$A$19:INDEX($A$19:$A$2018,$H$6),1)))/(INDEX($A$19:$A$2018,MATCH(Q206,$A$19:INDEX($A$19:$A$2018,$H$6),1)+1)-INDEX($A$19:$A$2018,MATCH(Q206,$A$19:INDEX($A$19:$A$2018,$H$6),1))))))</f>
        <v/>
      </c>
    </row>
    <row r="207">
      <c r="A207" s="11" t="n"/>
      <c r="B207" s="11" t="n"/>
      <c r="C207" s="12">
        <f>IF(A207="","",$B$9*TAN(RADIANS(A207)))</f>
        <v/>
      </c>
      <c r="D207" s="12">
        <f>IF(C207="","",C207*(1+B207/100))</f>
        <v/>
      </c>
      <c r="E207" s="12">
        <f>IF(A207="","",$B$10*TAN(RADIANS(A207)))</f>
        <v/>
      </c>
      <c r="G207" s="8" t="n">
        <v>189</v>
      </c>
      <c r="H207" s="8">
        <f>$K$8</f>
        <v/>
      </c>
      <c r="I207" s="7" t="inlineStr">
        <is>
          <t>豎</t>
        </is>
      </c>
      <c r="J207" s="8" t="n">
        <v>3</v>
      </c>
      <c r="K207" s="7" t="inlineStr">
        <is>
          <t>左上</t>
        </is>
      </c>
      <c r="L207" s="8">
        <f>$O$8+($M$8+$L$8)/2-$M$8/2+$L$8/2+2*2*$L$8+(-1)*$L$8/2</f>
        <v/>
      </c>
      <c r="M207" s="8">
        <f>$P$8+(-1)*$M$8/2</f>
        <v/>
      </c>
      <c r="N207" s="8">
        <f>L207-$B$7/2</f>
        <v/>
      </c>
      <c r="O207" s="8">
        <f>M207-$B$8/2</f>
        <v/>
      </c>
      <c r="P207" s="8">
        <f>SQRT(N207^2+O207^2)</f>
        <v/>
      </c>
      <c r="Q207" s="8">
        <f>IF(OR($H$7&lt;&gt;"OK",P207=""),"",IF(P207&lt;=$D$19,$A$19,IF(P207&gt;=INDEX($D$19:$D$2018,$H$6),INDEX($A$19:$A$2018,$H$6),INDEX($A$19:$A$2018,MATCH(P207,$D$19:INDEX($D$19:$D$2018,$H$6),1))+(P207-INDEX($D$19:$D$2018,MATCH(P207,$D$19:INDEX($D$19:$D$2018,$H$6),1)))*(INDEX($A$19:$A$2018,MATCH(P207,$D$19:INDEX($D$19:$D$2018,$H$6),1)+1)-INDEX($A$19:$A$2018,MATCH(P207,$D$19:INDEX($D$19:$D$2018,$H$6),1)))/(INDEX($D$19:$D$2018,MATCH(P207,$D$19:INDEX($D$19:$D$2018,$H$6),1)+1)-INDEX($D$19:$D$2018,MATCH(P207,$D$19:INDEX($D$19:$D$2018,$H$6),1))))))</f>
        <v/>
      </c>
      <c r="R207" s="8">
        <f>IF(P207=0,0,-Y207*N207/P207)</f>
        <v/>
      </c>
      <c r="S207" s="8">
        <f>IF(P207=0,0,Y207*O207/P207)</f>
        <v/>
      </c>
      <c r="T207" s="8">
        <f>IF(Y207=0,$B$7/2,$B$7/2-Z207*R207/Y207)</f>
        <v/>
      </c>
      <c r="U207" s="8">
        <f>IF(Y207=0,$B$8/2,$B$8/2+Z207*S207/Y207)</f>
        <v/>
      </c>
      <c r="V207" s="8">
        <f>SQRT((T207-L207)^2+(U207-M207)^2)</f>
        <v/>
      </c>
      <c r="Y207">
        <f>$B$10*TAN(RADIANS(Q207))</f>
        <v/>
      </c>
      <c r="Z207">
        <f>IF(OR($H$7&lt;&gt;"OK",Q207=""),"",IF(Q207&lt;=$A$19,$D$19,IF(Q207&gt;=INDEX($A$19:$A$2018,$H$6),INDEX($D$19:$D$2018,$H$6),INDEX($D$19:$D$2018,MATCH(Q207,$A$19:INDEX($A$19:$A$2018,$H$6),1))+(Q207-INDEX($A$19:$A$2018,MATCH(Q207,$A$19:INDEX($A$19:$A$2018,$H$6),1)))*(INDEX($D$19:$D$2018,MATCH(Q207,$A$19:INDEX($A$19:$A$2018,$H$6),1)+1)-INDEX($D$19:$D$2018,MATCH(Q207,$A$19:INDEX($A$19:$A$2018,$H$6),1)))/(INDEX($A$19:$A$2018,MATCH(Q207,$A$19:INDEX($A$19:$A$2018,$H$6),1)+1)-INDEX($A$19:$A$2018,MATCH(Q207,$A$19:INDEX($A$19:$A$2018,$H$6),1))))))</f>
        <v/>
      </c>
    </row>
    <row r="208">
      <c r="A208" s="11" t="n"/>
      <c r="B208" s="11" t="n"/>
      <c r="C208" s="12">
        <f>IF(A208="","",$B$9*TAN(RADIANS(A208)))</f>
        <v/>
      </c>
      <c r="D208" s="12">
        <f>IF(C208="","",C208*(1+B208/100))</f>
        <v/>
      </c>
      <c r="E208" s="12">
        <f>IF(A208="","",$B$10*TAN(RADIANS(A208)))</f>
        <v/>
      </c>
      <c r="G208" s="8" t="n">
        <v>190</v>
      </c>
      <c r="H208" s="8">
        <f>$K$8</f>
        <v/>
      </c>
      <c r="I208" s="7" t="inlineStr">
        <is>
          <t>豎</t>
        </is>
      </c>
      <c r="J208" s="8" t="n">
        <v>3</v>
      </c>
      <c r="K208" s="7" t="inlineStr">
        <is>
          <t>右上</t>
        </is>
      </c>
      <c r="L208" s="8">
        <f>$O$8+($M$8+$L$8)/2-$M$8/2+$L$8/2+2*2*$L$8+(1)*$L$8/2</f>
        <v/>
      </c>
      <c r="M208" s="8">
        <f>$P$8+(-1)*$M$8/2</f>
        <v/>
      </c>
      <c r="N208" s="8">
        <f>L208-$B$7/2</f>
        <v/>
      </c>
      <c r="O208" s="8">
        <f>M208-$B$8/2</f>
        <v/>
      </c>
      <c r="P208" s="8">
        <f>SQRT(N208^2+O208^2)</f>
        <v/>
      </c>
      <c r="Q208" s="8">
        <f>IF(OR($H$7&lt;&gt;"OK",P208=""),"",IF(P208&lt;=$D$19,$A$19,IF(P208&gt;=INDEX($D$19:$D$2018,$H$6),INDEX($A$19:$A$2018,$H$6),INDEX($A$19:$A$2018,MATCH(P208,$D$19:INDEX($D$19:$D$2018,$H$6),1))+(P208-INDEX($D$19:$D$2018,MATCH(P208,$D$19:INDEX($D$19:$D$2018,$H$6),1)))*(INDEX($A$19:$A$2018,MATCH(P208,$D$19:INDEX($D$19:$D$2018,$H$6),1)+1)-INDEX($A$19:$A$2018,MATCH(P208,$D$19:INDEX($D$19:$D$2018,$H$6),1)))/(INDEX($D$19:$D$2018,MATCH(P208,$D$19:INDEX($D$19:$D$2018,$H$6),1)+1)-INDEX($D$19:$D$2018,MATCH(P208,$D$19:INDEX($D$19:$D$2018,$H$6),1))))))</f>
        <v/>
      </c>
      <c r="R208" s="8">
        <f>IF(P208=0,0,-Y208*N208/P208)</f>
        <v/>
      </c>
      <c r="S208" s="8">
        <f>IF(P208=0,0,Y208*O208/P208)</f>
        <v/>
      </c>
      <c r="T208" s="8">
        <f>IF(Y208=0,$B$7/2,$B$7/2-Z208*R208/Y208)</f>
        <v/>
      </c>
      <c r="U208" s="8">
        <f>IF(Y208=0,$B$8/2,$B$8/2+Z208*S208/Y208)</f>
        <v/>
      </c>
      <c r="V208" s="8">
        <f>SQRT((T208-L208)^2+(U208-M208)^2)</f>
        <v/>
      </c>
      <c r="Y208">
        <f>$B$10*TAN(RADIANS(Q208))</f>
        <v/>
      </c>
      <c r="Z208">
        <f>IF(OR($H$7&lt;&gt;"OK",Q208=""),"",IF(Q208&lt;=$A$19,$D$19,IF(Q208&gt;=INDEX($A$19:$A$2018,$H$6),INDEX($D$19:$D$2018,$H$6),INDEX($D$19:$D$2018,MATCH(Q208,$A$19:INDEX($A$19:$A$2018,$H$6),1))+(Q208-INDEX($A$19:$A$2018,MATCH(Q208,$A$19:INDEX($A$19:$A$2018,$H$6),1)))*(INDEX($D$19:$D$2018,MATCH(Q208,$A$19:INDEX($A$19:$A$2018,$H$6),1)+1)-INDEX($D$19:$D$2018,MATCH(Q208,$A$19:INDEX($A$19:$A$2018,$H$6),1)))/(INDEX($A$19:$A$2018,MATCH(Q208,$A$19:INDEX($A$19:$A$2018,$H$6),1)+1)-INDEX($A$19:$A$2018,MATCH(Q208,$A$19:INDEX($A$19:$A$2018,$H$6),1))))))</f>
        <v/>
      </c>
    </row>
    <row r="209">
      <c r="A209" s="11" t="n"/>
      <c r="B209" s="11" t="n"/>
      <c r="C209" s="12">
        <f>IF(A209="","",$B$9*TAN(RADIANS(A209)))</f>
        <v/>
      </c>
      <c r="D209" s="12">
        <f>IF(C209="","",C209*(1+B209/100))</f>
        <v/>
      </c>
      <c r="E209" s="12">
        <f>IF(A209="","",$B$10*TAN(RADIANS(A209)))</f>
        <v/>
      </c>
      <c r="G209" s="8" t="n">
        <v>191</v>
      </c>
      <c r="H209" s="8">
        <f>$K$8</f>
        <v/>
      </c>
      <c r="I209" s="7" t="inlineStr">
        <is>
          <t>豎</t>
        </is>
      </c>
      <c r="J209" s="8" t="n">
        <v>3</v>
      </c>
      <c r="K209" s="7" t="inlineStr">
        <is>
          <t>右下</t>
        </is>
      </c>
      <c r="L209" s="8">
        <f>$O$8+($M$8+$L$8)/2-$M$8/2+$L$8/2+2*2*$L$8+(1)*$L$8/2</f>
        <v/>
      </c>
      <c r="M209" s="8">
        <f>$P$8+(1)*$M$8/2</f>
        <v/>
      </c>
      <c r="N209" s="8">
        <f>L209-$B$7/2</f>
        <v/>
      </c>
      <c r="O209" s="8">
        <f>M209-$B$8/2</f>
        <v/>
      </c>
      <c r="P209" s="8">
        <f>SQRT(N209^2+O209^2)</f>
        <v/>
      </c>
      <c r="Q209" s="8">
        <f>IF(OR($H$7&lt;&gt;"OK",P209=""),"",IF(P209&lt;=$D$19,$A$19,IF(P209&gt;=INDEX($D$19:$D$2018,$H$6),INDEX($A$19:$A$2018,$H$6),INDEX($A$19:$A$2018,MATCH(P209,$D$19:INDEX($D$19:$D$2018,$H$6),1))+(P209-INDEX($D$19:$D$2018,MATCH(P209,$D$19:INDEX($D$19:$D$2018,$H$6),1)))*(INDEX($A$19:$A$2018,MATCH(P209,$D$19:INDEX($D$19:$D$2018,$H$6),1)+1)-INDEX($A$19:$A$2018,MATCH(P209,$D$19:INDEX($D$19:$D$2018,$H$6),1)))/(INDEX($D$19:$D$2018,MATCH(P209,$D$19:INDEX($D$19:$D$2018,$H$6),1)+1)-INDEX($D$19:$D$2018,MATCH(P209,$D$19:INDEX($D$19:$D$2018,$H$6),1))))))</f>
        <v/>
      </c>
      <c r="R209" s="8">
        <f>IF(P209=0,0,-Y209*N209/P209)</f>
        <v/>
      </c>
      <c r="S209" s="8">
        <f>IF(P209=0,0,Y209*O209/P209)</f>
        <v/>
      </c>
      <c r="T209" s="8">
        <f>IF(Y209=0,$B$7/2,$B$7/2-Z209*R209/Y209)</f>
        <v/>
      </c>
      <c r="U209" s="8">
        <f>IF(Y209=0,$B$8/2,$B$8/2+Z209*S209/Y209)</f>
        <v/>
      </c>
      <c r="V209" s="8">
        <f>SQRT((T209-L209)^2+(U209-M209)^2)</f>
        <v/>
      </c>
      <c r="Y209">
        <f>$B$10*TAN(RADIANS(Q209))</f>
        <v/>
      </c>
      <c r="Z209">
        <f>IF(OR($H$7&lt;&gt;"OK",Q209=""),"",IF(Q209&lt;=$A$19,$D$19,IF(Q209&gt;=INDEX($A$19:$A$2018,$H$6),INDEX($D$19:$D$2018,$H$6),INDEX($D$19:$D$2018,MATCH(Q209,$A$19:INDEX($A$19:$A$2018,$H$6),1))+(Q209-INDEX($A$19:$A$2018,MATCH(Q209,$A$19:INDEX($A$19:$A$2018,$H$6),1)))*(INDEX($D$19:$D$2018,MATCH(Q209,$A$19:INDEX($A$19:$A$2018,$H$6),1)+1)-INDEX($D$19:$D$2018,MATCH(Q209,$A$19:INDEX($A$19:$A$2018,$H$6),1)))/(INDEX($A$19:$A$2018,MATCH(Q209,$A$19:INDEX($A$19:$A$2018,$H$6),1)+1)-INDEX($A$19:$A$2018,MATCH(Q209,$A$19:INDEX($A$19:$A$2018,$H$6),1))))))</f>
        <v/>
      </c>
    </row>
    <row r="210">
      <c r="A210" s="11" t="n"/>
      <c r="B210" s="11" t="n"/>
      <c r="C210" s="12">
        <f>IF(A210="","",$B$9*TAN(RADIANS(A210)))</f>
        <v/>
      </c>
      <c r="D210" s="12">
        <f>IF(C210="","",C210*(1+B210/100))</f>
        <v/>
      </c>
      <c r="E210" s="12">
        <f>IF(A210="","",$B$10*TAN(RADIANS(A210)))</f>
        <v/>
      </c>
      <c r="G210" s="8" t="n">
        <v>192</v>
      </c>
      <c r="H210" s="8">
        <f>$K$8</f>
        <v/>
      </c>
      <c r="I210" s="7" t="inlineStr">
        <is>
          <t>豎</t>
        </is>
      </c>
      <c r="J210" s="8" t="n">
        <v>3</v>
      </c>
      <c r="K210" s="7" t="inlineStr">
        <is>
          <t>左下</t>
        </is>
      </c>
      <c r="L210" s="8">
        <f>$O$8+($M$8+$L$8)/2-$M$8/2+$L$8/2+2*2*$L$8+(-1)*$L$8/2</f>
        <v/>
      </c>
      <c r="M210" s="8">
        <f>$P$8+(1)*$M$8/2</f>
        <v/>
      </c>
      <c r="N210" s="8">
        <f>L210-$B$7/2</f>
        <v/>
      </c>
      <c r="O210" s="8">
        <f>M210-$B$8/2</f>
        <v/>
      </c>
      <c r="P210" s="8">
        <f>SQRT(N210^2+O210^2)</f>
        <v/>
      </c>
      <c r="Q210" s="8">
        <f>IF(OR($H$7&lt;&gt;"OK",P210=""),"",IF(P210&lt;=$D$19,$A$19,IF(P210&gt;=INDEX($D$19:$D$2018,$H$6),INDEX($A$19:$A$2018,$H$6),INDEX($A$19:$A$2018,MATCH(P210,$D$19:INDEX($D$19:$D$2018,$H$6),1))+(P210-INDEX($D$19:$D$2018,MATCH(P210,$D$19:INDEX($D$19:$D$2018,$H$6),1)))*(INDEX($A$19:$A$2018,MATCH(P210,$D$19:INDEX($D$19:$D$2018,$H$6),1)+1)-INDEX($A$19:$A$2018,MATCH(P210,$D$19:INDEX($D$19:$D$2018,$H$6),1)))/(INDEX($D$19:$D$2018,MATCH(P210,$D$19:INDEX($D$19:$D$2018,$H$6),1)+1)-INDEX($D$19:$D$2018,MATCH(P210,$D$19:INDEX($D$19:$D$2018,$H$6),1))))))</f>
        <v/>
      </c>
      <c r="R210" s="8">
        <f>IF(P210=0,0,-Y210*N210/P210)</f>
        <v/>
      </c>
      <c r="S210" s="8">
        <f>IF(P210=0,0,Y210*O210/P210)</f>
        <v/>
      </c>
      <c r="T210" s="8">
        <f>IF(Y210=0,$B$7/2,$B$7/2-Z210*R210/Y210)</f>
        <v/>
      </c>
      <c r="U210" s="8">
        <f>IF(Y210=0,$B$8/2,$B$8/2+Z210*S210/Y210)</f>
        <v/>
      </c>
      <c r="V210" s="8">
        <f>SQRT((T210-L210)^2+(U210-M210)^2)</f>
        <v/>
      </c>
      <c r="Y210">
        <f>$B$10*TAN(RADIANS(Q210))</f>
        <v/>
      </c>
      <c r="Z210">
        <f>IF(OR($H$7&lt;&gt;"OK",Q210=""),"",IF(Q210&lt;=$A$19,$D$19,IF(Q210&gt;=INDEX($A$19:$A$2018,$H$6),INDEX($D$19:$D$2018,$H$6),INDEX($D$19:$D$2018,MATCH(Q210,$A$19:INDEX($A$19:$A$2018,$H$6),1))+(Q210-INDEX($A$19:$A$2018,MATCH(Q210,$A$19:INDEX($A$19:$A$2018,$H$6),1)))*(INDEX($D$19:$D$2018,MATCH(Q210,$A$19:INDEX($A$19:$A$2018,$H$6),1)+1)-INDEX($D$19:$D$2018,MATCH(Q210,$A$19:INDEX($A$19:$A$2018,$H$6),1)))/(INDEX($A$19:$A$2018,MATCH(Q210,$A$19:INDEX($A$19:$A$2018,$H$6),1)+1)-INDEX($A$19:$A$2018,MATCH(Q210,$A$19:INDEX($A$19:$A$2018,$H$6),1))))))</f>
        <v/>
      </c>
    </row>
    <row r="211">
      <c r="A211" s="11" t="n"/>
      <c r="B211" s="11" t="n"/>
      <c r="C211" s="12">
        <f>IF(A211="","",$B$9*TAN(RADIANS(A211)))</f>
        <v/>
      </c>
      <c r="D211" s="12">
        <f>IF(C211="","",C211*(1+B211/100))</f>
        <v/>
      </c>
      <c r="E211" s="12">
        <f>IF(A211="","",$B$10*TAN(RADIANS(A211)))</f>
        <v/>
      </c>
      <c r="G211" s="8" t="n">
        <v>193</v>
      </c>
      <c r="H211" s="8">
        <f>$K$8</f>
        <v/>
      </c>
      <c r="I211" s="7" t="inlineStr">
        <is>
          <t>豎</t>
        </is>
      </c>
      <c r="J211" s="8" t="n">
        <v>4</v>
      </c>
      <c r="K211" s="7" t="inlineStr">
        <is>
          <t>左上</t>
        </is>
      </c>
      <c r="L211" s="8">
        <f>$O$8+($M$8+$L$8)/2-$M$8/2+$L$8/2+3*2*$L$8+(-1)*$L$8/2</f>
        <v/>
      </c>
      <c r="M211" s="8">
        <f>$P$8+(-1)*$M$8/2</f>
        <v/>
      </c>
      <c r="N211" s="8">
        <f>L211-$B$7/2</f>
        <v/>
      </c>
      <c r="O211" s="8">
        <f>M211-$B$8/2</f>
        <v/>
      </c>
      <c r="P211" s="8">
        <f>SQRT(N211^2+O211^2)</f>
        <v/>
      </c>
      <c r="Q211" s="8">
        <f>IF(OR($H$7&lt;&gt;"OK",P211=""),"",IF(P211&lt;=$D$19,$A$19,IF(P211&gt;=INDEX($D$19:$D$2018,$H$6),INDEX($A$19:$A$2018,$H$6),INDEX($A$19:$A$2018,MATCH(P211,$D$19:INDEX($D$19:$D$2018,$H$6),1))+(P211-INDEX($D$19:$D$2018,MATCH(P211,$D$19:INDEX($D$19:$D$2018,$H$6),1)))*(INDEX($A$19:$A$2018,MATCH(P211,$D$19:INDEX($D$19:$D$2018,$H$6),1)+1)-INDEX($A$19:$A$2018,MATCH(P211,$D$19:INDEX($D$19:$D$2018,$H$6),1)))/(INDEX($D$19:$D$2018,MATCH(P211,$D$19:INDEX($D$19:$D$2018,$H$6),1)+1)-INDEX($D$19:$D$2018,MATCH(P211,$D$19:INDEX($D$19:$D$2018,$H$6),1))))))</f>
        <v/>
      </c>
      <c r="R211" s="8">
        <f>IF(P211=0,0,-Y211*N211/P211)</f>
        <v/>
      </c>
      <c r="S211" s="8">
        <f>IF(P211=0,0,Y211*O211/P211)</f>
        <v/>
      </c>
      <c r="T211" s="8">
        <f>IF(Y211=0,$B$7/2,$B$7/2-Z211*R211/Y211)</f>
        <v/>
      </c>
      <c r="U211" s="8">
        <f>IF(Y211=0,$B$8/2,$B$8/2+Z211*S211/Y211)</f>
        <v/>
      </c>
      <c r="V211" s="8">
        <f>SQRT((T211-L211)^2+(U211-M211)^2)</f>
        <v/>
      </c>
      <c r="Y211">
        <f>$B$10*TAN(RADIANS(Q211))</f>
        <v/>
      </c>
      <c r="Z211">
        <f>IF(OR($H$7&lt;&gt;"OK",Q211=""),"",IF(Q211&lt;=$A$19,$D$19,IF(Q211&gt;=INDEX($A$19:$A$2018,$H$6),INDEX($D$19:$D$2018,$H$6),INDEX($D$19:$D$2018,MATCH(Q211,$A$19:INDEX($A$19:$A$2018,$H$6),1))+(Q211-INDEX($A$19:$A$2018,MATCH(Q211,$A$19:INDEX($A$19:$A$2018,$H$6),1)))*(INDEX($D$19:$D$2018,MATCH(Q211,$A$19:INDEX($A$19:$A$2018,$H$6),1)+1)-INDEX($D$19:$D$2018,MATCH(Q211,$A$19:INDEX($A$19:$A$2018,$H$6),1)))/(INDEX($A$19:$A$2018,MATCH(Q211,$A$19:INDEX($A$19:$A$2018,$H$6),1)+1)-INDEX($A$19:$A$2018,MATCH(Q211,$A$19:INDEX($A$19:$A$2018,$H$6),1))))))</f>
        <v/>
      </c>
    </row>
    <row r="212">
      <c r="A212" s="11" t="n"/>
      <c r="B212" s="11" t="n"/>
      <c r="C212" s="12">
        <f>IF(A212="","",$B$9*TAN(RADIANS(A212)))</f>
        <v/>
      </c>
      <c r="D212" s="12">
        <f>IF(C212="","",C212*(1+B212/100))</f>
        <v/>
      </c>
      <c r="E212" s="12">
        <f>IF(A212="","",$B$10*TAN(RADIANS(A212)))</f>
        <v/>
      </c>
      <c r="G212" s="8" t="n">
        <v>194</v>
      </c>
      <c r="H212" s="8">
        <f>$K$8</f>
        <v/>
      </c>
      <c r="I212" s="7" t="inlineStr">
        <is>
          <t>豎</t>
        </is>
      </c>
      <c r="J212" s="8" t="n">
        <v>4</v>
      </c>
      <c r="K212" s="7" t="inlineStr">
        <is>
          <t>右上</t>
        </is>
      </c>
      <c r="L212" s="8">
        <f>$O$8+($M$8+$L$8)/2-$M$8/2+$L$8/2+3*2*$L$8+(1)*$L$8/2</f>
        <v/>
      </c>
      <c r="M212" s="8">
        <f>$P$8+(-1)*$M$8/2</f>
        <v/>
      </c>
      <c r="N212" s="8">
        <f>L212-$B$7/2</f>
        <v/>
      </c>
      <c r="O212" s="8">
        <f>M212-$B$8/2</f>
        <v/>
      </c>
      <c r="P212" s="8">
        <f>SQRT(N212^2+O212^2)</f>
        <v/>
      </c>
      <c r="Q212" s="8">
        <f>IF(OR($H$7&lt;&gt;"OK",P212=""),"",IF(P212&lt;=$D$19,$A$19,IF(P212&gt;=INDEX($D$19:$D$2018,$H$6),INDEX($A$19:$A$2018,$H$6),INDEX($A$19:$A$2018,MATCH(P212,$D$19:INDEX($D$19:$D$2018,$H$6),1))+(P212-INDEX($D$19:$D$2018,MATCH(P212,$D$19:INDEX($D$19:$D$2018,$H$6),1)))*(INDEX($A$19:$A$2018,MATCH(P212,$D$19:INDEX($D$19:$D$2018,$H$6),1)+1)-INDEX($A$19:$A$2018,MATCH(P212,$D$19:INDEX($D$19:$D$2018,$H$6),1)))/(INDEX($D$19:$D$2018,MATCH(P212,$D$19:INDEX($D$19:$D$2018,$H$6),1)+1)-INDEX($D$19:$D$2018,MATCH(P212,$D$19:INDEX($D$19:$D$2018,$H$6),1))))))</f>
        <v/>
      </c>
      <c r="R212" s="8">
        <f>IF(P212=0,0,-Y212*N212/P212)</f>
        <v/>
      </c>
      <c r="S212" s="8">
        <f>IF(P212=0,0,Y212*O212/P212)</f>
        <v/>
      </c>
      <c r="T212" s="8">
        <f>IF(Y212=0,$B$7/2,$B$7/2-Z212*R212/Y212)</f>
        <v/>
      </c>
      <c r="U212" s="8">
        <f>IF(Y212=0,$B$8/2,$B$8/2+Z212*S212/Y212)</f>
        <v/>
      </c>
      <c r="V212" s="8">
        <f>SQRT((T212-L212)^2+(U212-M212)^2)</f>
        <v/>
      </c>
      <c r="Y212">
        <f>$B$10*TAN(RADIANS(Q212))</f>
        <v/>
      </c>
      <c r="Z212">
        <f>IF(OR($H$7&lt;&gt;"OK",Q212=""),"",IF(Q212&lt;=$A$19,$D$19,IF(Q212&gt;=INDEX($A$19:$A$2018,$H$6),INDEX($D$19:$D$2018,$H$6),INDEX($D$19:$D$2018,MATCH(Q212,$A$19:INDEX($A$19:$A$2018,$H$6),1))+(Q212-INDEX($A$19:$A$2018,MATCH(Q212,$A$19:INDEX($A$19:$A$2018,$H$6),1)))*(INDEX($D$19:$D$2018,MATCH(Q212,$A$19:INDEX($A$19:$A$2018,$H$6),1)+1)-INDEX($D$19:$D$2018,MATCH(Q212,$A$19:INDEX($A$19:$A$2018,$H$6),1)))/(INDEX($A$19:$A$2018,MATCH(Q212,$A$19:INDEX($A$19:$A$2018,$H$6),1)+1)-INDEX($A$19:$A$2018,MATCH(Q212,$A$19:INDEX($A$19:$A$2018,$H$6),1))))))</f>
        <v/>
      </c>
    </row>
    <row r="213">
      <c r="A213" s="11" t="n"/>
      <c r="B213" s="11" t="n"/>
      <c r="C213" s="12">
        <f>IF(A213="","",$B$9*TAN(RADIANS(A213)))</f>
        <v/>
      </c>
      <c r="D213" s="12">
        <f>IF(C213="","",C213*(1+B213/100))</f>
        <v/>
      </c>
      <c r="E213" s="12">
        <f>IF(A213="","",$B$10*TAN(RADIANS(A213)))</f>
        <v/>
      </c>
      <c r="G213" s="8" t="n">
        <v>195</v>
      </c>
      <c r="H213" s="8">
        <f>$K$8</f>
        <v/>
      </c>
      <c r="I213" s="7" t="inlineStr">
        <is>
          <t>豎</t>
        </is>
      </c>
      <c r="J213" s="8" t="n">
        <v>4</v>
      </c>
      <c r="K213" s="7" t="inlineStr">
        <is>
          <t>右下</t>
        </is>
      </c>
      <c r="L213" s="8">
        <f>$O$8+($M$8+$L$8)/2-$M$8/2+$L$8/2+3*2*$L$8+(1)*$L$8/2</f>
        <v/>
      </c>
      <c r="M213" s="8">
        <f>$P$8+(1)*$M$8/2</f>
        <v/>
      </c>
      <c r="N213" s="8">
        <f>L213-$B$7/2</f>
        <v/>
      </c>
      <c r="O213" s="8">
        <f>M213-$B$8/2</f>
        <v/>
      </c>
      <c r="P213" s="8">
        <f>SQRT(N213^2+O213^2)</f>
        <v/>
      </c>
      <c r="Q213" s="8">
        <f>IF(OR($H$7&lt;&gt;"OK",P213=""),"",IF(P213&lt;=$D$19,$A$19,IF(P213&gt;=INDEX($D$19:$D$2018,$H$6),INDEX($A$19:$A$2018,$H$6),INDEX($A$19:$A$2018,MATCH(P213,$D$19:INDEX($D$19:$D$2018,$H$6),1))+(P213-INDEX($D$19:$D$2018,MATCH(P213,$D$19:INDEX($D$19:$D$2018,$H$6),1)))*(INDEX($A$19:$A$2018,MATCH(P213,$D$19:INDEX($D$19:$D$2018,$H$6),1)+1)-INDEX($A$19:$A$2018,MATCH(P213,$D$19:INDEX($D$19:$D$2018,$H$6),1)))/(INDEX($D$19:$D$2018,MATCH(P213,$D$19:INDEX($D$19:$D$2018,$H$6),1)+1)-INDEX($D$19:$D$2018,MATCH(P213,$D$19:INDEX($D$19:$D$2018,$H$6),1))))))</f>
        <v/>
      </c>
      <c r="R213" s="8">
        <f>IF(P213=0,0,-Y213*N213/P213)</f>
        <v/>
      </c>
      <c r="S213" s="8">
        <f>IF(P213=0,0,Y213*O213/P213)</f>
        <v/>
      </c>
      <c r="T213" s="8">
        <f>IF(Y213=0,$B$7/2,$B$7/2-Z213*R213/Y213)</f>
        <v/>
      </c>
      <c r="U213" s="8">
        <f>IF(Y213=0,$B$8/2,$B$8/2+Z213*S213/Y213)</f>
        <v/>
      </c>
      <c r="V213" s="8">
        <f>SQRT((T213-L213)^2+(U213-M213)^2)</f>
        <v/>
      </c>
      <c r="Y213">
        <f>$B$10*TAN(RADIANS(Q213))</f>
        <v/>
      </c>
      <c r="Z213">
        <f>IF(OR($H$7&lt;&gt;"OK",Q213=""),"",IF(Q213&lt;=$A$19,$D$19,IF(Q213&gt;=INDEX($A$19:$A$2018,$H$6),INDEX($D$19:$D$2018,$H$6),INDEX($D$19:$D$2018,MATCH(Q213,$A$19:INDEX($A$19:$A$2018,$H$6),1))+(Q213-INDEX($A$19:$A$2018,MATCH(Q213,$A$19:INDEX($A$19:$A$2018,$H$6),1)))*(INDEX($D$19:$D$2018,MATCH(Q213,$A$19:INDEX($A$19:$A$2018,$H$6),1)+1)-INDEX($D$19:$D$2018,MATCH(Q213,$A$19:INDEX($A$19:$A$2018,$H$6),1)))/(INDEX($A$19:$A$2018,MATCH(Q213,$A$19:INDEX($A$19:$A$2018,$H$6),1)+1)-INDEX($A$19:$A$2018,MATCH(Q213,$A$19:INDEX($A$19:$A$2018,$H$6),1))))))</f>
        <v/>
      </c>
    </row>
    <row r="214">
      <c r="A214" s="11" t="n"/>
      <c r="B214" s="11" t="n"/>
      <c r="C214" s="12">
        <f>IF(A214="","",$B$9*TAN(RADIANS(A214)))</f>
        <v/>
      </c>
      <c r="D214" s="12">
        <f>IF(C214="","",C214*(1+B214/100))</f>
        <v/>
      </c>
      <c r="E214" s="12">
        <f>IF(A214="","",$B$10*TAN(RADIANS(A214)))</f>
        <v/>
      </c>
      <c r="G214" s="8" t="n">
        <v>196</v>
      </c>
      <c r="H214" s="8">
        <f>$K$8</f>
        <v/>
      </c>
      <c r="I214" s="7" t="inlineStr">
        <is>
          <t>豎</t>
        </is>
      </c>
      <c r="J214" s="8" t="n">
        <v>4</v>
      </c>
      <c r="K214" s="7" t="inlineStr">
        <is>
          <t>左下</t>
        </is>
      </c>
      <c r="L214" s="8">
        <f>$O$8+($M$8+$L$8)/2-$M$8/2+$L$8/2+3*2*$L$8+(-1)*$L$8/2</f>
        <v/>
      </c>
      <c r="M214" s="8">
        <f>$P$8+(1)*$M$8/2</f>
        <v/>
      </c>
      <c r="N214" s="8">
        <f>L214-$B$7/2</f>
        <v/>
      </c>
      <c r="O214" s="8">
        <f>M214-$B$8/2</f>
        <v/>
      </c>
      <c r="P214" s="8">
        <f>SQRT(N214^2+O214^2)</f>
        <v/>
      </c>
      <c r="Q214" s="8">
        <f>IF(OR($H$7&lt;&gt;"OK",P214=""),"",IF(P214&lt;=$D$19,$A$19,IF(P214&gt;=INDEX($D$19:$D$2018,$H$6),INDEX($A$19:$A$2018,$H$6),INDEX($A$19:$A$2018,MATCH(P214,$D$19:INDEX($D$19:$D$2018,$H$6),1))+(P214-INDEX($D$19:$D$2018,MATCH(P214,$D$19:INDEX($D$19:$D$2018,$H$6),1)))*(INDEX($A$19:$A$2018,MATCH(P214,$D$19:INDEX($D$19:$D$2018,$H$6),1)+1)-INDEX($A$19:$A$2018,MATCH(P214,$D$19:INDEX($D$19:$D$2018,$H$6),1)))/(INDEX($D$19:$D$2018,MATCH(P214,$D$19:INDEX($D$19:$D$2018,$H$6),1)+1)-INDEX($D$19:$D$2018,MATCH(P214,$D$19:INDEX($D$19:$D$2018,$H$6),1))))))</f>
        <v/>
      </c>
      <c r="R214" s="8">
        <f>IF(P214=0,0,-Y214*N214/P214)</f>
        <v/>
      </c>
      <c r="S214" s="8">
        <f>IF(P214=0,0,Y214*O214/P214)</f>
        <v/>
      </c>
      <c r="T214" s="8">
        <f>IF(Y214=0,$B$7/2,$B$7/2-Z214*R214/Y214)</f>
        <v/>
      </c>
      <c r="U214" s="8">
        <f>IF(Y214=0,$B$8/2,$B$8/2+Z214*S214/Y214)</f>
        <v/>
      </c>
      <c r="V214" s="8">
        <f>SQRT((T214-L214)^2+(U214-M214)^2)</f>
        <v/>
      </c>
      <c r="Y214">
        <f>$B$10*TAN(RADIANS(Q214))</f>
        <v/>
      </c>
      <c r="Z214">
        <f>IF(OR($H$7&lt;&gt;"OK",Q214=""),"",IF(Q214&lt;=$A$19,$D$19,IF(Q214&gt;=INDEX($A$19:$A$2018,$H$6),INDEX($D$19:$D$2018,$H$6),INDEX($D$19:$D$2018,MATCH(Q214,$A$19:INDEX($A$19:$A$2018,$H$6),1))+(Q214-INDEX($A$19:$A$2018,MATCH(Q214,$A$19:INDEX($A$19:$A$2018,$H$6),1)))*(INDEX($D$19:$D$2018,MATCH(Q214,$A$19:INDEX($A$19:$A$2018,$H$6),1)+1)-INDEX($D$19:$D$2018,MATCH(Q214,$A$19:INDEX($A$19:$A$2018,$H$6),1)))/(INDEX($A$19:$A$2018,MATCH(Q214,$A$19:INDEX($A$19:$A$2018,$H$6),1)+1)-INDEX($A$19:$A$2018,MATCH(Q214,$A$19:INDEX($A$19:$A$2018,$H$6),1))))))</f>
        <v/>
      </c>
    </row>
    <row r="215">
      <c r="A215" s="11" t="n"/>
      <c r="B215" s="11" t="n"/>
      <c r="C215" s="12">
        <f>IF(A215="","",$B$9*TAN(RADIANS(A215)))</f>
        <v/>
      </c>
      <c r="D215" s="12">
        <f>IF(C215="","",C215*(1+B215/100))</f>
        <v/>
      </c>
      <c r="E215" s="12">
        <f>IF(A215="","",$B$10*TAN(RADIANS(A215)))</f>
        <v/>
      </c>
      <c r="G215" s="8" t="n">
        <v>197</v>
      </c>
      <c r="H215" s="8">
        <f>$K$8</f>
        <v/>
      </c>
      <c r="I215" s="7" t="inlineStr">
        <is>
          <t>豎</t>
        </is>
      </c>
      <c r="J215" s="8" t="n">
        <v>5</v>
      </c>
      <c r="K215" s="7" t="inlineStr">
        <is>
          <t>左上</t>
        </is>
      </c>
      <c r="L215" s="8">
        <f>$O$8+($M$8+$L$8)/2-$M$8/2+$L$8/2+4*2*$L$8+(-1)*$L$8/2</f>
        <v/>
      </c>
      <c r="M215" s="8">
        <f>$P$8+(-1)*$M$8/2</f>
        <v/>
      </c>
      <c r="N215" s="8">
        <f>L215-$B$7/2</f>
        <v/>
      </c>
      <c r="O215" s="8">
        <f>M215-$B$8/2</f>
        <v/>
      </c>
      <c r="P215" s="8">
        <f>SQRT(N215^2+O215^2)</f>
        <v/>
      </c>
      <c r="Q215" s="8">
        <f>IF(OR($H$7&lt;&gt;"OK",P215=""),"",IF(P215&lt;=$D$19,$A$19,IF(P215&gt;=INDEX($D$19:$D$2018,$H$6),INDEX($A$19:$A$2018,$H$6),INDEX($A$19:$A$2018,MATCH(P215,$D$19:INDEX($D$19:$D$2018,$H$6),1))+(P215-INDEX($D$19:$D$2018,MATCH(P215,$D$19:INDEX($D$19:$D$2018,$H$6),1)))*(INDEX($A$19:$A$2018,MATCH(P215,$D$19:INDEX($D$19:$D$2018,$H$6),1)+1)-INDEX($A$19:$A$2018,MATCH(P215,$D$19:INDEX($D$19:$D$2018,$H$6),1)))/(INDEX($D$19:$D$2018,MATCH(P215,$D$19:INDEX($D$19:$D$2018,$H$6),1)+1)-INDEX($D$19:$D$2018,MATCH(P215,$D$19:INDEX($D$19:$D$2018,$H$6),1))))))</f>
        <v/>
      </c>
      <c r="R215" s="8">
        <f>IF(P215=0,0,-Y215*N215/P215)</f>
        <v/>
      </c>
      <c r="S215" s="8">
        <f>IF(P215=0,0,Y215*O215/P215)</f>
        <v/>
      </c>
      <c r="T215" s="8">
        <f>IF(Y215=0,$B$7/2,$B$7/2-Z215*R215/Y215)</f>
        <v/>
      </c>
      <c r="U215" s="8">
        <f>IF(Y215=0,$B$8/2,$B$8/2+Z215*S215/Y215)</f>
        <v/>
      </c>
      <c r="V215" s="8">
        <f>SQRT((T215-L215)^2+(U215-M215)^2)</f>
        <v/>
      </c>
      <c r="Y215">
        <f>$B$10*TAN(RADIANS(Q215))</f>
        <v/>
      </c>
      <c r="Z215">
        <f>IF(OR($H$7&lt;&gt;"OK",Q215=""),"",IF(Q215&lt;=$A$19,$D$19,IF(Q215&gt;=INDEX($A$19:$A$2018,$H$6),INDEX($D$19:$D$2018,$H$6),INDEX($D$19:$D$2018,MATCH(Q215,$A$19:INDEX($A$19:$A$2018,$H$6),1))+(Q215-INDEX($A$19:$A$2018,MATCH(Q215,$A$19:INDEX($A$19:$A$2018,$H$6),1)))*(INDEX($D$19:$D$2018,MATCH(Q215,$A$19:INDEX($A$19:$A$2018,$H$6),1)+1)-INDEX($D$19:$D$2018,MATCH(Q215,$A$19:INDEX($A$19:$A$2018,$H$6),1)))/(INDEX($A$19:$A$2018,MATCH(Q215,$A$19:INDEX($A$19:$A$2018,$H$6),1)+1)-INDEX($A$19:$A$2018,MATCH(Q215,$A$19:INDEX($A$19:$A$2018,$H$6),1))))))</f>
        <v/>
      </c>
    </row>
    <row r="216">
      <c r="A216" s="11" t="n"/>
      <c r="B216" s="11" t="n"/>
      <c r="C216" s="12">
        <f>IF(A216="","",$B$9*TAN(RADIANS(A216)))</f>
        <v/>
      </c>
      <c r="D216" s="12">
        <f>IF(C216="","",C216*(1+B216/100))</f>
        <v/>
      </c>
      <c r="E216" s="12">
        <f>IF(A216="","",$B$10*TAN(RADIANS(A216)))</f>
        <v/>
      </c>
      <c r="G216" s="8" t="n">
        <v>198</v>
      </c>
      <c r="H216" s="8">
        <f>$K$8</f>
        <v/>
      </c>
      <c r="I216" s="7" t="inlineStr">
        <is>
          <t>豎</t>
        </is>
      </c>
      <c r="J216" s="8" t="n">
        <v>5</v>
      </c>
      <c r="K216" s="7" t="inlineStr">
        <is>
          <t>右上</t>
        </is>
      </c>
      <c r="L216" s="8">
        <f>$O$8+($M$8+$L$8)/2-$M$8/2+$L$8/2+4*2*$L$8+(1)*$L$8/2</f>
        <v/>
      </c>
      <c r="M216" s="8">
        <f>$P$8+(-1)*$M$8/2</f>
        <v/>
      </c>
      <c r="N216" s="8">
        <f>L216-$B$7/2</f>
        <v/>
      </c>
      <c r="O216" s="8">
        <f>M216-$B$8/2</f>
        <v/>
      </c>
      <c r="P216" s="8">
        <f>SQRT(N216^2+O216^2)</f>
        <v/>
      </c>
      <c r="Q216" s="8">
        <f>IF(OR($H$7&lt;&gt;"OK",P216=""),"",IF(P216&lt;=$D$19,$A$19,IF(P216&gt;=INDEX($D$19:$D$2018,$H$6),INDEX($A$19:$A$2018,$H$6),INDEX($A$19:$A$2018,MATCH(P216,$D$19:INDEX($D$19:$D$2018,$H$6),1))+(P216-INDEX($D$19:$D$2018,MATCH(P216,$D$19:INDEX($D$19:$D$2018,$H$6),1)))*(INDEX($A$19:$A$2018,MATCH(P216,$D$19:INDEX($D$19:$D$2018,$H$6),1)+1)-INDEX($A$19:$A$2018,MATCH(P216,$D$19:INDEX($D$19:$D$2018,$H$6),1)))/(INDEX($D$19:$D$2018,MATCH(P216,$D$19:INDEX($D$19:$D$2018,$H$6),1)+1)-INDEX($D$19:$D$2018,MATCH(P216,$D$19:INDEX($D$19:$D$2018,$H$6),1))))))</f>
        <v/>
      </c>
      <c r="R216" s="8">
        <f>IF(P216=0,0,-Y216*N216/P216)</f>
        <v/>
      </c>
      <c r="S216" s="8">
        <f>IF(P216=0,0,Y216*O216/P216)</f>
        <v/>
      </c>
      <c r="T216" s="8">
        <f>IF(Y216=0,$B$7/2,$B$7/2-Z216*R216/Y216)</f>
        <v/>
      </c>
      <c r="U216" s="8">
        <f>IF(Y216=0,$B$8/2,$B$8/2+Z216*S216/Y216)</f>
        <v/>
      </c>
      <c r="V216" s="8">
        <f>SQRT((T216-L216)^2+(U216-M216)^2)</f>
        <v/>
      </c>
      <c r="Y216">
        <f>$B$10*TAN(RADIANS(Q216))</f>
        <v/>
      </c>
      <c r="Z216">
        <f>IF(OR($H$7&lt;&gt;"OK",Q216=""),"",IF(Q216&lt;=$A$19,$D$19,IF(Q216&gt;=INDEX($A$19:$A$2018,$H$6),INDEX($D$19:$D$2018,$H$6),INDEX($D$19:$D$2018,MATCH(Q216,$A$19:INDEX($A$19:$A$2018,$H$6),1))+(Q216-INDEX($A$19:$A$2018,MATCH(Q216,$A$19:INDEX($A$19:$A$2018,$H$6),1)))*(INDEX($D$19:$D$2018,MATCH(Q216,$A$19:INDEX($A$19:$A$2018,$H$6),1)+1)-INDEX($D$19:$D$2018,MATCH(Q216,$A$19:INDEX($A$19:$A$2018,$H$6),1)))/(INDEX($A$19:$A$2018,MATCH(Q216,$A$19:INDEX($A$19:$A$2018,$H$6),1)+1)-INDEX($A$19:$A$2018,MATCH(Q216,$A$19:INDEX($A$19:$A$2018,$H$6),1))))))</f>
        <v/>
      </c>
    </row>
    <row r="217">
      <c r="A217" s="11" t="n"/>
      <c r="B217" s="11" t="n"/>
      <c r="C217" s="12">
        <f>IF(A217="","",$B$9*TAN(RADIANS(A217)))</f>
        <v/>
      </c>
      <c r="D217" s="12">
        <f>IF(C217="","",C217*(1+B217/100))</f>
        <v/>
      </c>
      <c r="E217" s="12">
        <f>IF(A217="","",$B$10*TAN(RADIANS(A217)))</f>
        <v/>
      </c>
      <c r="G217" s="8" t="n">
        <v>199</v>
      </c>
      <c r="H217" s="8">
        <f>$K$8</f>
        <v/>
      </c>
      <c r="I217" s="7" t="inlineStr">
        <is>
          <t>豎</t>
        </is>
      </c>
      <c r="J217" s="8" t="n">
        <v>5</v>
      </c>
      <c r="K217" s="7" t="inlineStr">
        <is>
          <t>右下</t>
        </is>
      </c>
      <c r="L217" s="8">
        <f>$O$8+($M$8+$L$8)/2-$M$8/2+$L$8/2+4*2*$L$8+(1)*$L$8/2</f>
        <v/>
      </c>
      <c r="M217" s="8">
        <f>$P$8+(1)*$M$8/2</f>
        <v/>
      </c>
      <c r="N217" s="8">
        <f>L217-$B$7/2</f>
        <v/>
      </c>
      <c r="O217" s="8">
        <f>M217-$B$8/2</f>
        <v/>
      </c>
      <c r="P217" s="8">
        <f>SQRT(N217^2+O217^2)</f>
        <v/>
      </c>
      <c r="Q217" s="8">
        <f>IF(OR($H$7&lt;&gt;"OK",P217=""),"",IF(P217&lt;=$D$19,$A$19,IF(P217&gt;=INDEX($D$19:$D$2018,$H$6),INDEX($A$19:$A$2018,$H$6),INDEX($A$19:$A$2018,MATCH(P217,$D$19:INDEX($D$19:$D$2018,$H$6),1))+(P217-INDEX($D$19:$D$2018,MATCH(P217,$D$19:INDEX($D$19:$D$2018,$H$6),1)))*(INDEX($A$19:$A$2018,MATCH(P217,$D$19:INDEX($D$19:$D$2018,$H$6),1)+1)-INDEX($A$19:$A$2018,MATCH(P217,$D$19:INDEX($D$19:$D$2018,$H$6),1)))/(INDEX($D$19:$D$2018,MATCH(P217,$D$19:INDEX($D$19:$D$2018,$H$6),1)+1)-INDEX($D$19:$D$2018,MATCH(P217,$D$19:INDEX($D$19:$D$2018,$H$6),1))))))</f>
        <v/>
      </c>
      <c r="R217" s="8">
        <f>IF(P217=0,0,-Y217*N217/P217)</f>
        <v/>
      </c>
      <c r="S217" s="8">
        <f>IF(P217=0,0,Y217*O217/P217)</f>
        <v/>
      </c>
      <c r="T217" s="8">
        <f>IF(Y217=0,$B$7/2,$B$7/2-Z217*R217/Y217)</f>
        <v/>
      </c>
      <c r="U217" s="8">
        <f>IF(Y217=0,$B$8/2,$B$8/2+Z217*S217/Y217)</f>
        <v/>
      </c>
      <c r="V217" s="8">
        <f>SQRT((T217-L217)^2+(U217-M217)^2)</f>
        <v/>
      </c>
      <c r="Y217">
        <f>$B$10*TAN(RADIANS(Q217))</f>
        <v/>
      </c>
      <c r="Z217">
        <f>IF(OR($H$7&lt;&gt;"OK",Q217=""),"",IF(Q217&lt;=$A$19,$D$19,IF(Q217&gt;=INDEX($A$19:$A$2018,$H$6),INDEX($D$19:$D$2018,$H$6),INDEX($D$19:$D$2018,MATCH(Q217,$A$19:INDEX($A$19:$A$2018,$H$6),1))+(Q217-INDEX($A$19:$A$2018,MATCH(Q217,$A$19:INDEX($A$19:$A$2018,$H$6),1)))*(INDEX($D$19:$D$2018,MATCH(Q217,$A$19:INDEX($A$19:$A$2018,$H$6),1)+1)-INDEX($D$19:$D$2018,MATCH(Q217,$A$19:INDEX($A$19:$A$2018,$H$6),1)))/(INDEX($A$19:$A$2018,MATCH(Q217,$A$19:INDEX($A$19:$A$2018,$H$6),1)+1)-INDEX($A$19:$A$2018,MATCH(Q217,$A$19:INDEX($A$19:$A$2018,$H$6),1))))))</f>
        <v/>
      </c>
    </row>
    <row r="218">
      <c r="A218" s="11" t="n"/>
      <c r="B218" s="11" t="n"/>
      <c r="C218" s="12">
        <f>IF(A218="","",$B$9*TAN(RADIANS(A218)))</f>
        <v/>
      </c>
      <c r="D218" s="12">
        <f>IF(C218="","",C218*(1+B218/100))</f>
        <v/>
      </c>
      <c r="E218" s="12">
        <f>IF(A218="","",$B$10*TAN(RADIANS(A218)))</f>
        <v/>
      </c>
      <c r="G218" s="8" t="n">
        <v>200</v>
      </c>
      <c r="H218" s="8">
        <f>$K$8</f>
        <v/>
      </c>
      <c r="I218" s="7" t="inlineStr">
        <is>
          <t>豎</t>
        </is>
      </c>
      <c r="J218" s="8" t="n">
        <v>5</v>
      </c>
      <c r="K218" s="7" t="inlineStr">
        <is>
          <t>左下</t>
        </is>
      </c>
      <c r="L218" s="8">
        <f>$O$8+($M$8+$L$8)/2-$M$8/2+$L$8/2+4*2*$L$8+(-1)*$L$8/2</f>
        <v/>
      </c>
      <c r="M218" s="8">
        <f>$P$8+(1)*$M$8/2</f>
        <v/>
      </c>
      <c r="N218" s="8">
        <f>L218-$B$7/2</f>
        <v/>
      </c>
      <c r="O218" s="8">
        <f>M218-$B$8/2</f>
        <v/>
      </c>
      <c r="P218" s="8">
        <f>SQRT(N218^2+O218^2)</f>
        <v/>
      </c>
      <c r="Q218" s="8">
        <f>IF(OR($H$7&lt;&gt;"OK",P218=""),"",IF(P218&lt;=$D$19,$A$19,IF(P218&gt;=INDEX($D$19:$D$2018,$H$6),INDEX($A$19:$A$2018,$H$6),INDEX($A$19:$A$2018,MATCH(P218,$D$19:INDEX($D$19:$D$2018,$H$6),1))+(P218-INDEX($D$19:$D$2018,MATCH(P218,$D$19:INDEX($D$19:$D$2018,$H$6),1)))*(INDEX($A$19:$A$2018,MATCH(P218,$D$19:INDEX($D$19:$D$2018,$H$6),1)+1)-INDEX($A$19:$A$2018,MATCH(P218,$D$19:INDEX($D$19:$D$2018,$H$6),1)))/(INDEX($D$19:$D$2018,MATCH(P218,$D$19:INDEX($D$19:$D$2018,$H$6),1)+1)-INDEX($D$19:$D$2018,MATCH(P218,$D$19:INDEX($D$19:$D$2018,$H$6),1))))))</f>
        <v/>
      </c>
      <c r="R218" s="8">
        <f>IF(P218=0,0,-Y218*N218/P218)</f>
        <v/>
      </c>
      <c r="S218" s="8">
        <f>IF(P218=0,0,Y218*O218/P218)</f>
        <v/>
      </c>
      <c r="T218" s="8">
        <f>IF(Y218=0,$B$7/2,$B$7/2-Z218*R218/Y218)</f>
        <v/>
      </c>
      <c r="U218" s="8">
        <f>IF(Y218=0,$B$8/2,$B$8/2+Z218*S218/Y218)</f>
        <v/>
      </c>
      <c r="V218" s="8">
        <f>SQRT((T218-L218)^2+(U218-M218)^2)</f>
        <v/>
      </c>
      <c r="Y218">
        <f>$B$10*TAN(RADIANS(Q218))</f>
        <v/>
      </c>
      <c r="Z218">
        <f>IF(OR($H$7&lt;&gt;"OK",Q218=""),"",IF(Q218&lt;=$A$19,$D$19,IF(Q218&gt;=INDEX($A$19:$A$2018,$H$6),INDEX($D$19:$D$2018,$H$6),INDEX($D$19:$D$2018,MATCH(Q218,$A$19:INDEX($A$19:$A$2018,$H$6),1))+(Q218-INDEX($A$19:$A$2018,MATCH(Q218,$A$19:INDEX($A$19:$A$2018,$H$6),1)))*(INDEX($D$19:$D$2018,MATCH(Q218,$A$19:INDEX($A$19:$A$2018,$H$6),1)+1)-INDEX($D$19:$D$2018,MATCH(Q218,$A$19:INDEX($A$19:$A$2018,$H$6),1)))/(INDEX($A$19:$A$2018,MATCH(Q218,$A$19:INDEX($A$19:$A$2018,$H$6),1)+1)-INDEX($A$19:$A$2018,MATCH(Q218,$A$19:INDEX($A$19:$A$2018,$H$6),1))))))</f>
        <v/>
      </c>
    </row>
    <row r="219">
      <c r="A219" s="11" t="n"/>
      <c r="B219" s="11" t="n"/>
      <c r="C219" s="12">
        <f>IF(A219="","",$B$9*TAN(RADIANS(A219)))</f>
        <v/>
      </c>
      <c r="D219" s="12">
        <f>IF(C219="","",C219*(1+B219/100))</f>
        <v/>
      </c>
      <c r="E219" s="12">
        <f>IF(A219="","",$B$10*TAN(RADIANS(A219)))</f>
        <v/>
      </c>
      <c r="G219" s="8" t="n">
        <v>201</v>
      </c>
      <c r="H219" s="8">
        <f>$K$9</f>
        <v/>
      </c>
      <c r="I219" s="7" t="inlineStr">
        <is>
          <t>橫</t>
        </is>
      </c>
      <c r="J219" s="8" t="n">
        <v>1</v>
      </c>
      <c r="K219" s="7" t="inlineStr">
        <is>
          <t>左上</t>
        </is>
      </c>
      <c r="L219" s="8">
        <f>$O$9-($M$9+$L$9)/2+(-1)*$M$9/2</f>
        <v/>
      </c>
      <c r="M219" s="8">
        <f>$P$9-$M$9/2+$L$9/2+0*2*$L$9+(-1)*$L$9/2</f>
        <v/>
      </c>
      <c r="N219" s="8">
        <f>L219-$B$7/2</f>
        <v/>
      </c>
      <c r="O219" s="8">
        <f>M219-$B$8/2</f>
        <v/>
      </c>
      <c r="P219" s="8">
        <f>SQRT(N219^2+O219^2)</f>
        <v/>
      </c>
      <c r="Q219" s="8">
        <f>IF(OR($H$7&lt;&gt;"OK",P219=""),"",IF(P219&lt;=$D$19,$A$19,IF(P219&gt;=INDEX($D$19:$D$2018,$H$6),INDEX($A$19:$A$2018,$H$6),INDEX($A$19:$A$2018,MATCH(P219,$D$19:INDEX($D$19:$D$2018,$H$6),1))+(P219-INDEX($D$19:$D$2018,MATCH(P219,$D$19:INDEX($D$19:$D$2018,$H$6),1)))*(INDEX($A$19:$A$2018,MATCH(P219,$D$19:INDEX($D$19:$D$2018,$H$6),1)+1)-INDEX($A$19:$A$2018,MATCH(P219,$D$19:INDEX($D$19:$D$2018,$H$6),1)))/(INDEX($D$19:$D$2018,MATCH(P219,$D$19:INDEX($D$19:$D$2018,$H$6),1)+1)-INDEX($D$19:$D$2018,MATCH(P219,$D$19:INDEX($D$19:$D$2018,$H$6),1))))))</f>
        <v/>
      </c>
      <c r="R219" s="8">
        <f>IF(P219=0,0,-Y219*N219/P219)</f>
        <v/>
      </c>
      <c r="S219" s="8">
        <f>IF(P219=0,0,Y219*O219/P219)</f>
        <v/>
      </c>
      <c r="T219" s="8">
        <f>IF(Y219=0,$B$7/2,$B$7/2-Z219*R219/Y219)</f>
        <v/>
      </c>
      <c r="U219" s="8">
        <f>IF(Y219=0,$B$8/2,$B$8/2+Z219*S219/Y219)</f>
        <v/>
      </c>
      <c r="V219" s="8">
        <f>SQRT((T219-L219)^2+(U219-M219)^2)</f>
        <v/>
      </c>
      <c r="Y219">
        <f>$B$10*TAN(RADIANS(Q219))</f>
        <v/>
      </c>
      <c r="Z219">
        <f>IF(OR($H$7&lt;&gt;"OK",Q219=""),"",IF(Q219&lt;=$A$19,$D$19,IF(Q219&gt;=INDEX($A$19:$A$2018,$H$6),INDEX($D$19:$D$2018,$H$6),INDEX($D$19:$D$2018,MATCH(Q219,$A$19:INDEX($A$19:$A$2018,$H$6),1))+(Q219-INDEX($A$19:$A$2018,MATCH(Q219,$A$19:INDEX($A$19:$A$2018,$H$6),1)))*(INDEX($D$19:$D$2018,MATCH(Q219,$A$19:INDEX($A$19:$A$2018,$H$6),1)+1)-INDEX($D$19:$D$2018,MATCH(Q219,$A$19:INDEX($A$19:$A$2018,$H$6),1)))/(INDEX($A$19:$A$2018,MATCH(Q219,$A$19:INDEX($A$19:$A$2018,$H$6),1)+1)-INDEX($A$19:$A$2018,MATCH(Q219,$A$19:INDEX($A$19:$A$2018,$H$6),1))))))</f>
        <v/>
      </c>
    </row>
    <row r="220">
      <c r="A220" s="11" t="n"/>
      <c r="B220" s="11" t="n"/>
      <c r="C220" s="12">
        <f>IF(A220="","",$B$9*TAN(RADIANS(A220)))</f>
        <v/>
      </c>
      <c r="D220" s="12">
        <f>IF(C220="","",C220*(1+B220/100))</f>
        <v/>
      </c>
      <c r="E220" s="12">
        <f>IF(A220="","",$B$10*TAN(RADIANS(A220)))</f>
        <v/>
      </c>
      <c r="G220" s="8" t="n">
        <v>202</v>
      </c>
      <c r="H220" s="8">
        <f>$K$9</f>
        <v/>
      </c>
      <c r="I220" s="7" t="inlineStr">
        <is>
          <t>橫</t>
        </is>
      </c>
      <c r="J220" s="8" t="n">
        <v>1</v>
      </c>
      <c r="K220" s="7" t="inlineStr">
        <is>
          <t>右上</t>
        </is>
      </c>
      <c r="L220" s="8">
        <f>$O$9-($M$9+$L$9)/2+(1)*$M$9/2</f>
        <v/>
      </c>
      <c r="M220" s="8">
        <f>$P$9-$M$9/2+$L$9/2+0*2*$L$9+(-1)*$L$9/2</f>
        <v/>
      </c>
      <c r="N220" s="8">
        <f>L220-$B$7/2</f>
        <v/>
      </c>
      <c r="O220" s="8">
        <f>M220-$B$8/2</f>
        <v/>
      </c>
      <c r="P220" s="8">
        <f>SQRT(N220^2+O220^2)</f>
        <v/>
      </c>
      <c r="Q220" s="8">
        <f>IF(OR($H$7&lt;&gt;"OK",P220=""),"",IF(P220&lt;=$D$19,$A$19,IF(P220&gt;=INDEX($D$19:$D$2018,$H$6),INDEX($A$19:$A$2018,$H$6),INDEX($A$19:$A$2018,MATCH(P220,$D$19:INDEX($D$19:$D$2018,$H$6),1))+(P220-INDEX($D$19:$D$2018,MATCH(P220,$D$19:INDEX($D$19:$D$2018,$H$6),1)))*(INDEX($A$19:$A$2018,MATCH(P220,$D$19:INDEX($D$19:$D$2018,$H$6),1)+1)-INDEX($A$19:$A$2018,MATCH(P220,$D$19:INDEX($D$19:$D$2018,$H$6),1)))/(INDEX($D$19:$D$2018,MATCH(P220,$D$19:INDEX($D$19:$D$2018,$H$6),1)+1)-INDEX($D$19:$D$2018,MATCH(P220,$D$19:INDEX($D$19:$D$2018,$H$6),1))))))</f>
        <v/>
      </c>
      <c r="R220" s="8">
        <f>IF(P220=0,0,-Y220*N220/P220)</f>
        <v/>
      </c>
      <c r="S220" s="8">
        <f>IF(P220=0,0,Y220*O220/P220)</f>
        <v/>
      </c>
      <c r="T220" s="8">
        <f>IF(Y220=0,$B$7/2,$B$7/2-Z220*R220/Y220)</f>
        <v/>
      </c>
      <c r="U220" s="8">
        <f>IF(Y220=0,$B$8/2,$B$8/2+Z220*S220/Y220)</f>
        <v/>
      </c>
      <c r="V220" s="8">
        <f>SQRT((T220-L220)^2+(U220-M220)^2)</f>
        <v/>
      </c>
      <c r="Y220">
        <f>$B$10*TAN(RADIANS(Q220))</f>
        <v/>
      </c>
      <c r="Z220">
        <f>IF(OR($H$7&lt;&gt;"OK",Q220=""),"",IF(Q220&lt;=$A$19,$D$19,IF(Q220&gt;=INDEX($A$19:$A$2018,$H$6),INDEX($D$19:$D$2018,$H$6),INDEX($D$19:$D$2018,MATCH(Q220,$A$19:INDEX($A$19:$A$2018,$H$6),1))+(Q220-INDEX($A$19:$A$2018,MATCH(Q220,$A$19:INDEX($A$19:$A$2018,$H$6),1)))*(INDEX($D$19:$D$2018,MATCH(Q220,$A$19:INDEX($A$19:$A$2018,$H$6),1)+1)-INDEX($D$19:$D$2018,MATCH(Q220,$A$19:INDEX($A$19:$A$2018,$H$6),1)))/(INDEX($A$19:$A$2018,MATCH(Q220,$A$19:INDEX($A$19:$A$2018,$H$6),1)+1)-INDEX($A$19:$A$2018,MATCH(Q220,$A$19:INDEX($A$19:$A$2018,$H$6),1))))))</f>
        <v/>
      </c>
    </row>
    <row r="221">
      <c r="A221" s="11" t="n"/>
      <c r="B221" s="11" t="n"/>
      <c r="C221" s="12">
        <f>IF(A221="","",$B$9*TAN(RADIANS(A221)))</f>
        <v/>
      </c>
      <c r="D221" s="12">
        <f>IF(C221="","",C221*(1+B221/100))</f>
        <v/>
      </c>
      <c r="E221" s="12">
        <f>IF(A221="","",$B$10*TAN(RADIANS(A221)))</f>
        <v/>
      </c>
      <c r="G221" s="8" t="n">
        <v>203</v>
      </c>
      <c r="H221" s="8">
        <f>$K$9</f>
        <v/>
      </c>
      <c r="I221" s="7" t="inlineStr">
        <is>
          <t>橫</t>
        </is>
      </c>
      <c r="J221" s="8" t="n">
        <v>1</v>
      </c>
      <c r="K221" s="7" t="inlineStr">
        <is>
          <t>右下</t>
        </is>
      </c>
      <c r="L221" s="8">
        <f>$O$9-($M$9+$L$9)/2+(1)*$M$9/2</f>
        <v/>
      </c>
      <c r="M221" s="8">
        <f>$P$9-$M$9/2+$L$9/2+0*2*$L$9+(1)*$L$9/2</f>
        <v/>
      </c>
      <c r="N221" s="8">
        <f>L221-$B$7/2</f>
        <v/>
      </c>
      <c r="O221" s="8">
        <f>M221-$B$8/2</f>
        <v/>
      </c>
      <c r="P221" s="8">
        <f>SQRT(N221^2+O221^2)</f>
        <v/>
      </c>
      <c r="Q221" s="8">
        <f>IF(OR($H$7&lt;&gt;"OK",P221=""),"",IF(P221&lt;=$D$19,$A$19,IF(P221&gt;=INDEX($D$19:$D$2018,$H$6),INDEX($A$19:$A$2018,$H$6),INDEX($A$19:$A$2018,MATCH(P221,$D$19:INDEX($D$19:$D$2018,$H$6),1))+(P221-INDEX($D$19:$D$2018,MATCH(P221,$D$19:INDEX($D$19:$D$2018,$H$6),1)))*(INDEX($A$19:$A$2018,MATCH(P221,$D$19:INDEX($D$19:$D$2018,$H$6),1)+1)-INDEX($A$19:$A$2018,MATCH(P221,$D$19:INDEX($D$19:$D$2018,$H$6),1)))/(INDEX($D$19:$D$2018,MATCH(P221,$D$19:INDEX($D$19:$D$2018,$H$6),1)+1)-INDEX($D$19:$D$2018,MATCH(P221,$D$19:INDEX($D$19:$D$2018,$H$6),1))))))</f>
        <v/>
      </c>
      <c r="R221" s="8">
        <f>IF(P221=0,0,-Y221*N221/P221)</f>
        <v/>
      </c>
      <c r="S221" s="8">
        <f>IF(P221=0,0,Y221*O221/P221)</f>
        <v/>
      </c>
      <c r="T221" s="8">
        <f>IF(Y221=0,$B$7/2,$B$7/2-Z221*R221/Y221)</f>
        <v/>
      </c>
      <c r="U221" s="8">
        <f>IF(Y221=0,$B$8/2,$B$8/2+Z221*S221/Y221)</f>
        <v/>
      </c>
      <c r="V221" s="8">
        <f>SQRT((T221-L221)^2+(U221-M221)^2)</f>
        <v/>
      </c>
      <c r="Y221">
        <f>$B$10*TAN(RADIANS(Q221))</f>
        <v/>
      </c>
      <c r="Z221">
        <f>IF(OR($H$7&lt;&gt;"OK",Q221=""),"",IF(Q221&lt;=$A$19,$D$19,IF(Q221&gt;=INDEX($A$19:$A$2018,$H$6),INDEX($D$19:$D$2018,$H$6),INDEX($D$19:$D$2018,MATCH(Q221,$A$19:INDEX($A$19:$A$2018,$H$6),1))+(Q221-INDEX($A$19:$A$2018,MATCH(Q221,$A$19:INDEX($A$19:$A$2018,$H$6),1)))*(INDEX($D$19:$D$2018,MATCH(Q221,$A$19:INDEX($A$19:$A$2018,$H$6),1)+1)-INDEX($D$19:$D$2018,MATCH(Q221,$A$19:INDEX($A$19:$A$2018,$H$6),1)))/(INDEX($A$19:$A$2018,MATCH(Q221,$A$19:INDEX($A$19:$A$2018,$H$6),1)+1)-INDEX($A$19:$A$2018,MATCH(Q221,$A$19:INDEX($A$19:$A$2018,$H$6),1))))))</f>
        <v/>
      </c>
    </row>
    <row r="222">
      <c r="A222" s="11" t="n"/>
      <c r="B222" s="11" t="n"/>
      <c r="C222" s="12">
        <f>IF(A222="","",$B$9*TAN(RADIANS(A222)))</f>
        <v/>
      </c>
      <c r="D222" s="12">
        <f>IF(C222="","",C222*(1+B222/100))</f>
        <v/>
      </c>
      <c r="E222" s="12">
        <f>IF(A222="","",$B$10*TAN(RADIANS(A222)))</f>
        <v/>
      </c>
      <c r="G222" s="8" t="n">
        <v>204</v>
      </c>
      <c r="H222" s="8">
        <f>$K$9</f>
        <v/>
      </c>
      <c r="I222" s="7" t="inlineStr">
        <is>
          <t>橫</t>
        </is>
      </c>
      <c r="J222" s="8" t="n">
        <v>1</v>
      </c>
      <c r="K222" s="7" t="inlineStr">
        <is>
          <t>左下</t>
        </is>
      </c>
      <c r="L222" s="8">
        <f>$O$9-($M$9+$L$9)/2+(-1)*$M$9/2</f>
        <v/>
      </c>
      <c r="M222" s="8">
        <f>$P$9-$M$9/2+$L$9/2+0*2*$L$9+(1)*$L$9/2</f>
        <v/>
      </c>
      <c r="N222" s="8">
        <f>L222-$B$7/2</f>
        <v/>
      </c>
      <c r="O222" s="8">
        <f>M222-$B$8/2</f>
        <v/>
      </c>
      <c r="P222" s="8">
        <f>SQRT(N222^2+O222^2)</f>
        <v/>
      </c>
      <c r="Q222" s="8">
        <f>IF(OR($H$7&lt;&gt;"OK",P222=""),"",IF(P222&lt;=$D$19,$A$19,IF(P222&gt;=INDEX($D$19:$D$2018,$H$6),INDEX($A$19:$A$2018,$H$6),INDEX($A$19:$A$2018,MATCH(P222,$D$19:INDEX($D$19:$D$2018,$H$6),1))+(P222-INDEX($D$19:$D$2018,MATCH(P222,$D$19:INDEX($D$19:$D$2018,$H$6),1)))*(INDEX($A$19:$A$2018,MATCH(P222,$D$19:INDEX($D$19:$D$2018,$H$6),1)+1)-INDEX($A$19:$A$2018,MATCH(P222,$D$19:INDEX($D$19:$D$2018,$H$6),1)))/(INDEX($D$19:$D$2018,MATCH(P222,$D$19:INDEX($D$19:$D$2018,$H$6),1)+1)-INDEX($D$19:$D$2018,MATCH(P222,$D$19:INDEX($D$19:$D$2018,$H$6),1))))))</f>
        <v/>
      </c>
      <c r="R222" s="8">
        <f>IF(P222=0,0,-Y222*N222/P222)</f>
        <v/>
      </c>
      <c r="S222" s="8">
        <f>IF(P222=0,0,Y222*O222/P222)</f>
        <v/>
      </c>
      <c r="T222" s="8">
        <f>IF(Y222=0,$B$7/2,$B$7/2-Z222*R222/Y222)</f>
        <v/>
      </c>
      <c r="U222" s="8">
        <f>IF(Y222=0,$B$8/2,$B$8/2+Z222*S222/Y222)</f>
        <v/>
      </c>
      <c r="V222" s="8">
        <f>SQRT((T222-L222)^2+(U222-M222)^2)</f>
        <v/>
      </c>
      <c r="Y222">
        <f>$B$10*TAN(RADIANS(Q222))</f>
        <v/>
      </c>
      <c r="Z222">
        <f>IF(OR($H$7&lt;&gt;"OK",Q222=""),"",IF(Q222&lt;=$A$19,$D$19,IF(Q222&gt;=INDEX($A$19:$A$2018,$H$6),INDEX($D$19:$D$2018,$H$6),INDEX($D$19:$D$2018,MATCH(Q222,$A$19:INDEX($A$19:$A$2018,$H$6),1))+(Q222-INDEX($A$19:$A$2018,MATCH(Q222,$A$19:INDEX($A$19:$A$2018,$H$6),1)))*(INDEX($D$19:$D$2018,MATCH(Q222,$A$19:INDEX($A$19:$A$2018,$H$6),1)+1)-INDEX($D$19:$D$2018,MATCH(Q222,$A$19:INDEX($A$19:$A$2018,$H$6),1)))/(INDEX($A$19:$A$2018,MATCH(Q222,$A$19:INDEX($A$19:$A$2018,$H$6),1)+1)-INDEX($A$19:$A$2018,MATCH(Q222,$A$19:INDEX($A$19:$A$2018,$H$6),1))))))</f>
        <v/>
      </c>
    </row>
    <row r="223">
      <c r="A223" s="11" t="n"/>
      <c r="B223" s="11" t="n"/>
      <c r="C223" s="12">
        <f>IF(A223="","",$B$9*TAN(RADIANS(A223)))</f>
        <v/>
      </c>
      <c r="D223" s="12">
        <f>IF(C223="","",C223*(1+B223/100))</f>
        <v/>
      </c>
      <c r="E223" s="12">
        <f>IF(A223="","",$B$10*TAN(RADIANS(A223)))</f>
        <v/>
      </c>
      <c r="G223" s="8" t="n">
        <v>205</v>
      </c>
      <c r="H223" s="8">
        <f>$K$9</f>
        <v/>
      </c>
      <c r="I223" s="7" t="inlineStr">
        <is>
          <t>橫</t>
        </is>
      </c>
      <c r="J223" s="8" t="n">
        <v>2</v>
      </c>
      <c r="K223" s="7" t="inlineStr">
        <is>
          <t>左上</t>
        </is>
      </c>
      <c r="L223" s="8">
        <f>$O$9-($M$9+$L$9)/2+(-1)*$M$9/2</f>
        <v/>
      </c>
      <c r="M223" s="8">
        <f>$P$9-$M$9/2+$L$9/2+1*2*$L$9+(-1)*$L$9/2</f>
        <v/>
      </c>
      <c r="N223" s="8">
        <f>L223-$B$7/2</f>
        <v/>
      </c>
      <c r="O223" s="8">
        <f>M223-$B$8/2</f>
        <v/>
      </c>
      <c r="P223" s="8">
        <f>SQRT(N223^2+O223^2)</f>
        <v/>
      </c>
      <c r="Q223" s="8">
        <f>IF(OR($H$7&lt;&gt;"OK",P223=""),"",IF(P223&lt;=$D$19,$A$19,IF(P223&gt;=INDEX($D$19:$D$2018,$H$6),INDEX($A$19:$A$2018,$H$6),INDEX($A$19:$A$2018,MATCH(P223,$D$19:INDEX($D$19:$D$2018,$H$6),1))+(P223-INDEX($D$19:$D$2018,MATCH(P223,$D$19:INDEX($D$19:$D$2018,$H$6),1)))*(INDEX($A$19:$A$2018,MATCH(P223,$D$19:INDEX($D$19:$D$2018,$H$6),1)+1)-INDEX($A$19:$A$2018,MATCH(P223,$D$19:INDEX($D$19:$D$2018,$H$6),1)))/(INDEX($D$19:$D$2018,MATCH(P223,$D$19:INDEX($D$19:$D$2018,$H$6),1)+1)-INDEX($D$19:$D$2018,MATCH(P223,$D$19:INDEX($D$19:$D$2018,$H$6),1))))))</f>
        <v/>
      </c>
      <c r="R223" s="8">
        <f>IF(P223=0,0,-Y223*N223/P223)</f>
        <v/>
      </c>
      <c r="S223" s="8">
        <f>IF(P223=0,0,Y223*O223/P223)</f>
        <v/>
      </c>
      <c r="T223" s="8">
        <f>IF(Y223=0,$B$7/2,$B$7/2-Z223*R223/Y223)</f>
        <v/>
      </c>
      <c r="U223" s="8">
        <f>IF(Y223=0,$B$8/2,$B$8/2+Z223*S223/Y223)</f>
        <v/>
      </c>
      <c r="V223" s="8">
        <f>SQRT((T223-L223)^2+(U223-M223)^2)</f>
        <v/>
      </c>
      <c r="Y223">
        <f>$B$10*TAN(RADIANS(Q223))</f>
        <v/>
      </c>
      <c r="Z223">
        <f>IF(OR($H$7&lt;&gt;"OK",Q223=""),"",IF(Q223&lt;=$A$19,$D$19,IF(Q223&gt;=INDEX($A$19:$A$2018,$H$6),INDEX($D$19:$D$2018,$H$6),INDEX($D$19:$D$2018,MATCH(Q223,$A$19:INDEX($A$19:$A$2018,$H$6),1))+(Q223-INDEX($A$19:$A$2018,MATCH(Q223,$A$19:INDEX($A$19:$A$2018,$H$6),1)))*(INDEX($D$19:$D$2018,MATCH(Q223,$A$19:INDEX($A$19:$A$2018,$H$6),1)+1)-INDEX($D$19:$D$2018,MATCH(Q223,$A$19:INDEX($A$19:$A$2018,$H$6),1)))/(INDEX($A$19:$A$2018,MATCH(Q223,$A$19:INDEX($A$19:$A$2018,$H$6),1)+1)-INDEX($A$19:$A$2018,MATCH(Q223,$A$19:INDEX($A$19:$A$2018,$H$6),1))))))</f>
        <v/>
      </c>
    </row>
    <row r="224">
      <c r="A224" s="11" t="n"/>
      <c r="B224" s="11" t="n"/>
      <c r="C224" s="12">
        <f>IF(A224="","",$B$9*TAN(RADIANS(A224)))</f>
        <v/>
      </c>
      <c r="D224" s="12">
        <f>IF(C224="","",C224*(1+B224/100))</f>
        <v/>
      </c>
      <c r="E224" s="12">
        <f>IF(A224="","",$B$10*TAN(RADIANS(A224)))</f>
        <v/>
      </c>
      <c r="G224" s="8" t="n">
        <v>206</v>
      </c>
      <c r="H224" s="8">
        <f>$K$9</f>
        <v/>
      </c>
      <c r="I224" s="7" t="inlineStr">
        <is>
          <t>橫</t>
        </is>
      </c>
      <c r="J224" s="8" t="n">
        <v>2</v>
      </c>
      <c r="K224" s="7" t="inlineStr">
        <is>
          <t>右上</t>
        </is>
      </c>
      <c r="L224" s="8">
        <f>$O$9-($M$9+$L$9)/2+(1)*$M$9/2</f>
        <v/>
      </c>
      <c r="M224" s="8">
        <f>$P$9-$M$9/2+$L$9/2+1*2*$L$9+(-1)*$L$9/2</f>
        <v/>
      </c>
      <c r="N224" s="8">
        <f>L224-$B$7/2</f>
        <v/>
      </c>
      <c r="O224" s="8">
        <f>M224-$B$8/2</f>
        <v/>
      </c>
      <c r="P224" s="8">
        <f>SQRT(N224^2+O224^2)</f>
        <v/>
      </c>
      <c r="Q224" s="8">
        <f>IF(OR($H$7&lt;&gt;"OK",P224=""),"",IF(P224&lt;=$D$19,$A$19,IF(P224&gt;=INDEX($D$19:$D$2018,$H$6),INDEX($A$19:$A$2018,$H$6),INDEX($A$19:$A$2018,MATCH(P224,$D$19:INDEX($D$19:$D$2018,$H$6),1))+(P224-INDEX($D$19:$D$2018,MATCH(P224,$D$19:INDEX($D$19:$D$2018,$H$6),1)))*(INDEX($A$19:$A$2018,MATCH(P224,$D$19:INDEX($D$19:$D$2018,$H$6),1)+1)-INDEX($A$19:$A$2018,MATCH(P224,$D$19:INDEX($D$19:$D$2018,$H$6),1)))/(INDEX($D$19:$D$2018,MATCH(P224,$D$19:INDEX($D$19:$D$2018,$H$6),1)+1)-INDEX($D$19:$D$2018,MATCH(P224,$D$19:INDEX($D$19:$D$2018,$H$6),1))))))</f>
        <v/>
      </c>
      <c r="R224" s="8">
        <f>IF(P224=0,0,-Y224*N224/P224)</f>
        <v/>
      </c>
      <c r="S224" s="8">
        <f>IF(P224=0,0,Y224*O224/P224)</f>
        <v/>
      </c>
      <c r="T224" s="8">
        <f>IF(Y224=0,$B$7/2,$B$7/2-Z224*R224/Y224)</f>
        <v/>
      </c>
      <c r="U224" s="8">
        <f>IF(Y224=0,$B$8/2,$B$8/2+Z224*S224/Y224)</f>
        <v/>
      </c>
      <c r="V224" s="8">
        <f>SQRT((T224-L224)^2+(U224-M224)^2)</f>
        <v/>
      </c>
      <c r="Y224">
        <f>$B$10*TAN(RADIANS(Q224))</f>
        <v/>
      </c>
      <c r="Z224">
        <f>IF(OR($H$7&lt;&gt;"OK",Q224=""),"",IF(Q224&lt;=$A$19,$D$19,IF(Q224&gt;=INDEX($A$19:$A$2018,$H$6),INDEX($D$19:$D$2018,$H$6),INDEX($D$19:$D$2018,MATCH(Q224,$A$19:INDEX($A$19:$A$2018,$H$6),1))+(Q224-INDEX($A$19:$A$2018,MATCH(Q224,$A$19:INDEX($A$19:$A$2018,$H$6),1)))*(INDEX($D$19:$D$2018,MATCH(Q224,$A$19:INDEX($A$19:$A$2018,$H$6),1)+1)-INDEX($D$19:$D$2018,MATCH(Q224,$A$19:INDEX($A$19:$A$2018,$H$6),1)))/(INDEX($A$19:$A$2018,MATCH(Q224,$A$19:INDEX($A$19:$A$2018,$H$6),1)+1)-INDEX($A$19:$A$2018,MATCH(Q224,$A$19:INDEX($A$19:$A$2018,$H$6),1))))))</f>
        <v/>
      </c>
    </row>
    <row r="225">
      <c r="A225" s="11" t="n"/>
      <c r="B225" s="11" t="n"/>
      <c r="C225" s="12">
        <f>IF(A225="","",$B$9*TAN(RADIANS(A225)))</f>
        <v/>
      </c>
      <c r="D225" s="12">
        <f>IF(C225="","",C225*(1+B225/100))</f>
        <v/>
      </c>
      <c r="E225" s="12">
        <f>IF(A225="","",$B$10*TAN(RADIANS(A225)))</f>
        <v/>
      </c>
      <c r="G225" s="8" t="n">
        <v>207</v>
      </c>
      <c r="H225" s="8">
        <f>$K$9</f>
        <v/>
      </c>
      <c r="I225" s="7" t="inlineStr">
        <is>
          <t>橫</t>
        </is>
      </c>
      <c r="J225" s="8" t="n">
        <v>2</v>
      </c>
      <c r="K225" s="7" t="inlineStr">
        <is>
          <t>右下</t>
        </is>
      </c>
      <c r="L225" s="8">
        <f>$O$9-($M$9+$L$9)/2+(1)*$M$9/2</f>
        <v/>
      </c>
      <c r="M225" s="8">
        <f>$P$9-$M$9/2+$L$9/2+1*2*$L$9+(1)*$L$9/2</f>
        <v/>
      </c>
      <c r="N225" s="8">
        <f>L225-$B$7/2</f>
        <v/>
      </c>
      <c r="O225" s="8">
        <f>M225-$B$8/2</f>
        <v/>
      </c>
      <c r="P225" s="8">
        <f>SQRT(N225^2+O225^2)</f>
        <v/>
      </c>
      <c r="Q225" s="8">
        <f>IF(OR($H$7&lt;&gt;"OK",P225=""),"",IF(P225&lt;=$D$19,$A$19,IF(P225&gt;=INDEX($D$19:$D$2018,$H$6),INDEX($A$19:$A$2018,$H$6),INDEX($A$19:$A$2018,MATCH(P225,$D$19:INDEX($D$19:$D$2018,$H$6),1))+(P225-INDEX($D$19:$D$2018,MATCH(P225,$D$19:INDEX($D$19:$D$2018,$H$6),1)))*(INDEX($A$19:$A$2018,MATCH(P225,$D$19:INDEX($D$19:$D$2018,$H$6),1)+1)-INDEX($A$19:$A$2018,MATCH(P225,$D$19:INDEX($D$19:$D$2018,$H$6),1)))/(INDEX($D$19:$D$2018,MATCH(P225,$D$19:INDEX($D$19:$D$2018,$H$6),1)+1)-INDEX($D$19:$D$2018,MATCH(P225,$D$19:INDEX($D$19:$D$2018,$H$6),1))))))</f>
        <v/>
      </c>
      <c r="R225" s="8">
        <f>IF(P225=0,0,-Y225*N225/P225)</f>
        <v/>
      </c>
      <c r="S225" s="8">
        <f>IF(P225=0,0,Y225*O225/P225)</f>
        <v/>
      </c>
      <c r="T225" s="8">
        <f>IF(Y225=0,$B$7/2,$B$7/2-Z225*R225/Y225)</f>
        <v/>
      </c>
      <c r="U225" s="8">
        <f>IF(Y225=0,$B$8/2,$B$8/2+Z225*S225/Y225)</f>
        <v/>
      </c>
      <c r="V225" s="8">
        <f>SQRT((T225-L225)^2+(U225-M225)^2)</f>
        <v/>
      </c>
      <c r="Y225">
        <f>$B$10*TAN(RADIANS(Q225))</f>
        <v/>
      </c>
      <c r="Z225">
        <f>IF(OR($H$7&lt;&gt;"OK",Q225=""),"",IF(Q225&lt;=$A$19,$D$19,IF(Q225&gt;=INDEX($A$19:$A$2018,$H$6),INDEX($D$19:$D$2018,$H$6),INDEX($D$19:$D$2018,MATCH(Q225,$A$19:INDEX($A$19:$A$2018,$H$6),1))+(Q225-INDEX($A$19:$A$2018,MATCH(Q225,$A$19:INDEX($A$19:$A$2018,$H$6),1)))*(INDEX($D$19:$D$2018,MATCH(Q225,$A$19:INDEX($A$19:$A$2018,$H$6),1)+1)-INDEX($D$19:$D$2018,MATCH(Q225,$A$19:INDEX($A$19:$A$2018,$H$6),1)))/(INDEX($A$19:$A$2018,MATCH(Q225,$A$19:INDEX($A$19:$A$2018,$H$6),1)+1)-INDEX($A$19:$A$2018,MATCH(Q225,$A$19:INDEX($A$19:$A$2018,$H$6),1))))))</f>
        <v/>
      </c>
    </row>
    <row r="226">
      <c r="A226" s="11" t="n"/>
      <c r="B226" s="11" t="n"/>
      <c r="C226" s="12">
        <f>IF(A226="","",$B$9*TAN(RADIANS(A226)))</f>
        <v/>
      </c>
      <c r="D226" s="12">
        <f>IF(C226="","",C226*(1+B226/100))</f>
        <v/>
      </c>
      <c r="E226" s="12">
        <f>IF(A226="","",$B$10*TAN(RADIANS(A226)))</f>
        <v/>
      </c>
      <c r="G226" s="8" t="n">
        <v>208</v>
      </c>
      <c r="H226" s="8">
        <f>$K$9</f>
        <v/>
      </c>
      <c r="I226" s="7" t="inlineStr">
        <is>
          <t>橫</t>
        </is>
      </c>
      <c r="J226" s="8" t="n">
        <v>2</v>
      </c>
      <c r="K226" s="7" t="inlineStr">
        <is>
          <t>左下</t>
        </is>
      </c>
      <c r="L226" s="8">
        <f>$O$9-($M$9+$L$9)/2+(-1)*$M$9/2</f>
        <v/>
      </c>
      <c r="M226" s="8">
        <f>$P$9-$M$9/2+$L$9/2+1*2*$L$9+(1)*$L$9/2</f>
        <v/>
      </c>
      <c r="N226" s="8">
        <f>L226-$B$7/2</f>
        <v/>
      </c>
      <c r="O226" s="8">
        <f>M226-$B$8/2</f>
        <v/>
      </c>
      <c r="P226" s="8">
        <f>SQRT(N226^2+O226^2)</f>
        <v/>
      </c>
      <c r="Q226" s="8">
        <f>IF(OR($H$7&lt;&gt;"OK",P226=""),"",IF(P226&lt;=$D$19,$A$19,IF(P226&gt;=INDEX($D$19:$D$2018,$H$6),INDEX($A$19:$A$2018,$H$6),INDEX($A$19:$A$2018,MATCH(P226,$D$19:INDEX($D$19:$D$2018,$H$6),1))+(P226-INDEX($D$19:$D$2018,MATCH(P226,$D$19:INDEX($D$19:$D$2018,$H$6),1)))*(INDEX($A$19:$A$2018,MATCH(P226,$D$19:INDEX($D$19:$D$2018,$H$6),1)+1)-INDEX($A$19:$A$2018,MATCH(P226,$D$19:INDEX($D$19:$D$2018,$H$6),1)))/(INDEX($D$19:$D$2018,MATCH(P226,$D$19:INDEX($D$19:$D$2018,$H$6),1)+1)-INDEX($D$19:$D$2018,MATCH(P226,$D$19:INDEX($D$19:$D$2018,$H$6),1))))))</f>
        <v/>
      </c>
      <c r="R226" s="8">
        <f>IF(P226=0,0,-Y226*N226/P226)</f>
        <v/>
      </c>
      <c r="S226" s="8">
        <f>IF(P226=0,0,Y226*O226/P226)</f>
        <v/>
      </c>
      <c r="T226" s="8">
        <f>IF(Y226=0,$B$7/2,$B$7/2-Z226*R226/Y226)</f>
        <v/>
      </c>
      <c r="U226" s="8">
        <f>IF(Y226=0,$B$8/2,$B$8/2+Z226*S226/Y226)</f>
        <v/>
      </c>
      <c r="V226" s="8">
        <f>SQRT((T226-L226)^2+(U226-M226)^2)</f>
        <v/>
      </c>
      <c r="Y226">
        <f>$B$10*TAN(RADIANS(Q226))</f>
        <v/>
      </c>
      <c r="Z226">
        <f>IF(OR($H$7&lt;&gt;"OK",Q226=""),"",IF(Q226&lt;=$A$19,$D$19,IF(Q226&gt;=INDEX($A$19:$A$2018,$H$6),INDEX($D$19:$D$2018,$H$6),INDEX($D$19:$D$2018,MATCH(Q226,$A$19:INDEX($A$19:$A$2018,$H$6),1))+(Q226-INDEX($A$19:$A$2018,MATCH(Q226,$A$19:INDEX($A$19:$A$2018,$H$6),1)))*(INDEX($D$19:$D$2018,MATCH(Q226,$A$19:INDEX($A$19:$A$2018,$H$6),1)+1)-INDEX($D$19:$D$2018,MATCH(Q226,$A$19:INDEX($A$19:$A$2018,$H$6),1)))/(INDEX($A$19:$A$2018,MATCH(Q226,$A$19:INDEX($A$19:$A$2018,$H$6),1)+1)-INDEX($A$19:$A$2018,MATCH(Q226,$A$19:INDEX($A$19:$A$2018,$H$6),1))))))</f>
        <v/>
      </c>
    </row>
    <row r="227">
      <c r="A227" s="11" t="n"/>
      <c r="B227" s="11" t="n"/>
      <c r="C227" s="12">
        <f>IF(A227="","",$B$9*TAN(RADIANS(A227)))</f>
        <v/>
      </c>
      <c r="D227" s="12">
        <f>IF(C227="","",C227*(1+B227/100))</f>
        <v/>
      </c>
      <c r="E227" s="12">
        <f>IF(A227="","",$B$10*TAN(RADIANS(A227)))</f>
        <v/>
      </c>
      <c r="G227" s="8" t="n">
        <v>209</v>
      </c>
      <c r="H227" s="8">
        <f>$K$9</f>
        <v/>
      </c>
      <c r="I227" s="7" t="inlineStr">
        <is>
          <t>橫</t>
        </is>
      </c>
      <c r="J227" s="8" t="n">
        <v>3</v>
      </c>
      <c r="K227" s="7" t="inlineStr">
        <is>
          <t>左上</t>
        </is>
      </c>
      <c r="L227" s="8">
        <f>$O$9-($M$9+$L$9)/2+(-1)*$M$9/2</f>
        <v/>
      </c>
      <c r="M227" s="8">
        <f>$P$9-$M$9/2+$L$9/2+2*2*$L$9+(-1)*$L$9/2</f>
        <v/>
      </c>
      <c r="N227" s="8">
        <f>L227-$B$7/2</f>
        <v/>
      </c>
      <c r="O227" s="8">
        <f>M227-$B$8/2</f>
        <v/>
      </c>
      <c r="P227" s="8">
        <f>SQRT(N227^2+O227^2)</f>
        <v/>
      </c>
      <c r="Q227" s="8">
        <f>IF(OR($H$7&lt;&gt;"OK",P227=""),"",IF(P227&lt;=$D$19,$A$19,IF(P227&gt;=INDEX($D$19:$D$2018,$H$6),INDEX($A$19:$A$2018,$H$6),INDEX($A$19:$A$2018,MATCH(P227,$D$19:INDEX($D$19:$D$2018,$H$6),1))+(P227-INDEX($D$19:$D$2018,MATCH(P227,$D$19:INDEX($D$19:$D$2018,$H$6),1)))*(INDEX($A$19:$A$2018,MATCH(P227,$D$19:INDEX($D$19:$D$2018,$H$6),1)+1)-INDEX($A$19:$A$2018,MATCH(P227,$D$19:INDEX($D$19:$D$2018,$H$6),1)))/(INDEX($D$19:$D$2018,MATCH(P227,$D$19:INDEX($D$19:$D$2018,$H$6),1)+1)-INDEX($D$19:$D$2018,MATCH(P227,$D$19:INDEX($D$19:$D$2018,$H$6),1))))))</f>
        <v/>
      </c>
      <c r="R227" s="8">
        <f>IF(P227=0,0,-Y227*N227/P227)</f>
        <v/>
      </c>
      <c r="S227" s="8">
        <f>IF(P227=0,0,Y227*O227/P227)</f>
        <v/>
      </c>
      <c r="T227" s="8">
        <f>IF(Y227=0,$B$7/2,$B$7/2-Z227*R227/Y227)</f>
        <v/>
      </c>
      <c r="U227" s="8">
        <f>IF(Y227=0,$B$8/2,$B$8/2+Z227*S227/Y227)</f>
        <v/>
      </c>
      <c r="V227" s="8">
        <f>SQRT((T227-L227)^2+(U227-M227)^2)</f>
        <v/>
      </c>
      <c r="Y227">
        <f>$B$10*TAN(RADIANS(Q227))</f>
        <v/>
      </c>
      <c r="Z227">
        <f>IF(OR($H$7&lt;&gt;"OK",Q227=""),"",IF(Q227&lt;=$A$19,$D$19,IF(Q227&gt;=INDEX($A$19:$A$2018,$H$6),INDEX($D$19:$D$2018,$H$6),INDEX($D$19:$D$2018,MATCH(Q227,$A$19:INDEX($A$19:$A$2018,$H$6),1))+(Q227-INDEX($A$19:$A$2018,MATCH(Q227,$A$19:INDEX($A$19:$A$2018,$H$6),1)))*(INDEX($D$19:$D$2018,MATCH(Q227,$A$19:INDEX($A$19:$A$2018,$H$6),1)+1)-INDEX($D$19:$D$2018,MATCH(Q227,$A$19:INDEX($A$19:$A$2018,$H$6),1)))/(INDEX($A$19:$A$2018,MATCH(Q227,$A$19:INDEX($A$19:$A$2018,$H$6),1)+1)-INDEX($A$19:$A$2018,MATCH(Q227,$A$19:INDEX($A$19:$A$2018,$H$6),1))))))</f>
        <v/>
      </c>
    </row>
    <row r="228">
      <c r="A228" s="11" t="n"/>
      <c r="B228" s="11" t="n"/>
      <c r="C228" s="12">
        <f>IF(A228="","",$B$9*TAN(RADIANS(A228)))</f>
        <v/>
      </c>
      <c r="D228" s="12">
        <f>IF(C228="","",C228*(1+B228/100))</f>
        <v/>
      </c>
      <c r="E228" s="12">
        <f>IF(A228="","",$B$10*TAN(RADIANS(A228)))</f>
        <v/>
      </c>
      <c r="G228" s="8" t="n">
        <v>210</v>
      </c>
      <c r="H228" s="8">
        <f>$K$9</f>
        <v/>
      </c>
      <c r="I228" s="7" t="inlineStr">
        <is>
          <t>橫</t>
        </is>
      </c>
      <c r="J228" s="8" t="n">
        <v>3</v>
      </c>
      <c r="K228" s="7" t="inlineStr">
        <is>
          <t>右上</t>
        </is>
      </c>
      <c r="L228" s="8">
        <f>$O$9-($M$9+$L$9)/2+(1)*$M$9/2</f>
        <v/>
      </c>
      <c r="M228" s="8">
        <f>$P$9-$M$9/2+$L$9/2+2*2*$L$9+(-1)*$L$9/2</f>
        <v/>
      </c>
      <c r="N228" s="8">
        <f>L228-$B$7/2</f>
        <v/>
      </c>
      <c r="O228" s="8">
        <f>M228-$B$8/2</f>
        <v/>
      </c>
      <c r="P228" s="8">
        <f>SQRT(N228^2+O228^2)</f>
        <v/>
      </c>
      <c r="Q228" s="8">
        <f>IF(OR($H$7&lt;&gt;"OK",P228=""),"",IF(P228&lt;=$D$19,$A$19,IF(P228&gt;=INDEX($D$19:$D$2018,$H$6),INDEX($A$19:$A$2018,$H$6),INDEX($A$19:$A$2018,MATCH(P228,$D$19:INDEX($D$19:$D$2018,$H$6),1))+(P228-INDEX($D$19:$D$2018,MATCH(P228,$D$19:INDEX($D$19:$D$2018,$H$6),1)))*(INDEX($A$19:$A$2018,MATCH(P228,$D$19:INDEX($D$19:$D$2018,$H$6),1)+1)-INDEX($A$19:$A$2018,MATCH(P228,$D$19:INDEX($D$19:$D$2018,$H$6),1)))/(INDEX($D$19:$D$2018,MATCH(P228,$D$19:INDEX($D$19:$D$2018,$H$6),1)+1)-INDEX($D$19:$D$2018,MATCH(P228,$D$19:INDEX($D$19:$D$2018,$H$6),1))))))</f>
        <v/>
      </c>
      <c r="R228" s="8">
        <f>IF(P228=0,0,-Y228*N228/P228)</f>
        <v/>
      </c>
      <c r="S228" s="8">
        <f>IF(P228=0,0,Y228*O228/P228)</f>
        <v/>
      </c>
      <c r="T228" s="8">
        <f>IF(Y228=0,$B$7/2,$B$7/2-Z228*R228/Y228)</f>
        <v/>
      </c>
      <c r="U228" s="8">
        <f>IF(Y228=0,$B$8/2,$B$8/2+Z228*S228/Y228)</f>
        <v/>
      </c>
      <c r="V228" s="8">
        <f>SQRT((T228-L228)^2+(U228-M228)^2)</f>
        <v/>
      </c>
      <c r="Y228">
        <f>$B$10*TAN(RADIANS(Q228))</f>
        <v/>
      </c>
      <c r="Z228">
        <f>IF(OR($H$7&lt;&gt;"OK",Q228=""),"",IF(Q228&lt;=$A$19,$D$19,IF(Q228&gt;=INDEX($A$19:$A$2018,$H$6),INDEX($D$19:$D$2018,$H$6),INDEX($D$19:$D$2018,MATCH(Q228,$A$19:INDEX($A$19:$A$2018,$H$6),1))+(Q228-INDEX($A$19:$A$2018,MATCH(Q228,$A$19:INDEX($A$19:$A$2018,$H$6),1)))*(INDEX($D$19:$D$2018,MATCH(Q228,$A$19:INDEX($A$19:$A$2018,$H$6),1)+1)-INDEX($D$19:$D$2018,MATCH(Q228,$A$19:INDEX($A$19:$A$2018,$H$6),1)))/(INDEX($A$19:$A$2018,MATCH(Q228,$A$19:INDEX($A$19:$A$2018,$H$6),1)+1)-INDEX($A$19:$A$2018,MATCH(Q228,$A$19:INDEX($A$19:$A$2018,$H$6),1))))))</f>
        <v/>
      </c>
    </row>
    <row r="229">
      <c r="A229" s="11" t="n"/>
      <c r="B229" s="11" t="n"/>
      <c r="C229" s="12">
        <f>IF(A229="","",$B$9*TAN(RADIANS(A229)))</f>
        <v/>
      </c>
      <c r="D229" s="12">
        <f>IF(C229="","",C229*(1+B229/100))</f>
        <v/>
      </c>
      <c r="E229" s="12">
        <f>IF(A229="","",$B$10*TAN(RADIANS(A229)))</f>
        <v/>
      </c>
      <c r="G229" s="8" t="n">
        <v>211</v>
      </c>
      <c r="H229" s="8">
        <f>$K$9</f>
        <v/>
      </c>
      <c r="I229" s="7" t="inlineStr">
        <is>
          <t>橫</t>
        </is>
      </c>
      <c r="J229" s="8" t="n">
        <v>3</v>
      </c>
      <c r="K229" s="7" t="inlineStr">
        <is>
          <t>右下</t>
        </is>
      </c>
      <c r="L229" s="8">
        <f>$O$9-($M$9+$L$9)/2+(1)*$M$9/2</f>
        <v/>
      </c>
      <c r="M229" s="8">
        <f>$P$9-$M$9/2+$L$9/2+2*2*$L$9+(1)*$L$9/2</f>
        <v/>
      </c>
      <c r="N229" s="8">
        <f>L229-$B$7/2</f>
        <v/>
      </c>
      <c r="O229" s="8">
        <f>M229-$B$8/2</f>
        <v/>
      </c>
      <c r="P229" s="8">
        <f>SQRT(N229^2+O229^2)</f>
        <v/>
      </c>
      <c r="Q229" s="8">
        <f>IF(OR($H$7&lt;&gt;"OK",P229=""),"",IF(P229&lt;=$D$19,$A$19,IF(P229&gt;=INDEX($D$19:$D$2018,$H$6),INDEX($A$19:$A$2018,$H$6),INDEX($A$19:$A$2018,MATCH(P229,$D$19:INDEX($D$19:$D$2018,$H$6),1))+(P229-INDEX($D$19:$D$2018,MATCH(P229,$D$19:INDEX($D$19:$D$2018,$H$6),1)))*(INDEX($A$19:$A$2018,MATCH(P229,$D$19:INDEX($D$19:$D$2018,$H$6),1)+1)-INDEX($A$19:$A$2018,MATCH(P229,$D$19:INDEX($D$19:$D$2018,$H$6),1)))/(INDEX($D$19:$D$2018,MATCH(P229,$D$19:INDEX($D$19:$D$2018,$H$6),1)+1)-INDEX($D$19:$D$2018,MATCH(P229,$D$19:INDEX($D$19:$D$2018,$H$6),1))))))</f>
        <v/>
      </c>
      <c r="R229" s="8">
        <f>IF(P229=0,0,-Y229*N229/P229)</f>
        <v/>
      </c>
      <c r="S229" s="8">
        <f>IF(P229=0,0,Y229*O229/P229)</f>
        <v/>
      </c>
      <c r="T229" s="8">
        <f>IF(Y229=0,$B$7/2,$B$7/2-Z229*R229/Y229)</f>
        <v/>
      </c>
      <c r="U229" s="8">
        <f>IF(Y229=0,$B$8/2,$B$8/2+Z229*S229/Y229)</f>
        <v/>
      </c>
      <c r="V229" s="8">
        <f>SQRT((T229-L229)^2+(U229-M229)^2)</f>
        <v/>
      </c>
      <c r="Y229">
        <f>$B$10*TAN(RADIANS(Q229))</f>
        <v/>
      </c>
      <c r="Z229">
        <f>IF(OR($H$7&lt;&gt;"OK",Q229=""),"",IF(Q229&lt;=$A$19,$D$19,IF(Q229&gt;=INDEX($A$19:$A$2018,$H$6),INDEX($D$19:$D$2018,$H$6),INDEX($D$19:$D$2018,MATCH(Q229,$A$19:INDEX($A$19:$A$2018,$H$6),1))+(Q229-INDEX($A$19:$A$2018,MATCH(Q229,$A$19:INDEX($A$19:$A$2018,$H$6),1)))*(INDEX($D$19:$D$2018,MATCH(Q229,$A$19:INDEX($A$19:$A$2018,$H$6),1)+1)-INDEX($D$19:$D$2018,MATCH(Q229,$A$19:INDEX($A$19:$A$2018,$H$6),1)))/(INDEX($A$19:$A$2018,MATCH(Q229,$A$19:INDEX($A$19:$A$2018,$H$6),1)+1)-INDEX($A$19:$A$2018,MATCH(Q229,$A$19:INDEX($A$19:$A$2018,$H$6),1))))))</f>
        <v/>
      </c>
    </row>
    <row r="230">
      <c r="A230" s="11" t="n"/>
      <c r="B230" s="11" t="n"/>
      <c r="C230" s="12">
        <f>IF(A230="","",$B$9*TAN(RADIANS(A230)))</f>
        <v/>
      </c>
      <c r="D230" s="12">
        <f>IF(C230="","",C230*(1+B230/100))</f>
        <v/>
      </c>
      <c r="E230" s="12">
        <f>IF(A230="","",$B$10*TAN(RADIANS(A230)))</f>
        <v/>
      </c>
      <c r="G230" s="8" t="n">
        <v>212</v>
      </c>
      <c r="H230" s="8">
        <f>$K$9</f>
        <v/>
      </c>
      <c r="I230" s="7" t="inlineStr">
        <is>
          <t>橫</t>
        </is>
      </c>
      <c r="J230" s="8" t="n">
        <v>3</v>
      </c>
      <c r="K230" s="7" t="inlineStr">
        <is>
          <t>左下</t>
        </is>
      </c>
      <c r="L230" s="8">
        <f>$O$9-($M$9+$L$9)/2+(-1)*$M$9/2</f>
        <v/>
      </c>
      <c r="M230" s="8">
        <f>$P$9-$M$9/2+$L$9/2+2*2*$L$9+(1)*$L$9/2</f>
        <v/>
      </c>
      <c r="N230" s="8">
        <f>L230-$B$7/2</f>
        <v/>
      </c>
      <c r="O230" s="8">
        <f>M230-$B$8/2</f>
        <v/>
      </c>
      <c r="P230" s="8">
        <f>SQRT(N230^2+O230^2)</f>
        <v/>
      </c>
      <c r="Q230" s="8">
        <f>IF(OR($H$7&lt;&gt;"OK",P230=""),"",IF(P230&lt;=$D$19,$A$19,IF(P230&gt;=INDEX($D$19:$D$2018,$H$6),INDEX($A$19:$A$2018,$H$6),INDEX($A$19:$A$2018,MATCH(P230,$D$19:INDEX($D$19:$D$2018,$H$6),1))+(P230-INDEX($D$19:$D$2018,MATCH(P230,$D$19:INDEX($D$19:$D$2018,$H$6),1)))*(INDEX($A$19:$A$2018,MATCH(P230,$D$19:INDEX($D$19:$D$2018,$H$6),1)+1)-INDEX($A$19:$A$2018,MATCH(P230,$D$19:INDEX($D$19:$D$2018,$H$6),1)))/(INDEX($D$19:$D$2018,MATCH(P230,$D$19:INDEX($D$19:$D$2018,$H$6),1)+1)-INDEX($D$19:$D$2018,MATCH(P230,$D$19:INDEX($D$19:$D$2018,$H$6),1))))))</f>
        <v/>
      </c>
      <c r="R230" s="8">
        <f>IF(P230=0,0,-Y230*N230/P230)</f>
        <v/>
      </c>
      <c r="S230" s="8">
        <f>IF(P230=0,0,Y230*O230/P230)</f>
        <v/>
      </c>
      <c r="T230" s="8">
        <f>IF(Y230=0,$B$7/2,$B$7/2-Z230*R230/Y230)</f>
        <v/>
      </c>
      <c r="U230" s="8">
        <f>IF(Y230=0,$B$8/2,$B$8/2+Z230*S230/Y230)</f>
        <v/>
      </c>
      <c r="V230" s="8">
        <f>SQRT((T230-L230)^2+(U230-M230)^2)</f>
        <v/>
      </c>
      <c r="Y230">
        <f>$B$10*TAN(RADIANS(Q230))</f>
        <v/>
      </c>
      <c r="Z230">
        <f>IF(OR($H$7&lt;&gt;"OK",Q230=""),"",IF(Q230&lt;=$A$19,$D$19,IF(Q230&gt;=INDEX($A$19:$A$2018,$H$6),INDEX($D$19:$D$2018,$H$6),INDEX($D$19:$D$2018,MATCH(Q230,$A$19:INDEX($A$19:$A$2018,$H$6),1))+(Q230-INDEX($A$19:$A$2018,MATCH(Q230,$A$19:INDEX($A$19:$A$2018,$H$6),1)))*(INDEX($D$19:$D$2018,MATCH(Q230,$A$19:INDEX($A$19:$A$2018,$H$6),1)+1)-INDEX($D$19:$D$2018,MATCH(Q230,$A$19:INDEX($A$19:$A$2018,$H$6),1)))/(INDEX($A$19:$A$2018,MATCH(Q230,$A$19:INDEX($A$19:$A$2018,$H$6),1)+1)-INDEX($A$19:$A$2018,MATCH(Q230,$A$19:INDEX($A$19:$A$2018,$H$6),1))))))</f>
        <v/>
      </c>
    </row>
    <row r="231">
      <c r="A231" s="11" t="n"/>
      <c r="B231" s="11" t="n"/>
      <c r="C231" s="12">
        <f>IF(A231="","",$B$9*TAN(RADIANS(A231)))</f>
        <v/>
      </c>
      <c r="D231" s="12">
        <f>IF(C231="","",C231*(1+B231/100))</f>
        <v/>
      </c>
      <c r="E231" s="12">
        <f>IF(A231="","",$B$10*TAN(RADIANS(A231)))</f>
        <v/>
      </c>
      <c r="G231" s="8" t="n">
        <v>213</v>
      </c>
      <c r="H231" s="8">
        <f>$K$9</f>
        <v/>
      </c>
      <c r="I231" s="7" t="inlineStr">
        <is>
          <t>橫</t>
        </is>
      </c>
      <c r="J231" s="8" t="n">
        <v>4</v>
      </c>
      <c r="K231" s="7" t="inlineStr">
        <is>
          <t>左上</t>
        </is>
      </c>
      <c r="L231" s="8">
        <f>$O$9-($M$9+$L$9)/2+(-1)*$M$9/2</f>
        <v/>
      </c>
      <c r="M231" s="8">
        <f>$P$9-$M$9/2+$L$9/2+3*2*$L$9+(-1)*$L$9/2</f>
        <v/>
      </c>
      <c r="N231" s="8">
        <f>L231-$B$7/2</f>
        <v/>
      </c>
      <c r="O231" s="8">
        <f>M231-$B$8/2</f>
        <v/>
      </c>
      <c r="P231" s="8">
        <f>SQRT(N231^2+O231^2)</f>
        <v/>
      </c>
      <c r="Q231" s="8">
        <f>IF(OR($H$7&lt;&gt;"OK",P231=""),"",IF(P231&lt;=$D$19,$A$19,IF(P231&gt;=INDEX($D$19:$D$2018,$H$6),INDEX($A$19:$A$2018,$H$6),INDEX($A$19:$A$2018,MATCH(P231,$D$19:INDEX($D$19:$D$2018,$H$6),1))+(P231-INDEX($D$19:$D$2018,MATCH(P231,$D$19:INDEX($D$19:$D$2018,$H$6),1)))*(INDEX($A$19:$A$2018,MATCH(P231,$D$19:INDEX($D$19:$D$2018,$H$6),1)+1)-INDEX($A$19:$A$2018,MATCH(P231,$D$19:INDEX($D$19:$D$2018,$H$6),1)))/(INDEX($D$19:$D$2018,MATCH(P231,$D$19:INDEX($D$19:$D$2018,$H$6),1)+1)-INDEX($D$19:$D$2018,MATCH(P231,$D$19:INDEX($D$19:$D$2018,$H$6),1))))))</f>
        <v/>
      </c>
      <c r="R231" s="8">
        <f>IF(P231=0,0,-Y231*N231/P231)</f>
        <v/>
      </c>
      <c r="S231" s="8">
        <f>IF(P231=0,0,Y231*O231/P231)</f>
        <v/>
      </c>
      <c r="T231" s="8">
        <f>IF(Y231=0,$B$7/2,$B$7/2-Z231*R231/Y231)</f>
        <v/>
      </c>
      <c r="U231" s="8">
        <f>IF(Y231=0,$B$8/2,$B$8/2+Z231*S231/Y231)</f>
        <v/>
      </c>
      <c r="V231" s="8">
        <f>SQRT((T231-L231)^2+(U231-M231)^2)</f>
        <v/>
      </c>
      <c r="Y231">
        <f>$B$10*TAN(RADIANS(Q231))</f>
        <v/>
      </c>
      <c r="Z231">
        <f>IF(OR($H$7&lt;&gt;"OK",Q231=""),"",IF(Q231&lt;=$A$19,$D$19,IF(Q231&gt;=INDEX($A$19:$A$2018,$H$6),INDEX($D$19:$D$2018,$H$6),INDEX($D$19:$D$2018,MATCH(Q231,$A$19:INDEX($A$19:$A$2018,$H$6),1))+(Q231-INDEX($A$19:$A$2018,MATCH(Q231,$A$19:INDEX($A$19:$A$2018,$H$6),1)))*(INDEX($D$19:$D$2018,MATCH(Q231,$A$19:INDEX($A$19:$A$2018,$H$6),1)+1)-INDEX($D$19:$D$2018,MATCH(Q231,$A$19:INDEX($A$19:$A$2018,$H$6),1)))/(INDEX($A$19:$A$2018,MATCH(Q231,$A$19:INDEX($A$19:$A$2018,$H$6),1)+1)-INDEX($A$19:$A$2018,MATCH(Q231,$A$19:INDEX($A$19:$A$2018,$H$6),1))))))</f>
        <v/>
      </c>
    </row>
    <row r="232">
      <c r="A232" s="11" t="n"/>
      <c r="B232" s="11" t="n"/>
      <c r="C232" s="12">
        <f>IF(A232="","",$B$9*TAN(RADIANS(A232)))</f>
        <v/>
      </c>
      <c r="D232" s="12">
        <f>IF(C232="","",C232*(1+B232/100))</f>
        <v/>
      </c>
      <c r="E232" s="12">
        <f>IF(A232="","",$B$10*TAN(RADIANS(A232)))</f>
        <v/>
      </c>
      <c r="G232" s="8" t="n">
        <v>214</v>
      </c>
      <c r="H232" s="8">
        <f>$K$9</f>
        <v/>
      </c>
      <c r="I232" s="7" t="inlineStr">
        <is>
          <t>橫</t>
        </is>
      </c>
      <c r="J232" s="8" t="n">
        <v>4</v>
      </c>
      <c r="K232" s="7" t="inlineStr">
        <is>
          <t>右上</t>
        </is>
      </c>
      <c r="L232" s="8">
        <f>$O$9-($M$9+$L$9)/2+(1)*$M$9/2</f>
        <v/>
      </c>
      <c r="M232" s="8">
        <f>$P$9-$M$9/2+$L$9/2+3*2*$L$9+(-1)*$L$9/2</f>
        <v/>
      </c>
      <c r="N232" s="8">
        <f>L232-$B$7/2</f>
        <v/>
      </c>
      <c r="O232" s="8">
        <f>M232-$B$8/2</f>
        <v/>
      </c>
      <c r="P232" s="8">
        <f>SQRT(N232^2+O232^2)</f>
        <v/>
      </c>
      <c r="Q232" s="8">
        <f>IF(OR($H$7&lt;&gt;"OK",P232=""),"",IF(P232&lt;=$D$19,$A$19,IF(P232&gt;=INDEX($D$19:$D$2018,$H$6),INDEX($A$19:$A$2018,$H$6),INDEX($A$19:$A$2018,MATCH(P232,$D$19:INDEX($D$19:$D$2018,$H$6),1))+(P232-INDEX($D$19:$D$2018,MATCH(P232,$D$19:INDEX($D$19:$D$2018,$H$6),1)))*(INDEX($A$19:$A$2018,MATCH(P232,$D$19:INDEX($D$19:$D$2018,$H$6),1)+1)-INDEX($A$19:$A$2018,MATCH(P232,$D$19:INDEX($D$19:$D$2018,$H$6),1)))/(INDEX($D$19:$D$2018,MATCH(P232,$D$19:INDEX($D$19:$D$2018,$H$6),1)+1)-INDEX($D$19:$D$2018,MATCH(P232,$D$19:INDEX($D$19:$D$2018,$H$6),1))))))</f>
        <v/>
      </c>
      <c r="R232" s="8">
        <f>IF(P232=0,0,-Y232*N232/P232)</f>
        <v/>
      </c>
      <c r="S232" s="8">
        <f>IF(P232=0,0,Y232*O232/P232)</f>
        <v/>
      </c>
      <c r="T232" s="8">
        <f>IF(Y232=0,$B$7/2,$B$7/2-Z232*R232/Y232)</f>
        <v/>
      </c>
      <c r="U232" s="8">
        <f>IF(Y232=0,$B$8/2,$B$8/2+Z232*S232/Y232)</f>
        <v/>
      </c>
      <c r="V232" s="8">
        <f>SQRT((T232-L232)^2+(U232-M232)^2)</f>
        <v/>
      </c>
      <c r="Y232">
        <f>$B$10*TAN(RADIANS(Q232))</f>
        <v/>
      </c>
      <c r="Z232">
        <f>IF(OR($H$7&lt;&gt;"OK",Q232=""),"",IF(Q232&lt;=$A$19,$D$19,IF(Q232&gt;=INDEX($A$19:$A$2018,$H$6),INDEX($D$19:$D$2018,$H$6),INDEX($D$19:$D$2018,MATCH(Q232,$A$19:INDEX($A$19:$A$2018,$H$6),1))+(Q232-INDEX($A$19:$A$2018,MATCH(Q232,$A$19:INDEX($A$19:$A$2018,$H$6),1)))*(INDEX($D$19:$D$2018,MATCH(Q232,$A$19:INDEX($A$19:$A$2018,$H$6),1)+1)-INDEX($D$19:$D$2018,MATCH(Q232,$A$19:INDEX($A$19:$A$2018,$H$6),1)))/(INDEX($A$19:$A$2018,MATCH(Q232,$A$19:INDEX($A$19:$A$2018,$H$6),1)+1)-INDEX($A$19:$A$2018,MATCH(Q232,$A$19:INDEX($A$19:$A$2018,$H$6),1))))))</f>
        <v/>
      </c>
    </row>
    <row r="233">
      <c r="A233" s="11" t="n"/>
      <c r="B233" s="11" t="n"/>
      <c r="C233" s="12">
        <f>IF(A233="","",$B$9*TAN(RADIANS(A233)))</f>
        <v/>
      </c>
      <c r="D233" s="12">
        <f>IF(C233="","",C233*(1+B233/100))</f>
        <v/>
      </c>
      <c r="E233" s="12">
        <f>IF(A233="","",$B$10*TAN(RADIANS(A233)))</f>
        <v/>
      </c>
      <c r="G233" s="8" t="n">
        <v>215</v>
      </c>
      <c r="H233" s="8">
        <f>$K$9</f>
        <v/>
      </c>
      <c r="I233" s="7" t="inlineStr">
        <is>
          <t>橫</t>
        </is>
      </c>
      <c r="J233" s="8" t="n">
        <v>4</v>
      </c>
      <c r="K233" s="7" t="inlineStr">
        <is>
          <t>右下</t>
        </is>
      </c>
      <c r="L233" s="8">
        <f>$O$9-($M$9+$L$9)/2+(1)*$M$9/2</f>
        <v/>
      </c>
      <c r="M233" s="8">
        <f>$P$9-$M$9/2+$L$9/2+3*2*$L$9+(1)*$L$9/2</f>
        <v/>
      </c>
      <c r="N233" s="8">
        <f>L233-$B$7/2</f>
        <v/>
      </c>
      <c r="O233" s="8">
        <f>M233-$B$8/2</f>
        <v/>
      </c>
      <c r="P233" s="8">
        <f>SQRT(N233^2+O233^2)</f>
        <v/>
      </c>
      <c r="Q233" s="8">
        <f>IF(OR($H$7&lt;&gt;"OK",P233=""),"",IF(P233&lt;=$D$19,$A$19,IF(P233&gt;=INDEX($D$19:$D$2018,$H$6),INDEX($A$19:$A$2018,$H$6),INDEX($A$19:$A$2018,MATCH(P233,$D$19:INDEX($D$19:$D$2018,$H$6),1))+(P233-INDEX($D$19:$D$2018,MATCH(P233,$D$19:INDEX($D$19:$D$2018,$H$6),1)))*(INDEX($A$19:$A$2018,MATCH(P233,$D$19:INDEX($D$19:$D$2018,$H$6),1)+1)-INDEX($A$19:$A$2018,MATCH(P233,$D$19:INDEX($D$19:$D$2018,$H$6),1)))/(INDEX($D$19:$D$2018,MATCH(P233,$D$19:INDEX($D$19:$D$2018,$H$6),1)+1)-INDEX($D$19:$D$2018,MATCH(P233,$D$19:INDEX($D$19:$D$2018,$H$6),1))))))</f>
        <v/>
      </c>
      <c r="R233" s="8">
        <f>IF(P233=0,0,-Y233*N233/P233)</f>
        <v/>
      </c>
      <c r="S233" s="8">
        <f>IF(P233=0,0,Y233*O233/P233)</f>
        <v/>
      </c>
      <c r="T233" s="8">
        <f>IF(Y233=0,$B$7/2,$B$7/2-Z233*R233/Y233)</f>
        <v/>
      </c>
      <c r="U233" s="8">
        <f>IF(Y233=0,$B$8/2,$B$8/2+Z233*S233/Y233)</f>
        <v/>
      </c>
      <c r="V233" s="8">
        <f>SQRT((T233-L233)^2+(U233-M233)^2)</f>
        <v/>
      </c>
      <c r="Y233">
        <f>$B$10*TAN(RADIANS(Q233))</f>
        <v/>
      </c>
      <c r="Z233">
        <f>IF(OR($H$7&lt;&gt;"OK",Q233=""),"",IF(Q233&lt;=$A$19,$D$19,IF(Q233&gt;=INDEX($A$19:$A$2018,$H$6),INDEX($D$19:$D$2018,$H$6),INDEX($D$19:$D$2018,MATCH(Q233,$A$19:INDEX($A$19:$A$2018,$H$6),1))+(Q233-INDEX($A$19:$A$2018,MATCH(Q233,$A$19:INDEX($A$19:$A$2018,$H$6),1)))*(INDEX($D$19:$D$2018,MATCH(Q233,$A$19:INDEX($A$19:$A$2018,$H$6),1)+1)-INDEX($D$19:$D$2018,MATCH(Q233,$A$19:INDEX($A$19:$A$2018,$H$6),1)))/(INDEX($A$19:$A$2018,MATCH(Q233,$A$19:INDEX($A$19:$A$2018,$H$6),1)+1)-INDEX($A$19:$A$2018,MATCH(Q233,$A$19:INDEX($A$19:$A$2018,$H$6),1))))))</f>
        <v/>
      </c>
    </row>
    <row r="234">
      <c r="A234" s="11" t="n"/>
      <c r="B234" s="11" t="n"/>
      <c r="C234" s="12">
        <f>IF(A234="","",$B$9*TAN(RADIANS(A234)))</f>
        <v/>
      </c>
      <c r="D234" s="12">
        <f>IF(C234="","",C234*(1+B234/100))</f>
        <v/>
      </c>
      <c r="E234" s="12">
        <f>IF(A234="","",$B$10*TAN(RADIANS(A234)))</f>
        <v/>
      </c>
      <c r="G234" s="8" t="n">
        <v>216</v>
      </c>
      <c r="H234" s="8">
        <f>$K$9</f>
        <v/>
      </c>
      <c r="I234" s="7" t="inlineStr">
        <is>
          <t>橫</t>
        </is>
      </c>
      <c r="J234" s="8" t="n">
        <v>4</v>
      </c>
      <c r="K234" s="7" t="inlineStr">
        <is>
          <t>左下</t>
        </is>
      </c>
      <c r="L234" s="8">
        <f>$O$9-($M$9+$L$9)/2+(-1)*$M$9/2</f>
        <v/>
      </c>
      <c r="M234" s="8">
        <f>$P$9-$M$9/2+$L$9/2+3*2*$L$9+(1)*$L$9/2</f>
        <v/>
      </c>
      <c r="N234" s="8">
        <f>L234-$B$7/2</f>
        <v/>
      </c>
      <c r="O234" s="8">
        <f>M234-$B$8/2</f>
        <v/>
      </c>
      <c r="P234" s="8">
        <f>SQRT(N234^2+O234^2)</f>
        <v/>
      </c>
      <c r="Q234" s="8">
        <f>IF(OR($H$7&lt;&gt;"OK",P234=""),"",IF(P234&lt;=$D$19,$A$19,IF(P234&gt;=INDEX($D$19:$D$2018,$H$6),INDEX($A$19:$A$2018,$H$6),INDEX($A$19:$A$2018,MATCH(P234,$D$19:INDEX($D$19:$D$2018,$H$6),1))+(P234-INDEX($D$19:$D$2018,MATCH(P234,$D$19:INDEX($D$19:$D$2018,$H$6),1)))*(INDEX($A$19:$A$2018,MATCH(P234,$D$19:INDEX($D$19:$D$2018,$H$6),1)+1)-INDEX($A$19:$A$2018,MATCH(P234,$D$19:INDEX($D$19:$D$2018,$H$6),1)))/(INDEX($D$19:$D$2018,MATCH(P234,$D$19:INDEX($D$19:$D$2018,$H$6),1)+1)-INDEX($D$19:$D$2018,MATCH(P234,$D$19:INDEX($D$19:$D$2018,$H$6),1))))))</f>
        <v/>
      </c>
      <c r="R234" s="8">
        <f>IF(P234=0,0,-Y234*N234/P234)</f>
        <v/>
      </c>
      <c r="S234" s="8">
        <f>IF(P234=0,0,Y234*O234/P234)</f>
        <v/>
      </c>
      <c r="T234" s="8">
        <f>IF(Y234=0,$B$7/2,$B$7/2-Z234*R234/Y234)</f>
        <v/>
      </c>
      <c r="U234" s="8">
        <f>IF(Y234=0,$B$8/2,$B$8/2+Z234*S234/Y234)</f>
        <v/>
      </c>
      <c r="V234" s="8">
        <f>SQRT((T234-L234)^2+(U234-M234)^2)</f>
        <v/>
      </c>
      <c r="Y234">
        <f>$B$10*TAN(RADIANS(Q234))</f>
        <v/>
      </c>
      <c r="Z234">
        <f>IF(OR($H$7&lt;&gt;"OK",Q234=""),"",IF(Q234&lt;=$A$19,$D$19,IF(Q234&gt;=INDEX($A$19:$A$2018,$H$6),INDEX($D$19:$D$2018,$H$6),INDEX($D$19:$D$2018,MATCH(Q234,$A$19:INDEX($A$19:$A$2018,$H$6),1))+(Q234-INDEX($A$19:$A$2018,MATCH(Q234,$A$19:INDEX($A$19:$A$2018,$H$6),1)))*(INDEX($D$19:$D$2018,MATCH(Q234,$A$19:INDEX($A$19:$A$2018,$H$6),1)+1)-INDEX($D$19:$D$2018,MATCH(Q234,$A$19:INDEX($A$19:$A$2018,$H$6),1)))/(INDEX($A$19:$A$2018,MATCH(Q234,$A$19:INDEX($A$19:$A$2018,$H$6),1)+1)-INDEX($A$19:$A$2018,MATCH(Q234,$A$19:INDEX($A$19:$A$2018,$H$6),1))))))</f>
        <v/>
      </c>
    </row>
    <row r="235">
      <c r="A235" s="11" t="n"/>
      <c r="B235" s="11" t="n"/>
      <c r="C235" s="12">
        <f>IF(A235="","",$B$9*TAN(RADIANS(A235)))</f>
        <v/>
      </c>
      <c r="D235" s="12">
        <f>IF(C235="","",C235*(1+B235/100))</f>
        <v/>
      </c>
      <c r="E235" s="12">
        <f>IF(A235="","",$B$10*TAN(RADIANS(A235)))</f>
        <v/>
      </c>
      <c r="G235" s="8" t="n">
        <v>217</v>
      </c>
      <c r="H235" s="8">
        <f>$K$9</f>
        <v/>
      </c>
      <c r="I235" s="7" t="inlineStr">
        <is>
          <t>橫</t>
        </is>
      </c>
      <c r="J235" s="8" t="n">
        <v>5</v>
      </c>
      <c r="K235" s="7" t="inlineStr">
        <is>
          <t>左上</t>
        </is>
      </c>
      <c r="L235" s="8">
        <f>$O$9-($M$9+$L$9)/2+(-1)*$M$9/2</f>
        <v/>
      </c>
      <c r="M235" s="8">
        <f>$P$9-$M$9/2+$L$9/2+4*2*$L$9+(-1)*$L$9/2</f>
        <v/>
      </c>
      <c r="N235" s="8">
        <f>L235-$B$7/2</f>
        <v/>
      </c>
      <c r="O235" s="8">
        <f>M235-$B$8/2</f>
        <v/>
      </c>
      <c r="P235" s="8">
        <f>SQRT(N235^2+O235^2)</f>
        <v/>
      </c>
      <c r="Q235" s="8">
        <f>IF(OR($H$7&lt;&gt;"OK",P235=""),"",IF(P235&lt;=$D$19,$A$19,IF(P235&gt;=INDEX($D$19:$D$2018,$H$6),INDEX($A$19:$A$2018,$H$6),INDEX($A$19:$A$2018,MATCH(P235,$D$19:INDEX($D$19:$D$2018,$H$6),1))+(P235-INDEX($D$19:$D$2018,MATCH(P235,$D$19:INDEX($D$19:$D$2018,$H$6),1)))*(INDEX($A$19:$A$2018,MATCH(P235,$D$19:INDEX($D$19:$D$2018,$H$6),1)+1)-INDEX($A$19:$A$2018,MATCH(P235,$D$19:INDEX($D$19:$D$2018,$H$6),1)))/(INDEX($D$19:$D$2018,MATCH(P235,$D$19:INDEX($D$19:$D$2018,$H$6),1)+1)-INDEX($D$19:$D$2018,MATCH(P235,$D$19:INDEX($D$19:$D$2018,$H$6),1))))))</f>
        <v/>
      </c>
      <c r="R235" s="8">
        <f>IF(P235=0,0,-Y235*N235/P235)</f>
        <v/>
      </c>
      <c r="S235" s="8">
        <f>IF(P235=0,0,Y235*O235/P235)</f>
        <v/>
      </c>
      <c r="T235" s="8">
        <f>IF(Y235=0,$B$7/2,$B$7/2-Z235*R235/Y235)</f>
        <v/>
      </c>
      <c r="U235" s="8">
        <f>IF(Y235=0,$B$8/2,$B$8/2+Z235*S235/Y235)</f>
        <v/>
      </c>
      <c r="V235" s="8">
        <f>SQRT((T235-L235)^2+(U235-M235)^2)</f>
        <v/>
      </c>
      <c r="Y235">
        <f>$B$10*TAN(RADIANS(Q235))</f>
        <v/>
      </c>
      <c r="Z235">
        <f>IF(OR($H$7&lt;&gt;"OK",Q235=""),"",IF(Q235&lt;=$A$19,$D$19,IF(Q235&gt;=INDEX($A$19:$A$2018,$H$6),INDEX($D$19:$D$2018,$H$6),INDEX($D$19:$D$2018,MATCH(Q235,$A$19:INDEX($A$19:$A$2018,$H$6),1))+(Q235-INDEX($A$19:$A$2018,MATCH(Q235,$A$19:INDEX($A$19:$A$2018,$H$6),1)))*(INDEX($D$19:$D$2018,MATCH(Q235,$A$19:INDEX($A$19:$A$2018,$H$6),1)+1)-INDEX($D$19:$D$2018,MATCH(Q235,$A$19:INDEX($A$19:$A$2018,$H$6),1)))/(INDEX($A$19:$A$2018,MATCH(Q235,$A$19:INDEX($A$19:$A$2018,$H$6),1)+1)-INDEX($A$19:$A$2018,MATCH(Q235,$A$19:INDEX($A$19:$A$2018,$H$6),1))))))</f>
        <v/>
      </c>
    </row>
    <row r="236">
      <c r="A236" s="11" t="n"/>
      <c r="B236" s="11" t="n"/>
      <c r="C236" s="12">
        <f>IF(A236="","",$B$9*TAN(RADIANS(A236)))</f>
        <v/>
      </c>
      <c r="D236" s="12">
        <f>IF(C236="","",C236*(1+B236/100))</f>
        <v/>
      </c>
      <c r="E236" s="12">
        <f>IF(A236="","",$B$10*TAN(RADIANS(A236)))</f>
        <v/>
      </c>
      <c r="G236" s="8" t="n">
        <v>218</v>
      </c>
      <c r="H236" s="8">
        <f>$K$9</f>
        <v/>
      </c>
      <c r="I236" s="7" t="inlineStr">
        <is>
          <t>橫</t>
        </is>
      </c>
      <c r="J236" s="8" t="n">
        <v>5</v>
      </c>
      <c r="K236" s="7" t="inlineStr">
        <is>
          <t>右上</t>
        </is>
      </c>
      <c r="L236" s="8">
        <f>$O$9-($M$9+$L$9)/2+(1)*$M$9/2</f>
        <v/>
      </c>
      <c r="M236" s="8">
        <f>$P$9-$M$9/2+$L$9/2+4*2*$L$9+(-1)*$L$9/2</f>
        <v/>
      </c>
      <c r="N236" s="8">
        <f>L236-$B$7/2</f>
        <v/>
      </c>
      <c r="O236" s="8">
        <f>M236-$B$8/2</f>
        <v/>
      </c>
      <c r="P236" s="8">
        <f>SQRT(N236^2+O236^2)</f>
        <v/>
      </c>
      <c r="Q236" s="8">
        <f>IF(OR($H$7&lt;&gt;"OK",P236=""),"",IF(P236&lt;=$D$19,$A$19,IF(P236&gt;=INDEX($D$19:$D$2018,$H$6),INDEX($A$19:$A$2018,$H$6),INDEX($A$19:$A$2018,MATCH(P236,$D$19:INDEX($D$19:$D$2018,$H$6),1))+(P236-INDEX($D$19:$D$2018,MATCH(P236,$D$19:INDEX($D$19:$D$2018,$H$6),1)))*(INDEX($A$19:$A$2018,MATCH(P236,$D$19:INDEX($D$19:$D$2018,$H$6),1)+1)-INDEX($A$19:$A$2018,MATCH(P236,$D$19:INDEX($D$19:$D$2018,$H$6),1)))/(INDEX($D$19:$D$2018,MATCH(P236,$D$19:INDEX($D$19:$D$2018,$H$6),1)+1)-INDEX($D$19:$D$2018,MATCH(P236,$D$19:INDEX($D$19:$D$2018,$H$6),1))))))</f>
        <v/>
      </c>
      <c r="R236" s="8">
        <f>IF(P236=0,0,-Y236*N236/P236)</f>
        <v/>
      </c>
      <c r="S236" s="8">
        <f>IF(P236=0,0,Y236*O236/P236)</f>
        <v/>
      </c>
      <c r="T236" s="8">
        <f>IF(Y236=0,$B$7/2,$B$7/2-Z236*R236/Y236)</f>
        <v/>
      </c>
      <c r="U236" s="8">
        <f>IF(Y236=0,$B$8/2,$B$8/2+Z236*S236/Y236)</f>
        <v/>
      </c>
      <c r="V236" s="8">
        <f>SQRT((T236-L236)^2+(U236-M236)^2)</f>
        <v/>
      </c>
      <c r="Y236">
        <f>$B$10*TAN(RADIANS(Q236))</f>
        <v/>
      </c>
      <c r="Z236">
        <f>IF(OR($H$7&lt;&gt;"OK",Q236=""),"",IF(Q236&lt;=$A$19,$D$19,IF(Q236&gt;=INDEX($A$19:$A$2018,$H$6),INDEX($D$19:$D$2018,$H$6),INDEX($D$19:$D$2018,MATCH(Q236,$A$19:INDEX($A$19:$A$2018,$H$6),1))+(Q236-INDEX($A$19:$A$2018,MATCH(Q236,$A$19:INDEX($A$19:$A$2018,$H$6),1)))*(INDEX($D$19:$D$2018,MATCH(Q236,$A$19:INDEX($A$19:$A$2018,$H$6),1)+1)-INDEX($D$19:$D$2018,MATCH(Q236,$A$19:INDEX($A$19:$A$2018,$H$6),1)))/(INDEX($A$19:$A$2018,MATCH(Q236,$A$19:INDEX($A$19:$A$2018,$H$6),1)+1)-INDEX($A$19:$A$2018,MATCH(Q236,$A$19:INDEX($A$19:$A$2018,$H$6),1))))))</f>
        <v/>
      </c>
    </row>
    <row r="237">
      <c r="A237" s="11" t="n"/>
      <c r="B237" s="11" t="n"/>
      <c r="C237" s="12">
        <f>IF(A237="","",$B$9*TAN(RADIANS(A237)))</f>
        <v/>
      </c>
      <c r="D237" s="12">
        <f>IF(C237="","",C237*(1+B237/100))</f>
        <v/>
      </c>
      <c r="E237" s="12">
        <f>IF(A237="","",$B$10*TAN(RADIANS(A237)))</f>
        <v/>
      </c>
      <c r="G237" s="8" t="n">
        <v>219</v>
      </c>
      <c r="H237" s="8">
        <f>$K$9</f>
        <v/>
      </c>
      <c r="I237" s="7" t="inlineStr">
        <is>
          <t>橫</t>
        </is>
      </c>
      <c r="J237" s="8" t="n">
        <v>5</v>
      </c>
      <c r="K237" s="7" t="inlineStr">
        <is>
          <t>右下</t>
        </is>
      </c>
      <c r="L237" s="8">
        <f>$O$9-($M$9+$L$9)/2+(1)*$M$9/2</f>
        <v/>
      </c>
      <c r="M237" s="8">
        <f>$P$9-$M$9/2+$L$9/2+4*2*$L$9+(1)*$L$9/2</f>
        <v/>
      </c>
      <c r="N237" s="8">
        <f>L237-$B$7/2</f>
        <v/>
      </c>
      <c r="O237" s="8">
        <f>M237-$B$8/2</f>
        <v/>
      </c>
      <c r="P237" s="8">
        <f>SQRT(N237^2+O237^2)</f>
        <v/>
      </c>
      <c r="Q237" s="8">
        <f>IF(OR($H$7&lt;&gt;"OK",P237=""),"",IF(P237&lt;=$D$19,$A$19,IF(P237&gt;=INDEX($D$19:$D$2018,$H$6),INDEX($A$19:$A$2018,$H$6),INDEX($A$19:$A$2018,MATCH(P237,$D$19:INDEX($D$19:$D$2018,$H$6),1))+(P237-INDEX($D$19:$D$2018,MATCH(P237,$D$19:INDEX($D$19:$D$2018,$H$6),1)))*(INDEX($A$19:$A$2018,MATCH(P237,$D$19:INDEX($D$19:$D$2018,$H$6),1)+1)-INDEX($A$19:$A$2018,MATCH(P237,$D$19:INDEX($D$19:$D$2018,$H$6),1)))/(INDEX($D$19:$D$2018,MATCH(P237,$D$19:INDEX($D$19:$D$2018,$H$6),1)+1)-INDEX($D$19:$D$2018,MATCH(P237,$D$19:INDEX($D$19:$D$2018,$H$6),1))))))</f>
        <v/>
      </c>
      <c r="R237" s="8">
        <f>IF(P237=0,0,-Y237*N237/P237)</f>
        <v/>
      </c>
      <c r="S237" s="8">
        <f>IF(P237=0,0,Y237*O237/P237)</f>
        <v/>
      </c>
      <c r="T237" s="8">
        <f>IF(Y237=0,$B$7/2,$B$7/2-Z237*R237/Y237)</f>
        <v/>
      </c>
      <c r="U237" s="8">
        <f>IF(Y237=0,$B$8/2,$B$8/2+Z237*S237/Y237)</f>
        <v/>
      </c>
      <c r="V237" s="8">
        <f>SQRT((T237-L237)^2+(U237-M237)^2)</f>
        <v/>
      </c>
      <c r="Y237">
        <f>$B$10*TAN(RADIANS(Q237))</f>
        <v/>
      </c>
      <c r="Z237">
        <f>IF(OR($H$7&lt;&gt;"OK",Q237=""),"",IF(Q237&lt;=$A$19,$D$19,IF(Q237&gt;=INDEX($A$19:$A$2018,$H$6),INDEX($D$19:$D$2018,$H$6),INDEX($D$19:$D$2018,MATCH(Q237,$A$19:INDEX($A$19:$A$2018,$H$6),1))+(Q237-INDEX($A$19:$A$2018,MATCH(Q237,$A$19:INDEX($A$19:$A$2018,$H$6),1)))*(INDEX($D$19:$D$2018,MATCH(Q237,$A$19:INDEX($A$19:$A$2018,$H$6),1)+1)-INDEX($D$19:$D$2018,MATCH(Q237,$A$19:INDEX($A$19:$A$2018,$H$6),1)))/(INDEX($A$19:$A$2018,MATCH(Q237,$A$19:INDEX($A$19:$A$2018,$H$6),1)+1)-INDEX($A$19:$A$2018,MATCH(Q237,$A$19:INDEX($A$19:$A$2018,$H$6),1))))))</f>
        <v/>
      </c>
    </row>
    <row r="238">
      <c r="A238" s="11" t="n"/>
      <c r="B238" s="11" t="n"/>
      <c r="C238" s="12">
        <f>IF(A238="","",$B$9*TAN(RADIANS(A238)))</f>
        <v/>
      </c>
      <c r="D238" s="12">
        <f>IF(C238="","",C238*(1+B238/100))</f>
        <v/>
      </c>
      <c r="E238" s="12">
        <f>IF(A238="","",$B$10*TAN(RADIANS(A238)))</f>
        <v/>
      </c>
      <c r="G238" s="8" t="n">
        <v>220</v>
      </c>
      <c r="H238" s="8">
        <f>$K$9</f>
        <v/>
      </c>
      <c r="I238" s="7" t="inlineStr">
        <is>
          <t>橫</t>
        </is>
      </c>
      <c r="J238" s="8" t="n">
        <v>5</v>
      </c>
      <c r="K238" s="7" t="inlineStr">
        <is>
          <t>左下</t>
        </is>
      </c>
      <c r="L238" s="8">
        <f>$O$9-($M$9+$L$9)/2+(-1)*$M$9/2</f>
        <v/>
      </c>
      <c r="M238" s="8">
        <f>$P$9-$M$9/2+$L$9/2+4*2*$L$9+(1)*$L$9/2</f>
        <v/>
      </c>
      <c r="N238" s="8">
        <f>L238-$B$7/2</f>
        <v/>
      </c>
      <c r="O238" s="8">
        <f>M238-$B$8/2</f>
        <v/>
      </c>
      <c r="P238" s="8">
        <f>SQRT(N238^2+O238^2)</f>
        <v/>
      </c>
      <c r="Q238" s="8">
        <f>IF(OR($H$7&lt;&gt;"OK",P238=""),"",IF(P238&lt;=$D$19,$A$19,IF(P238&gt;=INDEX($D$19:$D$2018,$H$6),INDEX($A$19:$A$2018,$H$6),INDEX($A$19:$A$2018,MATCH(P238,$D$19:INDEX($D$19:$D$2018,$H$6),1))+(P238-INDEX($D$19:$D$2018,MATCH(P238,$D$19:INDEX($D$19:$D$2018,$H$6),1)))*(INDEX($A$19:$A$2018,MATCH(P238,$D$19:INDEX($D$19:$D$2018,$H$6),1)+1)-INDEX($A$19:$A$2018,MATCH(P238,$D$19:INDEX($D$19:$D$2018,$H$6),1)))/(INDEX($D$19:$D$2018,MATCH(P238,$D$19:INDEX($D$19:$D$2018,$H$6),1)+1)-INDEX($D$19:$D$2018,MATCH(P238,$D$19:INDEX($D$19:$D$2018,$H$6),1))))))</f>
        <v/>
      </c>
      <c r="R238" s="8">
        <f>IF(P238=0,0,-Y238*N238/P238)</f>
        <v/>
      </c>
      <c r="S238" s="8">
        <f>IF(P238=0,0,Y238*O238/P238)</f>
        <v/>
      </c>
      <c r="T238" s="8">
        <f>IF(Y238=0,$B$7/2,$B$7/2-Z238*R238/Y238)</f>
        <v/>
      </c>
      <c r="U238" s="8">
        <f>IF(Y238=0,$B$8/2,$B$8/2+Z238*S238/Y238)</f>
        <v/>
      </c>
      <c r="V238" s="8">
        <f>SQRT((T238-L238)^2+(U238-M238)^2)</f>
        <v/>
      </c>
      <c r="Y238">
        <f>$B$10*TAN(RADIANS(Q238))</f>
        <v/>
      </c>
      <c r="Z238">
        <f>IF(OR($H$7&lt;&gt;"OK",Q238=""),"",IF(Q238&lt;=$A$19,$D$19,IF(Q238&gt;=INDEX($A$19:$A$2018,$H$6),INDEX($D$19:$D$2018,$H$6),INDEX($D$19:$D$2018,MATCH(Q238,$A$19:INDEX($A$19:$A$2018,$H$6),1))+(Q238-INDEX($A$19:$A$2018,MATCH(Q238,$A$19:INDEX($A$19:$A$2018,$H$6),1)))*(INDEX($D$19:$D$2018,MATCH(Q238,$A$19:INDEX($A$19:$A$2018,$H$6),1)+1)-INDEX($D$19:$D$2018,MATCH(Q238,$A$19:INDEX($A$19:$A$2018,$H$6),1)))/(INDEX($A$19:$A$2018,MATCH(Q238,$A$19:INDEX($A$19:$A$2018,$H$6),1)+1)-INDEX($A$19:$A$2018,MATCH(Q238,$A$19:INDEX($A$19:$A$2018,$H$6),1))))))</f>
        <v/>
      </c>
    </row>
    <row r="239">
      <c r="A239" s="11" t="n"/>
      <c r="B239" s="11" t="n"/>
      <c r="C239" s="12">
        <f>IF(A239="","",$B$9*TAN(RADIANS(A239)))</f>
        <v/>
      </c>
      <c r="D239" s="12">
        <f>IF(C239="","",C239*(1+B239/100))</f>
        <v/>
      </c>
      <c r="E239" s="12">
        <f>IF(A239="","",$B$10*TAN(RADIANS(A239)))</f>
        <v/>
      </c>
      <c r="G239" s="8" t="n">
        <v>221</v>
      </c>
      <c r="H239" s="8">
        <f>$K$9</f>
        <v/>
      </c>
      <c r="I239" s="7" t="inlineStr">
        <is>
          <t>豎</t>
        </is>
      </c>
      <c r="J239" s="8" t="n">
        <v>1</v>
      </c>
      <c r="K239" s="7" t="inlineStr">
        <is>
          <t>左上</t>
        </is>
      </c>
      <c r="L239" s="8">
        <f>$O$9+($M$9+$L$9)/2-$M$9/2+$L$9/2+0*2*$L$9+(-1)*$L$9/2</f>
        <v/>
      </c>
      <c r="M239" s="8">
        <f>$P$9+(-1)*$M$9/2</f>
        <v/>
      </c>
      <c r="N239" s="8">
        <f>L239-$B$7/2</f>
        <v/>
      </c>
      <c r="O239" s="8">
        <f>M239-$B$8/2</f>
        <v/>
      </c>
      <c r="P239" s="8">
        <f>SQRT(N239^2+O239^2)</f>
        <v/>
      </c>
      <c r="Q239" s="8">
        <f>IF(OR($H$7&lt;&gt;"OK",P239=""),"",IF(P239&lt;=$D$19,$A$19,IF(P239&gt;=INDEX($D$19:$D$2018,$H$6),INDEX($A$19:$A$2018,$H$6),INDEX($A$19:$A$2018,MATCH(P239,$D$19:INDEX($D$19:$D$2018,$H$6),1))+(P239-INDEX($D$19:$D$2018,MATCH(P239,$D$19:INDEX($D$19:$D$2018,$H$6),1)))*(INDEX($A$19:$A$2018,MATCH(P239,$D$19:INDEX($D$19:$D$2018,$H$6),1)+1)-INDEX($A$19:$A$2018,MATCH(P239,$D$19:INDEX($D$19:$D$2018,$H$6),1)))/(INDEX($D$19:$D$2018,MATCH(P239,$D$19:INDEX($D$19:$D$2018,$H$6),1)+1)-INDEX($D$19:$D$2018,MATCH(P239,$D$19:INDEX($D$19:$D$2018,$H$6),1))))))</f>
        <v/>
      </c>
      <c r="R239" s="8">
        <f>IF(P239=0,0,-Y239*N239/P239)</f>
        <v/>
      </c>
      <c r="S239" s="8">
        <f>IF(P239=0,0,Y239*O239/P239)</f>
        <v/>
      </c>
      <c r="T239" s="8">
        <f>IF(Y239=0,$B$7/2,$B$7/2-Z239*R239/Y239)</f>
        <v/>
      </c>
      <c r="U239" s="8">
        <f>IF(Y239=0,$B$8/2,$B$8/2+Z239*S239/Y239)</f>
        <v/>
      </c>
      <c r="V239" s="8">
        <f>SQRT((T239-L239)^2+(U239-M239)^2)</f>
        <v/>
      </c>
      <c r="Y239">
        <f>$B$10*TAN(RADIANS(Q239))</f>
        <v/>
      </c>
      <c r="Z239">
        <f>IF(OR($H$7&lt;&gt;"OK",Q239=""),"",IF(Q239&lt;=$A$19,$D$19,IF(Q239&gt;=INDEX($A$19:$A$2018,$H$6),INDEX($D$19:$D$2018,$H$6),INDEX($D$19:$D$2018,MATCH(Q239,$A$19:INDEX($A$19:$A$2018,$H$6),1))+(Q239-INDEX($A$19:$A$2018,MATCH(Q239,$A$19:INDEX($A$19:$A$2018,$H$6),1)))*(INDEX($D$19:$D$2018,MATCH(Q239,$A$19:INDEX($A$19:$A$2018,$H$6),1)+1)-INDEX($D$19:$D$2018,MATCH(Q239,$A$19:INDEX($A$19:$A$2018,$H$6),1)))/(INDEX($A$19:$A$2018,MATCH(Q239,$A$19:INDEX($A$19:$A$2018,$H$6),1)+1)-INDEX($A$19:$A$2018,MATCH(Q239,$A$19:INDEX($A$19:$A$2018,$H$6),1))))))</f>
        <v/>
      </c>
    </row>
    <row r="240">
      <c r="A240" s="11" t="n"/>
      <c r="B240" s="11" t="n"/>
      <c r="C240" s="12">
        <f>IF(A240="","",$B$9*TAN(RADIANS(A240)))</f>
        <v/>
      </c>
      <c r="D240" s="12">
        <f>IF(C240="","",C240*(1+B240/100))</f>
        <v/>
      </c>
      <c r="E240" s="12">
        <f>IF(A240="","",$B$10*TAN(RADIANS(A240)))</f>
        <v/>
      </c>
      <c r="G240" s="8" t="n">
        <v>222</v>
      </c>
      <c r="H240" s="8">
        <f>$K$9</f>
        <v/>
      </c>
      <c r="I240" s="7" t="inlineStr">
        <is>
          <t>豎</t>
        </is>
      </c>
      <c r="J240" s="8" t="n">
        <v>1</v>
      </c>
      <c r="K240" s="7" t="inlineStr">
        <is>
          <t>右上</t>
        </is>
      </c>
      <c r="L240" s="8">
        <f>$O$9+($M$9+$L$9)/2-$M$9/2+$L$9/2+0*2*$L$9+(1)*$L$9/2</f>
        <v/>
      </c>
      <c r="M240" s="8">
        <f>$P$9+(-1)*$M$9/2</f>
        <v/>
      </c>
      <c r="N240" s="8">
        <f>L240-$B$7/2</f>
        <v/>
      </c>
      <c r="O240" s="8">
        <f>M240-$B$8/2</f>
        <v/>
      </c>
      <c r="P240" s="8">
        <f>SQRT(N240^2+O240^2)</f>
        <v/>
      </c>
      <c r="Q240" s="8">
        <f>IF(OR($H$7&lt;&gt;"OK",P240=""),"",IF(P240&lt;=$D$19,$A$19,IF(P240&gt;=INDEX($D$19:$D$2018,$H$6),INDEX($A$19:$A$2018,$H$6),INDEX($A$19:$A$2018,MATCH(P240,$D$19:INDEX($D$19:$D$2018,$H$6),1))+(P240-INDEX($D$19:$D$2018,MATCH(P240,$D$19:INDEX($D$19:$D$2018,$H$6),1)))*(INDEX($A$19:$A$2018,MATCH(P240,$D$19:INDEX($D$19:$D$2018,$H$6),1)+1)-INDEX($A$19:$A$2018,MATCH(P240,$D$19:INDEX($D$19:$D$2018,$H$6),1)))/(INDEX($D$19:$D$2018,MATCH(P240,$D$19:INDEX($D$19:$D$2018,$H$6),1)+1)-INDEX($D$19:$D$2018,MATCH(P240,$D$19:INDEX($D$19:$D$2018,$H$6),1))))))</f>
        <v/>
      </c>
      <c r="R240" s="8">
        <f>IF(P240=0,0,-Y240*N240/P240)</f>
        <v/>
      </c>
      <c r="S240" s="8">
        <f>IF(P240=0,0,Y240*O240/P240)</f>
        <v/>
      </c>
      <c r="T240" s="8">
        <f>IF(Y240=0,$B$7/2,$B$7/2-Z240*R240/Y240)</f>
        <v/>
      </c>
      <c r="U240" s="8">
        <f>IF(Y240=0,$B$8/2,$B$8/2+Z240*S240/Y240)</f>
        <v/>
      </c>
      <c r="V240" s="8">
        <f>SQRT((T240-L240)^2+(U240-M240)^2)</f>
        <v/>
      </c>
      <c r="Y240">
        <f>$B$10*TAN(RADIANS(Q240))</f>
        <v/>
      </c>
      <c r="Z240">
        <f>IF(OR($H$7&lt;&gt;"OK",Q240=""),"",IF(Q240&lt;=$A$19,$D$19,IF(Q240&gt;=INDEX($A$19:$A$2018,$H$6),INDEX($D$19:$D$2018,$H$6),INDEX($D$19:$D$2018,MATCH(Q240,$A$19:INDEX($A$19:$A$2018,$H$6),1))+(Q240-INDEX($A$19:$A$2018,MATCH(Q240,$A$19:INDEX($A$19:$A$2018,$H$6),1)))*(INDEX($D$19:$D$2018,MATCH(Q240,$A$19:INDEX($A$19:$A$2018,$H$6),1)+1)-INDEX($D$19:$D$2018,MATCH(Q240,$A$19:INDEX($A$19:$A$2018,$H$6),1)))/(INDEX($A$19:$A$2018,MATCH(Q240,$A$19:INDEX($A$19:$A$2018,$H$6),1)+1)-INDEX($A$19:$A$2018,MATCH(Q240,$A$19:INDEX($A$19:$A$2018,$H$6),1))))))</f>
        <v/>
      </c>
    </row>
    <row r="241">
      <c r="A241" s="11" t="n"/>
      <c r="B241" s="11" t="n"/>
      <c r="C241" s="12">
        <f>IF(A241="","",$B$9*TAN(RADIANS(A241)))</f>
        <v/>
      </c>
      <c r="D241" s="12">
        <f>IF(C241="","",C241*(1+B241/100))</f>
        <v/>
      </c>
      <c r="E241" s="12">
        <f>IF(A241="","",$B$10*TAN(RADIANS(A241)))</f>
        <v/>
      </c>
      <c r="G241" s="8" t="n">
        <v>223</v>
      </c>
      <c r="H241" s="8">
        <f>$K$9</f>
        <v/>
      </c>
      <c r="I241" s="7" t="inlineStr">
        <is>
          <t>豎</t>
        </is>
      </c>
      <c r="J241" s="8" t="n">
        <v>1</v>
      </c>
      <c r="K241" s="7" t="inlineStr">
        <is>
          <t>右下</t>
        </is>
      </c>
      <c r="L241" s="8">
        <f>$O$9+($M$9+$L$9)/2-$M$9/2+$L$9/2+0*2*$L$9+(1)*$L$9/2</f>
        <v/>
      </c>
      <c r="M241" s="8">
        <f>$P$9+(1)*$M$9/2</f>
        <v/>
      </c>
      <c r="N241" s="8">
        <f>L241-$B$7/2</f>
        <v/>
      </c>
      <c r="O241" s="8">
        <f>M241-$B$8/2</f>
        <v/>
      </c>
      <c r="P241" s="8">
        <f>SQRT(N241^2+O241^2)</f>
        <v/>
      </c>
      <c r="Q241" s="8">
        <f>IF(OR($H$7&lt;&gt;"OK",P241=""),"",IF(P241&lt;=$D$19,$A$19,IF(P241&gt;=INDEX($D$19:$D$2018,$H$6),INDEX($A$19:$A$2018,$H$6),INDEX($A$19:$A$2018,MATCH(P241,$D$19:INDEX($D$19:$D$2018,$H$6),1))+(P241-INDEX($D$19:$D$2018,MATCH(P241,$D$19:INDEX($D$19:$D$2018,$H$6),1)))*(INDEX($A$19:$A$2018,MATCH(P241,$D$19:INDEX($D$19:$D$2018,$H$6),1)+1)-INDEX($A$19:$A$2018,MATCH(P241,$D$19:INDEX($D$19:$D$2018,$H$6),1)))/(INDEX($D$19:$D$2018,MATCH(P241,$D$19:INDEX($D$19:$D$2018,$H$6),1)+1)-INDEX($D$19:$D$2018,MATCH(P241,$D$19:INDEX($D$19:$D$2018,$H$6),1))))))</f>
        <v/>
      </c>
      <c r="R241" s="8">
        <f>IF(P241=0,0,-Y241*N241/P241)</f>
        <v/>
      </c>
      <c r="S241" s="8">
        <f>IF(P241=0,0,Y241*O241/P241)</f>
        <v/>
      </c>
      <c r="T241" s="8">
        <f>IF(Y241=0,$B$7/2,$B$7/2-Z241*R241/Y241)</f>
        <v/>
      </c>
      <c r="U241" s="8">
        <f>IF(Y241=0,$B$8/2,$B$8/2+Z241*S241/Y241)</f>
        <v/>
      </c>
      <c r="V241" s="8">
        <f>SQRT((T241-L241)^2+(U241-M241)^2)</f>
        <v/>
      </c>
      <c r="Y241">
        <f>$B$10*TAN(RADIANS(Q241))</f>
        <v/>
      </c>
      <c r="Z241">
        <f>IF(OR($H$7&lt;&gt;"OK",Q241=""),"",IF(Q241&lt;=$A$19,$D$19,IF(Q241&gt;=INDEX($A$19:$A$2018,$H$6),INDEX($D$19:$D$2018,$H$6),INDEX($D$19:$D$2018,MATCH(Q241,$A$19:INDEX($A$19:$A$2018,$H$6),1))+(Q241-INDEX($A$19:$A$2018,MATCH(Q241,$A$19:INDEX($A$19:$A$2018,$H$6),1)))*(INDEX($D$19:$D$2018,MATCH(Q241,$A$19:INDEX($A$19:$A$2018,$H$6),1)+1)-INDEX($D$19:$D$2018,MATCH(Q241,$A$19:INDEX($A$19:$A$2018,$H$6),1)))/(INDEX($A$19:$A$2018,MATCH(Q241,$A$19:INDEX($A$19:$A$2018,$H$6),1)+1)-INDEX($A$19:$A$2018,MATCH(Q241,$A$19:INDEX($A$19:$A$2018,$H$6),1))))))</f>
        <v/>
      </c>
    </row>
    <row r="242">
      <c r="A242" s="11" t="n"/>
      <c r="B242" s="11" t="n"/>
      <c r="C242" s="12">
        <f>IF(A242="","",$B$9*TAN(RADIANS(A242)))</f>
        <v/>
      </c>
      <c r="D242" s="12">
        <f>IF(C242="","",C242*(1+B242/100))</f>
        <v/>
      </c>
      <c r="E242" s="12">
        <f>IF(A242="","",$B$10*TAN(RADIANS(A242)))</f>
        <v/>
      </c>
      <c r="G242" s="8" t="n">
        <v>224</v>
      </c>
      <c r="H242" s="8">
        <f>$K$9</f>
        <v/>
      </c>
      <c r="I242" s="7" t="inlineStr">
        <is>
          <t>豎</t>
        </is>
      </c>
      <c r="J242" s="8" t="n">
        <v>1</v>
      </c>
      <c r="K242" s="7" t="inlineStr">
        <is>
          <t>左下</t>
        </is>
      </c>
      <c r="L242" s="8">
        <f>$O$9+($M$9+$L$9)/2-$M$9/2+$L$9/2+0*2*$L$9+(-1)*$L$9/2</f>
        <v/>
      </c>
      <c r="M242" s="8">
        <f>$P$9+(1)*$M$9/2</f>
        <v/>
      </c>
      <c r="N242" s="8">
        <f>L242-$B$7/2</f>
        <v/>
      </c>
      <c r="O242" s="8">
        <f>M242-$B$8/2</f>
        <v/>
      </c>
      <c r="P242" s="8">
        <f>SQRT(N242^2+O242^2)</f>
        <v/>
      </c>
      <c r="Q242" s="8">
        <f>IF(OR($H$7&lt;&gt;"OK",P242=""),"",IF(P242&lt;=$D$19,$A$19,IF(P242&gt;=INDEX($D$19:$D$2018,$H$6),INDEX($A$19:$A$2018,$H$6),INDEX($A$19:$A$2018,MATCH(P242,$D$19:INDEX($D$19:$D$2018,$H$6),1))+(P242-INDEX($D$19:$D$2018,MATCH(P242,$D$19:INDEX($D$19:$D$2018,$H$6),1)))*(INDEX($A$19:$A$2018,MATCH(P242,$D$19:INDEX($D$19:$D$2018,$H$6),1)+1)-INDEX($A$19:$A$2018,MATCH(P242,$D$19:INDEX($D$19:$D$2018,$H$6),1)))/(INDEX($D$19:$D$2018,MATCH(P242,$D$19:INDEX($D$19:$D$2018,$H$6),1)+1)-INDEX($D$19:$D$2018,MATCH(P242,$D$19:INDEX($D$19:$D$2018,$H$6),1))))))</f>
        <v/>
      </c>
      <c r="R242" s="8">
        <f>IF(P242=0,0,-Y242*N242/P242)</f>
        <v/>
      </c>
      <c r="S242" s="8">
        <f>IF(P242=0,0,Y242*O242/P242)</f>
        <v/>
      </c>
      <c r="T242" s="8">
        <f>IF(Y242=0,$B$7/2,$B$7/2-Z242*R242/Y242)</f>
        <v/>
      </c>
      <c r="U242" s="8">
        <f>IF(Y242=0,$B$8/2,$B$8/2+Z242*S242/Y242)</f>
        <v/>
      </c>
      <c r="V242" s="8">
        <f>SQRT((T242-L242)^2+(U242-M242)^2)</f>
        <v/>
      </c>
      <c r="Y242">
        <f>$B$10*TAN(RADIANS(Q242))</f>
        <v/>
      </c>
      <c r="Z242">
        <f>IF(OR($H$7&lt;&gt;"OK",Q242=""),"",IF(Q242&lt;=$A$19,$D$19,IF(Q242&gt;=INDEX($A$19:$A$2018,$H$6),INDEX($D$19:$D$2018,$H$6),INDEX($D$19:$D$2018,MATCH(Q242,$A$19:INDEX($A$19:$A$2018,$H$6),1))+(Q242-INDEX($A$19:$A$2018,MATCH(Q242,$A$19:INDEX($A$19:$A$2018,$H$6),1)))*(INDEX($D$19:$D$2018,MATCH(Q242,$A$19:INDEX($A$19:$A$2018,$H$6),1)+1)-INDEX($D$19:$D$2018,MATCH(Q242,$A$19:INDEX($A$19:$A$2018,$H$6),1)))/(INDEX($A$19:$A$2018,MATCH(Q242,$A$19:INDEX($A$19:$A$2018,$H$6),1)+1)-INDEX($A$19:$A$2018,MATCH(Q242,$A$19:INDEX($A$19:$A$2018,$H$6),1))))))</f>
        <v/>
      </c>
    </row>
    <row r="243">
      <c r="A243" s="11" t="n"/>
      <c r="B243" s="11" t="n"/>
      <c r="C243" s="12">
        <f>IF(A243="","",$B$9*TAN(RADIANS(A243)))</f>
        <v/>
      </c>
      <c r="D243" s="12">
        <f>IF(C243="","",C243*(1+B243/100))</f>
        <v/>
      </c>
      <c r="E243" s="12">
        <f>IF(A243="","",$B$10*TAN(RADIANS(A243)))</f>
        <v/>
      </c>
      <c r="G243" s="8" t="n">
        <v>225</v>
      </c>
      <c r="H243" s="8">
        <f>$K$9</f>
        <v/>
      </c>
      <c r="I243" s="7" t="inlineStr">
        <is>
          <t>豎</t>
        </is>
      </c>
      <c r="J243" s="8" t="n">
        <v>2</v>
      </c>
      <c r="K243" s="7" t="inlineStr">
        <is>
          <t>左上</t>
        </is>
      </c>
      <c r="L243" s="8">
        <f>$O$9+($M$9+$L$9)/2-$M$9/2+$L$9/2+1*2*$L$9+(-1)*$L$9/2</f>
        <v/>
      </c>
      <c r="M243" s="8">
        <f>$P$9+(-1)*$M$9/2</f>
        <v/>
      </c>
      <c r="N243" s="8">
        <f>L243-$B$7/2</f>
        <v/>
      </c>
      <c r="O243" s="8">
        <f>M243-$B$8/2</f>
        <v/>
      </c>
      <c r="P243" s="8">
        <f>SQRT(N243^2+O243^2)</f>
        <v/>
      </c>
      <c r="Q243" s="8">
        <f>IF(OR($H$7&lt;&gt;"OK",P243=""),"",IF(P243&lt;=$D$19,$A$19,IF(P243&gt;=INDEX($D$19:$D$2018,$H$6),INDEX($A$19:$A$2018,$H$6),INDEX($A$19:$A$2018,MATCH(P243,$D$19:INDEX($D$19:$D$2018,$H$6),1))+(P243-INDEX($D$19:$D$2018,MATCH(P243,$D$19:INDEX($D$19:$D$2018,$H$6),1)))*(INDEX($A$19:$A$2018,MATCH(P243,$D$19:INDEX($D$19:$D$2018,$H$6),1)+1)-INDEX($A$19:$A$2018,MATCH(P243,$D$19:INDEX($D$19:$D$2018,$H$6),1)))/(INDEX($D$19:$D$2018,MATCH(P243,$D$19:INDEX($D$19:$D$2018,$H$6),1)+1)-INDEX($D$19:$D$2018,MATCH(P243,$D$19:INDEX($D$19:$D$2018,$H$6),1))))))</f>
        <v/>
      </c>
      <c r="R243" s="8">
        <f>IF(P243=0,0,-Y243*N243/P243)</f>
        <v/>
      </c>
      <c r="S243" s="8">
        <f>IF(P243=0,0,Y243*O243/P243)</f>
        <v/>
      </c>
      <c r="T243" s="8">
        <f>IF(Y243=0,$B$7/2,$B$7/2-Z243*R243/Y243)</f>
        <v/>
      </c>
      <c r="U243" s="8">
        <f>IF(Y243=0,$B$8/2,$B$8/2+Z243*S243/Y243)</f>
        <v/>
      </c>
      <c r="V243" s="8">
        <f>SQRT((T243-L243)^2+(U243-M243)^2)</f>
        <v/>
      </c>
      <c r="Y243">
        <f>$B$10*TAN(RADIANS(Q243))</f>
        <v/>
      </c>
      <c r="Z243">
        <f>IF(OR($H$7&lt;&gt;"OK",Q243=""),"",IF(Q243&lt;=$A$19,$D$19,IF(Q243&gt;=INDEX($A$19:$A$2018,$H$6),INDEX($D$19:$D$2018,$H$6),INDEX($D$19:$D$2018,MATCH(Q243,$A$19:INDEX($A$19:$A$2018,$H$6),1))+(Q243-INDEX($A$19:$A$2018,MATCH(Q243,$A$19:INDEX($A$19:$A$2018,$H$6),1)))*(INDEX($D$19:$D$2018,MATCH(Q243,$A$19:INDEX($A$19:$A$2018,$H$6),1)+1)-INDEX($D$19:$D$2018,MATCH(Q243,$A$19:INDEX($A$19:$A$2018,$H$6),1)))/(INDEX($A$19:$A$2018,MATCH(Q243,$A$19:INDEX($A$19:$A$2018,$H$6),1)+1)-INDEX($A$19:$A$2018,MATCH(Q243,$A$19:INDEX($A$19:$A$2018,$H$6),1))))))</f>
        <v/>
      </c>
    </row>
    <row r="244">
      <c r="A244" s="11" t="n"/>
      <c r="B244" s="11" t="n"/>
      <c r="C244" s="12">
        <f>IF(A244="","",$B$9*TAN(RADIANS(A244)))</f>
        <v/>
      </c>
      <c r="D244" s="12">
        <f>IF(C244="","",C244*(1+B244/100))</f>
        <v/>
      </c>
      <c r="E244" s="12">
        <f>IF(A244="","",$B$10*TAN(RADIANS(A244)))</f>
        <v/>
      </c>
      <c r="G244" s="8" t="n">
        <v>226</v>
      </c>
      <c r="H244" s="8">
        <f>$K$9</f>
        <v/>
      </c>
      <c r="I244" s="7" t="inlineStr">
        <is>
          <t>豎</t>
        </is>
      </c>
      <c r="J244" s="8" t="n">
        <v>2</v>
      </c>
      <c r="K244" s="7" t="inlineStr">
        <is>
          <t>右上</t>
        </is>
      </c>
      <c r="L244" s="8">
        <f>$O$9+($M$9+$L$9)/2-$M$9/2+$L$9/2+1*2*$L$9+(1)*$L$9/2</f>
        <v/>
      </c>
      <c r="M244" s="8">
        <f>$P$9+(-1)*$M$9/2</f>
        <v/>
      </c>
      <c r="N244" s="8">
        <f>L244-$B$7/2</f>
        <v/>
      </c>
      <c r="O244" s="8">
        <f>M244-$B$8/2</f>
        <v/>
      </c>
      <c r="P244" s="8">
        <f>SQRT(N244^2+O244^2)</f>
        <v/>
      </c>
      <c r="Q244" s="8">
        <f>IF(OR($H$7&lt;&gt;"OK",P244=""),"",IF(P244&lt;=$D$19,$A$19,IF(P244&gt;=INDEX($D$19:$D$2018,$H$6),INDEX($A$19:$A$2018,$H$6),INDEX($A$19:$A$2018,MATCH(P244,$D$19:INDEX($D$19:$D$2018,$H$6),1))+(P244-INDEX($D$19:$D$2018,MATCH(P244,$D$19:INDEX($D$19:$D$2018,$H$6),1)))*(INDEX($A$19:$A$2018,MATCH(P244,$D$19:INDEX($D$19:$D$2018,$H$6),1)+1)-INDEX($A$19:$A$2018,MATCH(P244,$D$19:INDEX($D$19:$D$2018,$H$6),1)))/(INDEX($D$19:$D$2018,MATCH(P244,$D$19:INDEX($D$19:$D$2018,$H$6),1)+1)-INDEX($D$19:$D$2018,MATCH(P244,$D$19:INDEX($D$19:$D$2018,$H$6),1))))))</f>
        <v/>
      </c>
      <c r="R244" s="8">
        <f>IF(P244=0,0,-Y244*N244/P244)</f>
        <v/>
      </c>
      <c r="S244" s="8">
        <f>IF(P244=0,0,Y244*O244/P244)</f>
        <v/>
      </c>
      <c r="T244" s="8">
        <f>IF(Y244=0,$B$7/2,$B$7/2-Z244*R244/Y244)</f>
        <v/>
      </c>
      <c r="U244" s="8">
        <f>IF(Y244=0,$B$8/2,$B$8/2+Z244*S244/Y244)</f>
        <v/>
      </c>
      <c r="V244" s="8">
        <f>SQRT((T244-L244)^2+(U244-M244)^2)</f>
        <v/>
      </c>
      <c r="Y244">
        <f>$B$10*TAN(RADIANS(Q244))</f>
        <v/>
      </c>
      <c r="Z244">
        <f>IF(OR($H$7&lt;&gt;"OK",Q244=""),"",IF(Q244&lt;=$A$19,$D$19,IF(Q244&gt;=INDEX($A$19:$A$2018,$H$6),INDEX($D$19:$D$2018,$H$6),INDEX($D$19:$D$2018,MATCH(Q244,$A$19:INDEX($A$19:$A$2018,$H$6),1))+(Q244-INDEX($A$19:$A$2018,MATCH(Q244,$A$19:INDEX($A$19:$A$2018,$H$6),1)))*(INDEX($D$19:$D$2018,MATCH(Q244,$A$19:INDEX($A$19:$A$2018,$H$6),1)+1)-INDEX($D$19:$D$2018,MATCH(Q244,$A$19:INDEX($A$19:$A$2018,$H$6),1)))/(INDEX($A$19:$A$2018,MATCH(Q244,$A$19:INDEX($A$19:$A$2018,$H$6),1)+1)-INDEX($A$19:$A$2018,MATCH(Q244,$A$19:INDEX($A$19:$A$2018,$H$6),1))))))</f>
        <v/>
      </c>
    </row>
    <row r="245">
      <c r="A245" s="11" t="n"/>
      <c r="B245" s="11" t="n"/>
      <c r="C245" s="12">
        <f>IF(A245="","",$B$9*TAN(RADIANS(A245)))</f>
        <v/>
      </c>
      <c r="D245" s="12">
        <f>IF(C245="","",C245*(1+B245/100))</f>
        <v/>
      </c>
      <c r="E245" s="12">
        <f>IF(A245="","",$B$10*TAN(RADIANS(A245)))</f>
        <v/>
      </c>
      <c r="G245" s="8" t="n">
        <v>227</v>
      </c>
      <c r="H245" s="8">
        <f>$K$9</f>
        <v/>
      </c>
      <c r="I245" s="7" t="inlineStr">
        <is>
          <t>豎</t>
        </is>
      </c>
      <c r="J245" s="8" t="n">
        <v>2</v>
      </c>
      <c r="K245" s="7" t="inlineStr">
        <is>
          <t>右下</t>
        </is>
      </c>
      <c r="L245" s="8">
        <f>$O$9+($M$9+$L$9)/2-$M$9/2+$L$9/2+1*2*$L$9+(1)*$L$9/2</f>
        <v/>
      </c>
      <c r="M245" s="8">
        <f>$P$9+(1)*$M$9/2</f>
        <v/>
      </c>
      <c r="N245" s="8">
        <f>L245-$B$7/2</f>
        <v/>
      </c>
      <c r="O245" s="8">
        <f>M245-$B$8/2</f>
        <v/>
      </c>
      <c r="P245" s="8">
        <f>SQRT(N245^2+O245^2)</f>
        <v/>
      </c>
      <c r="Q245" s="8">
        <f>IF(OR($H$7&lt;&gt;"OK",P245=""),"",IF(P245&lt;=$D$19,$A$19,IF(P245&gt;=INDEX($D$19:$D$2018,$H$6),INDEX($A$19:$A$2018,$H$6),INDEX($A$19:$A$2018,MATCH(P245,$D$19:INDEX($D$19:$D$2018,$H$6),1))+(P245-INDEX($D$19:$D$2018,MATCH(P245,$D$19:INDEX($D$19:$D$2018,$H$6),1)))*(INDEX($A$19:$A$2018,MATCH(P245,$D$19:INDEX($D$19:$D$2018,$H$6),1)+1)-INDEX($A$19:$A$2018,MATCH(P245,$D$19:INDEX($D$19:$D$2018,$H$6),1)))/(INDEX($D$19:$D$2018,MATCH(P245,$D$19:INDEX($D$19:$D$2018,$H$6),1)+1)-INDEX($D$19:$D$2018,MATCH(P245,$D$19:INDEX($D$19:$D$2018,$H$6),1))))))</f>
        <v/>
      </c>
      <c r="R245" s="8">
        <f>IF(P245=0,0,-Y245*N245/P245)</f>
        <v/>
      </c>
      <c r="S245" s="8">
        <f>IF(P245=0,0,Y245*O245/P245)</f>
        <v/>
      </c>
      <c r="T245" s="8">
        <f>IF(Y245=0,$B$7/2,$B$7/2-Z245*R245/Y245)</f>
        <v/>
      </c>
      <c r="U245" s="8">
        <f>IF(Y245=0,$B$8/2,$B$8/2+Z245*S245/Y245)</f>
        <v/>
      </c>
      <c r="V245" s="8">
        <f>SQRT((T245-L245)^2+(U245-M245)^2)</f>
        <v/>
      </c>
      <c r="Y245">
        <f>$B$10*TAN(RADIANS(Q245))</f>
        <v/>
      </c>
      <c r="Z245">
        <f>IF(OR($H$7&lt;&gt;"OK",Q245=""),"",IF(Q245&lt;=$A$19,$D$19,IF(Q245&gt;=INDEX($A$19:$A$2018,$H$6),INDEX($D$19:$D$2018,$H$6),INDEX($D$19:$D$2018,MATCH(Q245,$A$19:INDEX($A$19:$A$2018,$H$6),1))+(Q245-INDEX($A$19:$A$2018,MATCH(Q245,$A$19:INDEX($A$19:$A$2018,$H$6),1)))*(INDEX($D$19:$D$2018,MATCH(Q245,$A$19:INDEX($A$19:$A$2018,$H$6),1)+1)-INDEX($D$19:$D$2018,MATCH(Q245,$A$19:INDEX($A$19:$A$2018,$H$6),1)))/(INDEX($A$19:$A$2018,MATCH(Q245,$A$19:INDEX($A$19:$A$2018,$H$6),1)+1)-INDEX($A$19:$A$2018,MATCH(Q245,$A$19:INDEX($A$19:$A$2018,$H$6),1))))))</f>
        <v/>
      </c>
    </row>
    <row r="246">
      <c r="A246" s="11" t="n"/>
      <c r="B246" s="11" t="n"/>
      <c r="C246" s="12">
        <f>IF(A246="","",$B$9*TAN(RADIANS(A246)))</f>
        <v/>
      </c>
      <c r="D246" s="12">
        <f>IF(C246="","",C246*(1+B246/100))</f>
        <v/>
      </c>
      <c r="E246" s="12">
        <f>IF(A246="","",$B$10*TAN(RADIANS(A246)))</f>
        <v/>
      </c>
      <c r="G246" s="8" t="n">
        <v>228</v>
      </c>
      <c r="H246" s="8">
        <f>$K$9</f>
        <v/>
      </c>
      <c r="I246" s="7" t="inlineStr">
        <is>
          <t>豎</t>
        </is>
      </c>
      <c r="J246" s="8" t="n">
        <v>2</v>
      </c>
      <c r="K246" s="7" t="inlineStr">
        <is>
          <t>左下</t>
        </is>
      </c>
      <c r="L246" s="8">
        <f>$O$9+($M$9+$L$9)/2-$M$9/2+$L$9/2+1*2*$L$9+(-1)*$L$9/2</f>
        <v/>
      </c>
      <c r="M246" s="8">
        <f>$P$9+(1)*$M$9/2</f>
        <v/>
      </c>
      <c r="N246" s="8">
        <f>L246-$B$7/2</f>
        <v/>
      </c>
      <c r="O246" s="8">
        <f>M246-$B$8/2</f>
        <v/>
      </c>
      <c r="P246" s="8">
        <f>SQRT(N246^2+O246^2)</f>
        <v/>
      </c>
      <c r="Q246" s="8">
        <f>IF(OR($H$7&lt;&gt;"OK",P246=""),"",IF(P246&lt;=$D$19,$A$19,IF(P246&gt;=INDEX($D$19:$D$2018,$H$6),INDEX($A$19:$A$2018,$H$6),INDEX($A$19:$A$2018,MATCH(P246,$D$19:INDEX($D$19:$D$2018,$H$6),1))+(P246-INDEX($D$19:$D$2018,MATCH(P246,$D$19:INDEX($D$19:$D$2018,$H$6),1)))*(INDEX($A$19:$A$2018,MATCH(P246,$D$19:INDEX($D$19:$D$2018,$H$6),1)+1)-INDEX($A$19:$A$2018,MATCH(P246,$D$19:INDEX($D$19:$D$2018,$H$6),1)))/(INDEX($D$19:$D$2018,MATCH(P246,$D$19:INDEX($D$19:$D$2018,$H$6),1)+1)-INDEX($D$19:$D$2018,MATCH(P246,$D$19:INDEX($D$19:$D$2018,$H$6),1))))))</f>
        <v/>
      </c>
      <c r="R246" s="8">
        <f>IF(P246=0,0,-Y246*N246/P246)</f>
        <v/>
      </c>
      <c r="S246" s="8">
        <f>IF(P246=0,0,Y246*O246/P246)</f>
        <v/>
      </c>
      <c r="T246" s="8">
        <f>IF(Y246=0,$B$7/2,$B$7/2-Z246*R246/Y246)</f>
        <v/>
      </c>
      <c r="U246" s="8">
        <f>IF(Y246=0,$B$8/2,$B$8/2+Z246*S246/Y246)</f>
        <v/>
      </c>
      <c r="V246" s="8">
        <f>SQRT((T246-L246)^2+(U246-M246)^2)</f>
        <v/>
      </c>
      <c r="Y246">
        <f>$B$10*TAN(RADIANS(Q246))</f>
        <v/>
      </c>
      <c r="Z246">
        <f>IF(OR($H$7&lt;&gt;"OK",Q246=""),"",IF(Q246&lt;=$A$19,$D$19,IF(Q246&gt;=INDEX($A$19:$A$2018,$H$6),INDEX($D$19:$D$2018,$H$6),INDEX($D$19:$D$2018,MATCH(Q246,$A$19:INDEX($A$19:$A$2018,$H$6),1))+(Q246-INDEX($A$19:$A$2018,MATCH(Q246,$A$19:INDEX($A$19:$A$2018,$H$6),1)))*(INDEX($D$19:$D$2018,MATCH(Q246,$A$19:INDEX($A$19:$A$2018,$H$6),1)+1)-INDEX($D$19:$D$2018,MATCH(Q246,$A$19:INDEX($A$19:$A$2018,$H$6),1)))/(INDEX($A$19:$A$2018,MATCH(Q246,$A$19:INDEX($A$19:$A$2018,$H$6),1)+1)-INDEX($A$19:$A$2018,MATCH(Q246,$A$19:INDEX($A$19:$A$2018,$H$6),1))))))</f>
        <v/>
      </c>
    </row>
    <row r="247">
      <c r="A247" s="11" t="n"/>
      <c r="B247" s="11" t="n"/>
      <c r="C247" s="12">
        <f>IF(A247="","",$B$9*TAN(RADIANS(A247)))</f>
        <v/>
      </c>
      <c r="D247" s="12">
        <f>IF(C247="","",C247*(1+B247/100))</f>
        <v/>
      </c>
      <c r="E247" s="12">
        <f>IF(A247="","",$B$10*TAN(RADIANS(A247)))</f>
        <v/>
      </c>
      <c r="G247" s="8" t="n">
        <v>229</v>
      </c>
      <c r="H247" s="8">
        <f>$K$9</f>
        <v/>
      </c>
      <c r="I247" s="7" t="inlineStr">
        <is>
          <t>豎</t>
        </is>
      </c>
      <c r="J247" s="8" t="n">
        <v>3</v>
      </c>
      <c r="K247" s="7" t="inlineStr">
        <is>
          <t>左上</t>
        </is>
      </c>
      <c r="L247" s="8">
        <f>$O$9+($M$9+$L$9)/2-$M$9/2+$L$9/2+2*2*$L$9+(-1)*$L$9/2</f>
        <v/>
      </c>
      <c r="M247" s="8">
        <f>$P$9+(-1)*$M$9/2</f>
        <v/>
      </c>
      <c r="N247" s="8">
        <f>L247-$B$7/2</f>
        <v/>
      </c>
      <c r="O247" s="8">
        <f>M247-$B$8/2</f>
        <v/>
      </c>
      <c r="P247" s="8">
        <f>SQRT(N247^2+O247^2)</f>
        <v/>
      </c>
      <c r="Q247" s="8">
        <f>IF(OR($H$7&lt;&gt;"OK",P247=""),"",IF(P247&lt;=$D$19,$A$19,IF(P247&gt;=INDEX($D$19:$D$2018,$H$6),INDEX($A$19:$A$2018,$H$6),INDEX($A$19:$A$2018,MATCH(P247,$D$19:INDEX($D$19:$D$2018,$H$6),1))+(P247-INDEX($D$19:$D$2018,MATCH(P247,$D$19:INDEX($D$19:$D$2018,$H$6),1)))*(INDEX($A$19:$A$2018,MATCH(P247,$D$19:INDEX($D$19:$D$2018,$H$6),1)+1)-INDEX($A$19:$A$2018,MATCH(P247,$D$19:INDEX($D$19:$D$2018,$H$6),1)))/(INDEX($D$19:$D$2018,MATCH(P247,$D$19:INDEX($D$19:$D$2018,$H$6),1)+1)-INDEX($D$19:$D$2018,MATCH(P247,$D$19:INDEX($D$19:$D$2018,$H$6),1))))))</f>
        <v/>
      </c>
      <c r="R247" s="8">
        <f>IF(P247=0,0,-Y247*N247/P247)</f>
        <v/>
      </c>
      <c r="S247" s="8">
        <f>IF(P247=0,0,Y247*O247/P247)</f>
        <v/>
      </c>
      <c r="T247" s="8">
        <f>IF(Y247=0,$B$7/2,$B$7/2-Z247*R247/Y247)</f>
        <v/>
      </c>
      <c r="U247" s="8">
        <f>IF(Y247=0,$B$8/2,$B$8/2+Z247*S247/Y247)</f>
        <v/>
      </c>
      <c r="V247" s="8">
        <f>SQRT((T247-L247)^2+(U247-M247)^2)</f>
        <v/>
      </c>
      <c r="Y247">
        <f>$B$10*TAN(RADIANS(Q247))</f>
        <v/>
      </c>
      <c r="Z247">
        <f>IF(OR($H$7&lt;&gt;"OK",Q247=""),"",IF(Q247&lt;=$A$19,$D$19,IF(Q247&gt;=INDEX($A$19:$A$2018,$H$6),INDEX($D$19:$D$2018,$H$6),INDEX($D$19:$D$2018,MATCH(Q247,$A$19:INDEX($A$19:$A$2018,$H$6),1))+(Q247-INDEX($A$19:$A$2018,MATCH(Q247,$A$19:INDEX($A$19:$A$2018,$H$6),1)))*(INDEX($D$19:$D$2018,MATCH(Q247,$A$19:INDEX($A$19:$A$2018,$H$6),1)+1)-INDEX($D$19:$D$2018,MATCH(Q247,$A$19:INDEX($A$19:$A$2018,$H$6),1)))/(INDEX($A$19:$A$2018,MATCH(Q247,$A$19:INDEX($A$19:$A$2018,$H$6),1)+1)-INDEX($A$19:$A$2018,MATCH(Q247,$A$19:INDEX($A$19:$A$2018,$H$6),1))))))</f>
        <v/>
      </c>
    </row>
    <row r="248">
      <c r="A248" s="11" t="n"/>
      <c r="B248" s="11" t="n"/>
      <c r="C248" s="12">
        <f>IF(A248="","",$B$9*TAN(RADIANS(A248)))</f>
        <v/>
      </c>
      <c r="D248" s="12">
        <f>IF(C248="","",C248*(1+B248/100))</f>
        <v/>
      </c>
      <c r="E248" s="12">
        <f>IF(A248="","",$B$10*TAN(RADIANS(A248)))</f>
        <v/>
      </c>
      <c r="G248" s="8" t="n">
        <v>230</v>
      </c>
      <c r="H248" s="8">
        <f>$K$9</f>
        <v/>
      </c>
      <c r="I248" s="7" t="inlineStr">
        <is>
          <t>豎</t>
        </is>
      </c>
      <c r="J248" s="8" t="n">
        <v>3</v>
      </c>
      <c r="K248" s="7" t="inlineStr">
        <is>
          <t>右上</t>
        </is>
      </c>
      <c r="L248" s="8">
        <f>$O$9+($M$9+$L$9)/2-$M$9/2+$L$9/2+2*2*$L$9+(1)*$L$9/2</f>
        <v/>
      </c>
      <c r="M248" s="8">
        <f>$P$9+(-1)*$M$9/2</f>
        <v/>
      </c>
      <c r="N248" s="8">
        <f>L248-$B$7/2</f>
        <v/>
      </c>
      <c r="O248" s="8">
        <f>M248-$B$8/2</f>
        <v/>
      </c>
      <c r="P248" s="8">
        <f>SQRT(N248^2+O248^2)</f>
        <v/>
      </c>
      <c r="Q248" s="8">
        <f>IF(OR($H$7&lt;&gt;"OK",P248=""),"",IF(P248&lt;=$D$19,$A$19,IF(P248&gt;=INDEX($D$19:$D$2018,$H$6),INDEX($A$19:$A$2018,$H$6),INDEX($A$19:$A$2018,MATCH(P248,$D$19:INDEX($D$19:$D$2018,$H$6),1))+(P248-INDEX($D$19:$D$2018,MATCH(P248,$D$19:INDEX($D$19:$D$2018,$H$6),1)))*(INDEX($A$19:$A$2018,MATCH(P248,$D$19:INDEX($D$19:$D$2018,$H$6),1)+1)-INDEX($A$19:$A$2018,MATCH(P248,$D$19:INDEX($D$19:$D$2018,$H$6),1)))/(INDEX($D$19:$D$2018,MATCH(P248,$D$19:INDEX($D$19:$D$2018,$H$6),1)+1)-INDEX($D$19:$D$2018,MATCH(P248,$D$19:INDEX($D$19:$D$2018,$H$6),1))))))</f>
        <v/>
      </c>
      <c r="R248" s="8">
        <f>IF(P248=0,0,-Y248*N248/P248)</f>
        <v/>
      </c>
      <c r="S248" s="8">
        <f>IF(P248=0,0,Y248*O248/P248)</f>
        <v/>
      </c>
      <c r="T248" s="8">
        <f>IF(Y248=0,$B$7/2,$B$7/2-Z248*R248/Y248)</f>
        <v/>
      </c>
      <c r="U248" s="8">
        <f>IF(Y248=0,$B$8/2,$B$8/2+Z248*S248/Y248)</f>
        <v/>
      </c>
      <c r="V248" s="8">
        <f>SQRT((T248-L248)^2+(U248-M248)^2)</f>
        <v/>
      </c>
      <c r="Y248">
        <f>$B$10*TAN(RADIANS(Q248))</f>
        <v/>
      </c>
      <c r="Z248">
        <f>IF(OR($H$7&lt;&gt;"OK",Q248=""),"",IF(Q248&lt;=$A$19,$D$19,IF(Q248&gt;=INDEX($A$19:$A$2018,$H$6),INDEX($D$19:$D$2018,$H$6),INDEX($D$19:$D$2018,MATCH(Q248,$A$19:INDEX($A$19:$A$2018,$H$6),1))+(Q248-INDEX($A$19:$A$2018,MATCH(Q248,$A$19:INDEX($A$19:$A$2018,$H$6),1)))*(INDEX($D$19:$D$2018,MATCH(Q248,$A$19:INDEX($A$19:$A$2018,$H$6),1)+1)-INDEX($D$19:$D$2018,MATCH(Q248,$A$19:INDEX($A$19:$A$2018,$H$6),1)))/(INDEX($A$19:$A$2018,MATCH(Q248,$A$19:INDEX($A$19:$A$2018,$H$6),1)+1)-INDEX($A$19:$A$2018,MATCH(Q248,$A$19:INDEX($A$19:$A$2018,$H$6),1))))))</f>
        <v/>
      </c>
    </row>
    <row r="249">
      <c r="A249" s="11" t="n"/>
      <c r="B249" s="11" t="n"/>
      <c r="C249" s="12">
        <f>IF(A249="","",$B$9*TAN(RADIANS(A249)))</f>
        <v/>
      </c>
      <c r="D249" s="12">
        <f>IF(C249="","",C249*(1+B249/100))</f>
        <v/>
      </c>
      <c r="E249" s="12">
        <f>IF(A249="","",$B$10*TAN(RADIANS(A249)))</f>
        <v/>
      </c>
      <c r="G249" s="8" t="n">
        <v>231</v>
      </c>
      <c r="H249" s="8">
        <f>$K$9</f>
        <v/>
      </c>
      <c r="I249" s="7" t="inlineStr">
        <is>
          <t>豎</t>
        </is>
      </c>
      <c r="J249" s="8" t="n">
        <v>3</v>
      </c>
      <c r="K249" s="7" t="inlineStr">
        <is>
          <t>右下</t>
        </is>
      </c>
      <c r="L249" s="8">
        <f>$O$9+($M$9+$L$9)/2-$M$9/2+$L$9/2+2*2*$L$9+(1)*$L$9/2</f>
        <v/>
      </c>
      <c r="M249" s="8">
        <f>$P$9+(1)*$M$9/2</f>
        <v/>
      </c>
      <c r="N249" s="8">
        <f>L249-$B$7/2</f>
        <v/>
      </c>
      <c r="O249" s="8">
        <f>M249-$B$8/2</f>
        <v/>
      </c>
      <c r="P249" s="8">
        <f>SQRT(N249^2+O249^2)</f>
        <v/>
      </c>
      <c r="Q249" s="8">
        <f>IF(OR($H$7&lt;&gt;"OK",P249=""),"",IF(P249&lt;=$D$19,$A$19,IF(P249&gt;=INDEX($D$19:$D$2018,$H$6),INDEX($A$19:$A$2018,$H$6),INDEX($A$19:$A$2018,MATCH(P249,$D$19:INDEX($D$19:$D$2018,$H$6),1))+(P249-INDEX($D$19:$D$2018,MATCH(P249,$D$19:INDEX($D$19:$D$2018,$H$6),1)))*(INDEX($A$19:$A$2018,MATCH(P249,$D$19:INDEX($D$19:$D$2018,$H$6),1)+1)-INDEX($A$19:$A$2018,MATCH(P249,$D$19:INDEX($D$19:$D$2018,$H$6),1)))/(INDEX($D$19:$D$2018,MATCH(P249,$D$19:INDEX($D$19:$D$2018,$H$6),1)+1)-INDEX($D$19:$D$2018,MATCH(P249,$D$19:INDEX($D$19:$D$2018,$H$6),1))))))</f>
        <v/>
      </c>
      <c r="R249" s="8">
        <f>IF(P249=0,0,-Y249*N249/P249)</f>
        <v/>
      </c>
      <c r="S249" s="8">
        <f>IF(P249=0,0,Y249*O249/P249)</f>
        <v/>
      </c>
      <c r="T249" s="8">
        <f>IF(Y249=0,$B$7/2,$B$7/2-Z249*R249/Y249)</f>
        <v/>
      </c>
      <c r="U249" s="8">
        <f>IF(Y249=0,$B$8/2,$B$8/2+Z249*S249/Y249)</f>
        <v/>
      </c>
      <c r="V249" s="8">
        <f>SQRT((T249-L249)^2+(U249-M249)^2)</f>
        <v/>
      </c>
      <c r="Y249">
        <f>$B$10*TAN(RADIANS(Q249))</f>
        <v/>
      </c>
      <c r="Z249">
        <f>IF(OR($H$7&lt;&gt;"OK",Q249=""),"",IF(Q249&lt;=$A$19,$D$19,IF(Q249&gt;=INDEX($A$19:$A$2018,$H$6),INDEX($D$19:$D$2018,$H$6),INDEX($D$19:$D$2018,MATCH(Q249,$A$19:INDEX($A$19:$A$2018,$H$6),1))+(Q249-INDEX($A$19:$A$2018,MATCH(Q249,$A$19:INDEX($A$19:$A$2018,$H$6),1)))*(INDEX($D$19:$D$2018,MATCH(Q249,$A$19:INDEX($A$19:$A$2018,$H$6),1)+1)-INDEX($D$19:$D$2018,MATCH(Q249,$A$19:INDEX($A$19:$A$2018,$H$6),1)))/(INDEX($A$19:$A$2018,MATCH(Q249,$A$19:INDEX($A$19:$A$2018,$H$6),1)+1)-INDEX($A$19:$A$2018,MATCH(Q249,$A$19:INDEX($A$19:$A$2018,$H$6),1))))))</f>
        <v/>
      </c>
    </row>
    <row r="250">
      <c r="A250" s="11" t="n"/>
      <c r="B250" s="11" t="n"/>
      <c r="C250" s="12">
        <f>IF(A250="","",$B$9*TAN(RADIANS(A250)))</f>
        <v/>
      </c>
      <c r="D250" s="12">
        <f>IF(C250="","",C250*(1+B250/100))</f>
        <v/>
      </c>
      <c r="E250" s="12">
        <f>IF(A250="","",$B$10*TAN(RADIANS(A250)))</f>
        <v/>
      </c>
      <c r="G250" s="8" t="n">
        <v>232</v>
      </c>
      <c r="H250" s="8">
        <f>$K$9</f>
        <v/>
      </c>
      <c r="I250" s="7" t="inlineStr">
        <is>
          <t>豎</t>
        </is>
      </c>
      <c r="J250" s="8" t="n">
        <v>3</v>
      </c>
      <c r="K250" s="7" t="inlineStr">
        <is>
          <t>左下</t>
        </is>
      </c>
      <c r="L250" s="8">
        <f>$O$9+($M$9+$L$9)/2-$M$9/2+$L$9/2+2*2*$L$9+(-1)*$L$9/2</f>
        <v/>
      </c>
      <c r="M250" s="8">
        <f>$P$9+(1)*$M$9/2</f>
        <v/>
      </c>
      <c r="N250" s="8">
        <f>L250-$B$7/2</f>
        <v/>
      </c>
      <c r="O250" s="8">
        <f>M250-$B$8/2</f>
        <v/>
      </c>
      <c r="P250" s="8">
        <f>SQRT(N250^2+O250^2)</f>
        <v/>
      </c>
      <c r="Q250" s="8">
        <f>IF(OR($H$7&lt;&gt;"OK",P250=""),"",IF(P250&lt;=$D$19,$A$19,IF(P250&gt;=INDEX($D$19:$D$2018,$H$6),INDEX($A$19:$A$2018,$H$6),INDEX($A$19:$A$2018,MATCH(P250,$D$19:INDEX($D$19:$D$2018,$H$6),1))+(P250-INDEX($D$19:$D$2018,MATCH(P250,$D$19:INDEX($D$19:$D$2018,$H$6),1)))*(INDEX($A$19:$A$2018,MATCH(P250,$D$19:INDEX($D$19:$D$2018,$H$6),1)+1)-INDEX($A$19:$A$2018,MATCH(P250,$D$19:INDEX($D$19:$D$2018,$H$6),1)))/(INDEX($D$19:$D$2018,MATCH(P250,$D$19:INDEX($D$19:$D$2018,$H$6),1)+1)-INDEX($D$19:$D$2018,MATCH(P250,$D$19:INDEX($D$19:$D$2018,$H$6),1))))))</f>
        <v/>
      </c>
      <c r="R250" s="8">
        <f>IF(P250=0,0,-Y250*N250/P250)</f>
        <v/>
      </c>
      <c r="S250" s="8">
        <f>IF(P250=0,0,Y250*O250/P250)</f>
        <v/>
      </c>
      <c r="T250" s="8">
        <f>IF(Y250=0,$B$7/2,$B$7/2-Z250*R250/Y250)</f>
        <v/>
      </c>
      <c r="U250" s="8">
        <f>IF(Y250=0,$B$8/2,$B$8/2+Z250*S250/Y250)</f>
        <v/>
      </c>
      <c r="V250" s="8">
        <f>SQRT((T250-L250)^2+(U250-M250)^2)</f>
        <v/>
      </c>
      <c r="Y250">
        <f>$B$10*TAN(RADIANS(Q250))</f>
        <v/>
      </c>
      <c r="Z250">
        <f>IF(OR($H$7&lt;&gt;"OK",Q250=""),"",IF(Q250&lt;=$A$19,$D$19,IF(Q250&gt;=INDEX($A$19:$A$2018,$H$6),INDEX($D$19:$D$2018,$H$6),INDEX($D$19:$D$2018,MATCH(Q250,$A$19:INDEX($A$19:$A$2018,$H$6),1))+(Q250-INDEX($A$19:$A$2018,MATCH(Q250,$A$19:INDEX($A$19:$A$2018,$H$6),1)))*(INDEX($D$19:$D$2018,MATCH(Q250,$A$19:INDEX($A$19:$A$2018,$H$6),1)+1)-INDEX($D$19:$D$2018,MATCH(Q250,$A$19:INDEX($A$19:$A$2018,$H$6),1)))/(INDEX($A$19:$A$2018,MATCH(Q250,$A$19:INDEX($A$19:$A$2018,$H$6),1)+1)-INDEX($A$19:$A$2018,MATCH(Q250,$A$19:INDEX($A$19:$A$2018,$H$6),1))))))</f>
        <v/>
      </c>
    </row>
    <row r="251">
      <c r="A251" s="11" t="n"/>
      <c r="B251" s="11" t="n"/>
      <c r="C251" s="12">
        <f>IF(A251="","",$B$9*TAN(RADIANS(A251)))</f>
        <v/>
      </c>
      <c r="D251" s="12">
        <f>IF(C251="","",C251*(1+B251/100))</f>
        <v/>
      </c>
      <c r="E251" s="12">
        <f>IF(A251="","",$B$10*TAN(RADIANS(A251)))</f>
        <v/>
      </c>
      <c r="G251" s="8" t="n">
        <v>233</v>
      </c>
      <c r="H251" s="8">
        <f>$K$9</f>
        <v/>
      </c>
      <c r="I251" s="7" t="inlineStr">
        <is>
          <t>豎</t>
        </is>
      </c>
      <c r="J251" s="8" t="n">
        <v>4</v>
      </c>
      <c r="K251" s="7" t="inlineStr">
        <is>
          <t>左上</t>
        </is>
      </c>
      <c r="L251" s="8">
        <f>$O$9+($M$9+$L$9)/2-$M$9/2+$L$9/2+3*2*$L$9+(-1)*$L$9/2</f>
        <v/>
      </c>
      <c r="M251" s="8">
        <f>$P$9+(-1)*$M$9/2</f>
        <v/>
      </c>
      <c r="N251" s="8">
        <f>L251-$B$7/2</f>
        <v/>
      </c>
      <c r="O251" s="8">
        <f>M251-$B$8/2</f>
        <v/>
      </c>
      <c r="P251" s="8">
        <f>SQRT(N251^2+O251^2)</f>
        <v/>
      </c>
      <c r="Q251" s="8">
        <f>IF(OR($H$7&lt;&gt;"OK",P251=""),"",IF(P251&lt;=$D$19,$A$19,IF(P251&gt;=INDEX($D$19:$D$2018,$H$6),INDEX($A$19:$A$2018,$H$6),INDEX($A$19:$A$2018,MATCH(P251,$D$19:INDEX($D$19:$D$2018,$H$6),1))+(P251-INDEX($D$19:$D$2018,MATCH(P251,$D$19:INDEX($D$19:$D$2018,$H$6),1)))*(INDEX($A$19:$A$2018,MATCH(P251,$D$19:INDEX($D$19:$D$2018,$H$6),1)+1)-INDEX($A$19:$A$2018,MATCH(P251,$D$19:INDEX($D$19:$D$2018,$H$6),1)))/(INDEX($D$19:$D$2018,MATCH(P251,$D$19:INDEX($D$19:$D$2018,$H$6),1)+1)-INDEX($D$19:$D$2018,MATCH(P251,$D$19:INDEX($D$19:$D$2018,$H$6),1))))))</f>
        <v/>
      </c>
      <c r="R251" s="8">
        <f>IF(P251=0,0,-Y251*N251/P251)</f>
        <v/>
      </c>
      <c r="S251" s="8">
        <f>IF(P251=0,0,Y251*O251/P251)</f>
        <v/>
      </c>
      <c r="T251" s="8">
        <f>IF(Y251=0,$B$7/2,$B$7/2-Z251*R251/Y251)</f>
        <v/>
      </c>
      <c r="U251" s="8">
        <f>IF(Y251=0,$B$8/2,$B$8/2+Z251*S251/Y251)</f>
        <v/>
      </c>
      <c r="V251" s="8">
        <f>SQRT((T251-L251)^2+(U251-M251)^2)</f>
        <v/>
      </c>
      <c r="Y251">
        <f>$B$10*TAN(RADIANS(Q251))</f>
        <v/>
      </c>
      <c r="Z251">
        <f>IF(OR($H$7&lt;&gt;"OK",Q251=""),"",IF(Q251&lt;=$A$19,$D$19,IF(Q251&gt;=INDEX($A$19:$A$2018,$H$6),INDEX($D$19:$D$2018,$H$6),INDEX($D$19:$D$2018,MATCH(Q251,$A$19:INDEX($A$19:$A$2018,$H$6),1))+(Q251-INDEX($A$19:$A$2018,MATCH(Q251,$A$19:INDEX($A$19:$A$2018,$H$6),1)))*(INDEX($D$19:$D$2018,MATCH(Q251,$A$19:INDEX($A$19:$A$2018,$H$6),1)+1)-INDEX($D$19:$D$2018,MATCH(Q251,$A$19:INDEX($A$19:$A$2018,$H$6),1)))/(INDEX($A$19:$A$2018,MATCH(Q251,$A$19:INDEX($A$19:$A$2018,$H$6),1)+1)-INDEX($A$19:$A$2018,MATCH(Q251,$A$19:INDEX($A$19:$A$2018,$H$6),1))))))</f>
        <v/>
      </c>
    </row>
    <row r="252">
      <c r="A252" s="11" t="n"/>
      <c r="B252" s="11" t="n"/>
      <c r="C252" s="12">
        <f>IF(A252="","",$B$9*TAN(RADIANS(A252)))</f>
        <v/>
      </c>
      <c r="D252" s="12">
        <f>IF(C252="","",C252*(1+B252/100))</f>
        <v/>
      </c>
      <c r="E252" s="12">
        <f>IF(A252="","",$B$10*TAN(RADIANS(A252)))</f>
        <v/>
      </c>
      <c r="G252" s="8" t="n">
        <v>234</v>
      </c>
      <c r="H252" s="8">
        <f>$K$9</f>
        <v/>
      </c>
      <c r="I252" s="7" t="inlineStr">
        <is>
          <t>豎</t>
        </is>
      </c>
      <c r="J252" s="8" t="n">
        <v>4</v>
      </c>
      <c r="K252" s="7" t="inlineStr">
        <is>
          <t>右上</t>
        </is>
      </c>
      <c r="L252" s="8">
        <f>$O$9+($M$9+$L$9)/2-$M$9/2+$L$9/2+3*2*$L$9+(1)*$L$9/2</f>
        <v/>
      </c>
      <c r="M252" s="8">
        <f>$P$9+(-1)*$M$9/2</f>
        <v/>
      </c>
      <c r="N252" s="8">
        <f>L252-$B$7/2</f>
        <v/>
      </c>
      <c r="O252" s="8">
        <f>M252-$B$8/2</f>
        <v/>
      </c>
      <c r="P252" s="8">
        <f>SQRT(N252^2+O252^2)</f>
        <v/>
      </c>
      <c r="Q252" s="8">
        <f>IF(OR($H$7&lt;&gt;"OK",P252=""),"",IF(P252&lt;=$D$19,$A$19,IF(P252&gt;=INDEX($D$19:$D$2018,$H$6),INDEX($A$19:$A$2018,$H$6),INDEX($A$19:$A$2018,MATCH(P252,$D$19:INDEX($D$19:$D$2018,$H$6),1))+(P252-INDEX($D$19:$D$2018,MATCH(P252,$D$19:INDEX($D$19:$D$2018,$H$6),1)))*(INDEX($A$19:$A$2018,MATCH(P252,$D$19:INDEX($D$19:$D$2018,$H$6),1)+1)-INDEX($A$19:$A$2018,MATCH(P252,$D$19:INDEX($D$19:$D$2018,$H$6),1)))/(INDEX($D$19:$D$2018,MATCH(P252,$D$19:INDEX($D$19:$D$2018,$H$6),1)+1)-INDEX($D$19:$D$2018,MATCH(P252,$D$19:INDEX($D$19:$D$2018,$H$6),1))))))</f>
        <v/>
      </c>
      <c r="R252" s="8">
        <f>IF(P252=0,0,-Y252*N252/P252)</f>
        <v/>
      </c>
      <c r="S252" s="8">
        <f>IF(P252=0,0,Y252*O252/P252)</f>
        <v/>
      </c>
      <c r="T252" s="8">
        <f>IF(Y252=0,$B$7/2,$B$7/2-Z252*R252/Y252)</f>
        <v/>
      </c>
      <c r="U252" s="8">
        <f>IF(Y252=0,$B$8/2,$B$8/2+Z252*S252/Y252)</f>
        <v/>
      </c>
      <c r="V252" s="8">
        <f>SQRT((T252-L252)^2+(U252-M252)^2)</f>
        <v/>
      </c>
      <c r="Y252">
        <f>$B$10*TAN(RADIANS(Q252))</f>
        <v/>
      </c>
      <c r="Z252">
        <f>IF(OR($H$7&lt;&gt;"OK",Q252=""),"",IF(Q252&lt;=$A$19,$D$19,IF(Q252&gt;=INDEX($A$19:$A$2018,$H$6),INDEX($D$19:$D$2018,$H$6),INDEX($D$19:$D$2018,MATCH(Q252,$A$19:INDEX($A$19:$A$2018,$H$6),1))+(Q252-INDEX($A$19:$A$2018,MATCH(Q252,$A$19:INDEX($A$19:$A$2018,$H$6),1)))*(INDEX($D$19:$D$2018,MATCH(Q252,$A$19:INDEX($A$19:$A$2018,$H$6),1)+1)-INDEX($D$19:$D$2018,MATCH(Q252,$A$19:INDEX($A$19:$A$2018,$H$6),1)))/(INDEX($A$19:$A$2018,MATCH(Q252,$A$19:INDEX($A$19:$A$2018,$H$6),1)+1)-INDEX($A$19:$A$2018,MATCH(Q252,$A$19:INDEX($A$19:$A$2018,$H$6),1))))))</f>
        <v/>
      </c>
    </row>
    <row r="253">
      <c r="A253" s="11" t="n"/>
      <c r="B253" s="11" t="n"/>
      <c r="C253" s="12">
        <f>IF(A253="","",$B$9*TAN(RADIANS(A253)))</f>
        <v/>
      </c>
      <c r="D253" s="12">
        <f>IF(C253="","",C253*(1+B253/100))</f>
        <v/>
      </c>
      <c r="E253" s="12">
        <f>IF(A253="","",$B$10*TAN(RADIANS(A253)))</f>
        <v/>
      </c>
      <c r="G253" s="8" t="n">
        <v>235</v>
      </c>
      <c r="H253" s="8">
        <f>$K$9</f>
        <v/>
      </c>
      <c r="I253" s="7" t="inlineStr">
        <is>
          <t>豎</t>
        </is>
      </c>
      <c r="J253" s="8" t="n">
        <v>4</v>
      </c>
      <c r="K253" s="7" t="inlineStr">
        <is>
          <t>右下</t>
        </is>
      </c>
      <c r="L253" s="8">
        <f>$O$9+($M$9+$L$9)/2-$M$9/2+$L$9/2+3*2*$L$9+(1)*$L$9/2</f>
        <v/>
      </c>
      <c r="M253" s="8">
        <f>$P$9+(1)*$M$9/2</f>
        <v/>
      </c>
      <c r="N253" s="8">
        <f>L253-$B$7/2</f>
        <v/>
      </c>
      <c r="O253" s="8">
        <f>M253-$B$8/2</f>
        <v/>
      </c>
      <c r="P253" s="8">
        <f>SQRT(N253^2+O253^2)</f>
        <v/>
      </c>
      <c r="Q253" s="8">
        <f>IF(OR($H$7&lt;&gt;"OK",P253=""),"",IF(P253&lt;=$D$19,$A$19,IF(P253&gt;=INDEX($D$19:$D$2018,$H$6),INDEX($A$19:$A$2018,$H$6),INDEX($A$19:$A$2018,MATCH(P253,$D$19:INDEX($D$19:$D$2018,$H$6),1))+(P253-INDEX($D$19:$D$2018,MATCH(P253,$D$19:INDEX($D$19:$D$2018,$H$6),1)))*(INDEX($A$19:$A$2018,MATCH(P253,$D$19:INDEX($D$19:$D$2018,$H$6),1)+1)-INDEX($A$19:$A$2018,MATCH(P253,$D$19:INDEX($D$19:$D$2018,$H$6),1)))/(INDEX($D$19:$D$2018,MATCH(P253,$D$19:INDEX($D$19:$D$2018,$H$6),1)+1)-INDEX($D$19:$D$2018,MATCH(P253,$D$19:INDEX($D$19:$D$2018,$H$6),1))))))</f>
        <v/>
      </c>
      <c r="R253" s="8">
        <f>IF(P253=0,0,-Y253*N253/P253)</f>
        <v/>
      </c>
      <c r="S253" s="8">
        <f>IF(P253=0,0,Y253*O253/P253)</f>
        <v/>
      </c>
      <c r="T253" s="8">
        <f>IF(Y253=0,$B$7/2,$B$7/2-Z253*R253/Y253)</f>
        <v/>
      </c>
      <c r="U253" s="8">
        <f>IF(Y253=0,$B$8/2,$B$8/2+Z253*S253/Y253)</f>
        <v/>
      </c>
      <c r="V253" s="8">
        <f>SQRT((T253-L253)^2+(U253-M253)^2)</f>
        <v/>
      </c>
      <c r="Y253">
        <f>$B$10*TAN(RADIANS(Q253))</f>
        <v/>
      </c>
      <c r="Z253">
        <f>IF(OR($H$7&lt;&gt;"OK",Q253=""),"",IF(Q253&lt;=$A$19,$D$19,IF(Q253&gt;=INDEX($A$19:$A$2018,$H$6),INDEX($D$19:$D$2018,$H$6),INDEX($D$19:$D$2018,MATCH(Q253,$A$19:INDEX($A$19:$A$2018,$H$6),1))+(Q253-INDEX($A$19:$A$2018,MATCH(Q253,$A$19:INDEX($A$19:$A$2018,$H$6),1)))*(INDEX($D$19:$D$2018,MATCH(Q253,$A$19:INDEX($A$19:$A$2018,$H$6),1)+1)-INDEX($D$19:$D$2018,MATCH(Q253,$A$19:INDEX($A$19:$A$2018,$H$6),1)))/(INDEX($A$19:$A$2018,MATCH(Q253,$A$19:INDEX($A$19:$A$2018,$H$6),1)+1)-INDEX($A$19:$A$2018,MATCH(Q253,$A$19:INDEX($A$19:$A$2018,$H$6),1))))))</f>
        <v/>
      </c>
    </row>
    <row r="254">
      <c r="A254" s="11" t="n"/>
      <c r="B254" s="11" t="n"/>
      <c r="C254" s="12">
        <f>IF(A254="","",$B$9*TAN(RADIANS(A254)))</f>
        <v/>
      </c>
      <c r="D254" s="12">
        <f>IF(C254="","",C254*(1+B254/100))</f>
        <v/>
      </c>
      <c r="E254" s="12">
        <f>IF(A254="","",$B$10*TAN(RADIANS(A254)))</f>
        <v/>
      </c>
      <c r="G254" s="8" t="n">
        <v>236</v>
      </c>
      <c r="H254" s="8">
        <f>$K$9</f>
        <v/>
      </c>
      <c r="I254" s="7" t="inlineStr">
        <is>
          <t>豎</t>
        </is>
      </c>
      <c r="J254" s="8" t="n">
        <v>4</v>
      </c>
      <c r="K254" s="7" t="inlineStr">
        <is>
          <t>左下</t>
        </is>
      </c>
      <c r="L254" s="8">
        <f>$O$9+($M$9+$L$9)/2-$M$9/2+$L$9/2+3*2*$L$9+(-1)*$L$9/2</f>
        <v/>
      </c>
      <c r="M254" s="8">
        <f>$P$9+(1)*$M$9/2</f>
        <v/>
      </c>
      <c r="N254" s="8">
        <f>L254-$B$7/2</f>
        <v/>
      </c>
      <c r="O254" s="8">
        <f>M254-$B$8/2</f>
        <v/>
      </c>
      <c r="P254" s="8">
        <f>SQRT(N254^2+O254^2)</f>
        <v/>
      </c>
      <c r="Q254" s="8">
        <f>IF(OR($H$7&lt;&gt;"OK",P254=""),"",IF(P254&lt;=$D$19,$A$19,IF(P254&gt;=INDEX($D$19:$D$2018,$H$6),INDEX($A$19:$A$2018,$H$6),INDEX($A$19:$A$2018,MATCH(P254,$D$19:INDEX($D$19:$D$2018,$H$6),1))+(P254-INDEX($D$19:$D$2018,MATCH(P254,$D$19:INDEX($D$19:$D$2018,$H$6),1)))*(INDEX($A$19:$A$2018,MATCH(P254,$D$19:INDEX($D$19:$D$2018,$H$6),1)+1)-INDEX($A$19:$A$2018,MATCH(P254,$D$19:INDEX($D$19:$D$2018,$H$6),1)))/(INDEX($D$19:$D$2018,MATCH(P254,$D$19:INDEX($D$19:$D$2018,$H$6),1)+1)-INDEX($D$19:$D$2018,MATCH(P254,$D$19:INDEX($D$19:$D$2018,$H$6),1))))))</f>
        <v/>
      </c>
      <c r="R254" s="8">
        <f>IF(P254=0,0,-Y254*N254/P254)</f>
        <v/>
      </c>
      <c r="S254" s="8">
        <f>IF(P254=0,0,Y254*O254/P254)</f>
        <v/>
      </c>
      <c r="T254" s="8">
        <f>IF(Y254=0,$B$7/2,$B$7/2-Z254*R254/Y254)</f>
        <v/>
      </c>
      <c r="U254" s="8">
        <f>IF(Y254=0,$B$8/2,$B$8/2+Z254*S254/Y254)</f>
        <v/>
      </c>
      <c r="V254" s="8">
        <f>SQRT((T254-L254)^2+(U254-M254)^2)</f>
        <v/>
      </c>
      <c r="Y254">
        <f>$B$10*TAN(RADIANS(Q254))</f>
        <v/>
      </c>
      <c r="Z254">
        <f>IF(OR($H$7&lt;&gt;"OK",Q254=""),"",IF(Q254&lt;=$A$19,$D$19,IF(Q254&gt;=INDEX($A$19:$A$2018,$H$6),INDEX($D$19:$D$2018,$H$6),INDEX($D$19:$D$2018,MATCH(Q254,$A$19:INDEX($A$19:$A$2018,$H$6),1))+(Q254-INDEX($A$19:$A$2018,MATCH(Q254,$A$19:INDEX($A$19:$A$2018,$H$6),1)))*(INDEX($D$19:$D$2018,MATCH(Q254,$A$19:INDEX($A$19:$A$2018,$H$6),1)+1)-INDEX($D$19:$D$2018,MATCH(Q254,$A$19:INDEX($A$19:$A$2018,$H$6),1)))/(INDEX($A$19:$A$2018,MATCH(Q254,$A$19:INDEX($A$19:$A$2018,$H$6),1)+1)-INDEX($A$19:$A$2018,MATCH(Q254,$A$19:INDEX($A$19:$A$2018,$H$6),1))))))</f>
        <v/>
      </c>
    </row>
    <row r="255">
      <c r="A255" s="11" t="n"/>
      <c r="B255" s="11" t="n"/>
      <c r="C255" s="12">
        <f>IF(A255="","",$B$9*TAN(RADIANS(A255)))</f>
        <v/>
      </c>
      <c r="D255" s="12">
        <f>IF(C255="","",C255*(1+B255/100))</f>
        <v/>
      </c>
      <c r="E255" s="12">
        <f>IF(A255="","",$B$10*TAN(RADIANS(A255)))</f>
        <v/>
      </c>
      <c r="G255" s="8" t="n">
        <v>237</v>
      </c>
      <c r="H255" s="8">
        <f>$K$9</f>
        <v/>
      </c>
      <c r="I255" s="7" t="inlineStr">
        <is>
          <t>豎</t>
        </is>
      </c>
      <c r="J255" s="8" t="n">
        <v>5</v>
      </c>
      <c r="K255" s="7" t="inlineStr">
        <is>
          <t>左上</t>
        </is>
      </c>
      <c r="L255" s="8">
        <f>$O$9+($M$9+$L$9)/2-$M$9/2+$L$9/2+4*2*$L$9+(-1)*$L$9/2</f>
        <v/>
      </c>
      <c r="M255" s="8">
        <f>$P$9+(-1)*$M$9/2</f>
        <v/>
      </c>
      <c r="N255" s="8">
        <f>L255-$B$7/2</f>
        <v/>
      </c>
      <c r="O255" s="8">
        <f>M255-$B$8/2</f>
        <v/>
      </c>
      <c r="P255" s="8">
        <f>SQRT(N255^2+O255^2)</f>
        <v/>
      </c>
      <c r="Q255" s="8">
        <f>IF(OR($H$7&lt;&gt;"OK",P255=""),"",IF(P255&lt;=$D$19,$A$19,IF(P255&gt;=INDEX($D$19:$D$2018,$H$6),INDEX($A$19:$A$2018,$H$6),INDEX($A$19:$A$2018,MATCH(P255,$D$19:INDEX($D$19:$D$2018,$H$6),1))+(P255-INDEX($D$19:$D$2018,MATCH(P255,$D$19:INDEX($D$19:$D$2018,$H$6),1)))*(INDEX($A$19:$A$2018,MATCH(P255,$D$19:INDEX($D$19:$D$2018,$H$6),1)+1)-INDEX($A$19:$A$2018,MATCH(P255,$D$19:INDEX($D$19:$D$2018,$H$6),1)))/(INDEX($D$19:$D$2018,MATCH(P255,$D$19:INDEX($D$19:$D$2018,$H$6),1)+1)-INDEX($D$19:$D$2018,MATCH(P255,$D$19:INDEX($D$19:$D$2018,$H$6),1))))))</f>
        <v/>
      </c>
      <c r="R255" s="8">
        <f>IF(P255=0,0,-Y255*N255/P255)</f>
        <v/>
      </c>
      <c r="S255" s="8">
        <f>IF(P255=0,0,Y255*O255/P255)</f>
        <v/>
      </c>
      <c r="T255" s="8">
        <f>IF(Y255=0,$B$7/2,$B$7/2-Z255*R255/Y255)</f>
        <v/>
      </c>
      <c r="U255" s="8">
        <f>IF(Y255=0,$B$8/2,$B$8/2+Z255*S255/Y255)</f>
        <v/>
      </c>
      <c r="V255" s="8">
        <f>SQRT((T255-L255)^2+(U255-M255)^2)</f>
        <v/>
      </c>
      <c r="Y255">
        <f>$B$10*TAN(RADIANS(Q255))</f>
        <v/>
      </c>
      <c r="Z255">
        <f>IF(OR($H$7&lt;&gt;"OK",Q255=""),"",IF(Q255&lt;=$A$19,$D$19,IF(Q255&gt;=INDEX($A$19:$A$2018,$H$6),INDEX($D$19:$D$2018,$H$6),INDEX($D$19:$D$2018,MATCH(Q255,$A$19:INDEX($A$19:$A$2018,$H$6),1))+(Q255-INDEX($A$19:$A$2018,MATCH(Q255,$A$19:INDEX($A$19:$A$2018,$H$6),1)))*(INDEX($D$19:$D$2018,MATCH(Q255,$A$19:INDEX($A$19:$A$2018,$H$6),1)+1)-INDEX($D$19:$D$2018,MATCH(Q255,$A$19:INDEX($A$19:$A$2018,$H$6),1)))/(INDEX($A$19:$A$2018,MATCH(Q255,$A$19:INDEX($A$19:$A$2018,$H$6),1)+1)-INDEX($A$19:$A$2018,MATCH(Q255,$A$19:INDEX($A$19:$A$2018,$H$6),1))))))</f>
        <v/>
      </c>
    </row>
    <row r="256">
      <c r="A256" s="11" t="n"/>
      <c r="B256" s="11" t="n"/>
      <c r="C256" s="12">
        <f>IF(A256="","",$B$9*TAN(RADIANS(A256)))</f>
        <v/>
      </c>
      <c r="D256" s="12">
        <f>IF(C256="","",C256*(1+B256/100))</f>
        <v/>
      </c>
      <c r="E256" s="12">
        <f>IF(A256="","",$B$10*TAN(RADIANS(A256)))</f>
        <v/>
      </c>
      <c r="G256" s="8" t="n">
        <v>238</v>
      </c>
      <c r="H256" s="8">
        <f>$K$9</f>
        <v/>
      </c>
      <c r="I256" s="7" t="inlineStr">
        <is>
          <t>豎</t>
        </is>
      </c>
      <c r="J256" s="8" t="n">
        <v>5</v>
      </c>
      <c r="K256" s="7" t="inlineStr">
        <is>
          <t>右上</t>
        </is>
      </c>
      <c r="L256" s="8">
        <f>$O$9+($M$9+$L$9)/2-$M$9/2+$L$9/2+4*2*$L$9+(1)*$L$9/2</f>
        <v/>
      </c>
      <c r="M256" s="8">
        <f>$P$9+(-1)*$M$9/2</f>
        <v/>
      </c>
      <c r="N256" s="8">
        <f>L256-$B$7/2</f>
        <v/>
      </c>
      <c r="O256" s="8">
        <f>M256-$B$8/2</f>
        <v/>
      </c>
      <c r="P256" s="8">
        <f>SQRT(N256^2+O256^2)</f>
        <v/>
      </c>
      <c r="Q256" s="8">
        <f>IF(OR($H$7&lt;&gt;"OK",P256=""),"",IF(P256&lt;=$D$19,$A$19,IF(P256&gt;=INDEX($D$19:$D$2018,$H$6),INDEX($A$19:$A$2018,$H$6),INDEX($A$19:$A$2018,MATCH(P256,$D$19:INDEX($D$19:$D$2018,$H$6),1))+(P256-INDEX($D$19:$D$2018,MATCH(P256,$D$19:INDEX($D$19:$D$2018,$H$6),1)))*(INDEX($A$19:$A$2018,MATCH(P256,$D$19:INDEX($D$19:$D$2018,$H$6),1)+1)-INDEX($A$19:$A$2018,MATCH(P256,$D$19:INDEX($D$19:$D$2018,$H$6),1)))/(INDEX($D$19:$D$2018,MATCH(P256,$D$19:INDEX($D$19:$D$2018,$H$6),1)+1)-INDEX($D$19:$D$2018,MATCH(P256,$D$19:INDEX($D$19:$D$2018,$H$6),1))))))</f>
        <v/>
      </c>
      <c r="R256" s="8">
        <f>IF(P256=0,0,-Y256*N256/P256)</f>
        <v/>
      </c>
      <c r="S256" s="8">
        <f>IF(P256=0,0,Y256*O256/P256)</f>
        <v/>
      </c>
      <c r="T256" s="8">
        <f>IF(Y256=0,$B$7/2,$B$7/2-Z256*R256/Y256)</f>
        <v/>
      </c>
      <c r="U256" s="8">
        <f>IF(Y256=0,$B$8/2,$B$8/2+Z256*S256/Y256)</f>
        <v/>
      </c>
      <c r="V256" s="8">
        <f>SQRT((T256-L256)^2+(U256-M256)^2)</f>
        <v/>
      </c>
      <c r="Y256">
        <f>$B$10*TAN(RADIANS(Q256))</f>
        <v/>
      </c>
      <c r="Z256">
        <f>IF(OR($H$7&lt;&gt;"OK",Q256=""),"",IF(Q256&lt;=$A$19,$D$19,IF(Q256&gt;=INDEX($A$19:$A$2018,$H$6),INDEX($D$19:$D$2018,$H$6),INDEX($D$19:$D$2018,MATCH(Q256,$A$19:INDEX($A$19:$A$2018,$H$6),1))+(Q256-INDEX($A$19:$A$2018,MATCH(Q256,$A$19:INDEX($A$19:$A$2018,$H$6),1)))*(INDEX($D$19:$D$2018,MATCH(Q256,$A$19:INDEX($A$19:$A$2018,$H$6),1)+1)-INDEX($D$19:$D$2018,MATCH(Q256,$A$19:INDEX($A$19:$A$2018,$H$6),1)))/(INDEX($A$19:$A$2018,MATCH(Q256,$A$19:INDEX($A$19:$A$2018,$H$6),1)+1)-INDEX($A$19:$A$2018,MATCH(Q256,$A$19:INDEX($A$19:$A$2018,$H$6),1))))))</f>
        <v/>
      </c>
    </row>
    <row r="257">
      <c r="A257" s="11" t="n"/>
      <c r="B257" s="11" t="n"/>
      <c r="C257" s="12">
        <f>IF(A257="","",$B$9*TAN(RADIANS(A257)))</f>
        <v/>
      </c>
      <c r="D257" s="12">
        <f>IF(C257="","",C257*(1+B257/100))</f>
        <v/>
      </c>
      <c r="E257" s="12">
        <f>IF(A257="","",$B$10*TAN(RADIANS(A257)))</f>
        <v/>
      </c>
      <c r="G257" s="8" t="n">
        <v>239</v>
      </c>
      <c r="H257" s="8">
        <f>$K$9</f>
        <v/>
      </c>
      <c r="I257" s="7" t="inlineStr">
        <is>
          <t>豎</t>
        </is>
      </c>
      <c r="J257" s="8" t="n">
        <v>5</v>
      </c>
      <c r="K257" s="7" t="inlineStr">
        <is>
          <t>右下</t>
        </is>
      </c>
      <c r="L257" s="8">
        <f>$O$9+($M$9+$L$9)/2-$M$9/2+$L$9/2+4*2*$L$9+(1)*$L$9/2</f>
        <v/>
      </c>
      <c r="M257" s="8">
        <f>$P$9+(1)*$M$9/2</f>
        <v/>
      </c>
      <c r="N257" s="8">
        <f>L257-$B$7/2</f>
        <v/>
      </c>
      <c r="O257" s="8">
        <f>M257-$B$8/2</f>
        <v/>
      </c>
      <c r="P257" s="8">
        <f>SQRT(N257^2+O257^2)</f>
        <v/>
      </c>
      <c r="Q257" s="8">
        <f>IF(OR($H$7&lt;&gt;"OK",P257=""),"",IF(P257&lt;=$D$19,$A$19,IF(P257&gt;=INDEX($D$19:$D$2018,$H$6),INDEX($A$19:$A$2018,$H$6),INDEX($A$19:$A$2018,MATCH(P257,$D$19:INDEX($D$19:$D$2018,$H$6),1))+(P257-INDEX($D$19:$D$2018,MATCH(P257,$D$19:INDEX($D$19:$D$2018,$H$6),1)))*(INDEX($A$19:$A$2018,MATCH(P257,$D$19:INDEX($D$19:$D$2018,$H$6),1)+1)-INDEX($A$19:$A$2018,MATCH(P257,$D$19:INDEX($D$19:$D$2018,$H$6),1)))/(INDEX($D$19:$D$2018,MATCH(P257,$D$19:INDEX($D$19:$D$2018,$H$6),1)+1)-INDEX($D$19:$D$2018,MATCH(P257,$D$19:INDEX($D$19:$D$2018,$H$6),1))))))</f>
        <v/>
      </c>
      <c r="R257" s="8">
        <f>IF(P257=0,0,-Y257*N257/P257)</f>
        <v/>
      </c>
      <c r="S257" s="8">
        <f>IF(P257=0,0,Y257*O257/P257)</f>
        <v/>
      </c>
      <c r="T257" s="8">
        <f>IF(Y257=0,$B$7/2,$B$7/2-Z257*R257/Y257)</f>
        <v/>
      </c>
      <c r="U257" s="8">
        <f>IF(Y257=0,$B$8/2,$B$8/2+Z257*S257/Y257)</f>
        <v/>
      </c>
      <c r="V257" s="8">
        <f>SQRT((T257-L257)^2+(U257-M257)^2)</f>
        <v/>
      </c>
      <c r="Y257">
        <f>$B$10*TAN(RADIANS(Q257))</f>
        <v/>
      </c>
      <c r="Z257">
        <f>IF(OR($H$7&lt;&gt;"OK",Q257=""),"",IF(Q257&lt;=$A$19,$D$19,IF(Q257&gt;=INDEX($A$19:$A$2018,$H$6),INDEX($D$19:$D$2018,$H$6),INDEX($D$19:$D$2018,MATCH(Q257,$A$19:INDEX($A$19:$A$2018,$H$6),1))+(Q257-INDEX($A$19:$A$2018,MATCH(Q257,$A$19:INDEX($A$19:$A$2018,$H$6),1)))*(INDEX($D$19:$D$2018,MATCH(Q257,$A$19:INDEX($A$19:$A$2018,$H$6),1)+1)-INDEX($D$19:$D$2018,MATCH(Q257,$A$19:INDEX($A$19:$A$2018,$H$6),1)))/(INDEX($A$19:$A$2018,MATCH(Q257,$A$19:INDEX($A$19:$A$2018,$H$6),1)+1)-INDEX($A$19:$A$2018,MATCH(Q257,$A$19:INDEX($A$19:$A$2018,$H$6),1))))))</f>
        <v/>
      </c>
    </row>
    <row r="258">
      <c r="A258" s="11" t="n"/>
      <c r="B258" s="11" t="n"/>
      <c r="C258" s="12">
        <f>IF(A258="","",$B$9*TAN(RADIANS(A258)))</f>
        <v/>
      </c>
      <c r="D258" s="12">
        <f>IF(C258="","",C258*(1+B258/100))</f>
        <v/>
      </c>
      <c r="E258" s="12">
        <f>IF(A258="","",$B$10*TAN(RADIANS(A258)))</f>
        <v/>
      </c>
      <c r="G258" s="8" t="n">
        <v>240</v>
      </c>
      <c r="H258" s="8">
        <f>$K$9</f>
        <v/>
      </c>
      <c r="I258" s="7" t="inlineStr">
        <is>
          <t>豎</t>
        </is>
      </c>
      <c r="J258" s="8" t="n">
        <v>5</v>
      </c>
      <c r="K258" s="7" t="inlineStr">
        <is>
          <t>左下</t>
        </is>
      </c>
      <c r="L258" s="8">
        <f>$O$9+($M$9+$L$9)/2-$M$9/2+$L$9/2+4*2*$L$9+(-1)*$L$9/2</f>
        <v/>
      </c>
      <c r="M258" s="8">
        <f>$P$9+(1)*$M$9/2</f>
        <v/>
      </c>
      <c r="N258" s="8">
        <f>L258-$B$7/2</f>
        <v/>
      </c>
      <c r="O258" s="8">
        <f>M258-$B$8/2</f>
        <v/>
      </c>
      <c r="P258" s="8">
        <f>SQRT(N258^2+O258^2)</f>
        <v/>
      </c>
      <c r="Q258" s="8">
        <f>IF(OR($H$7&lt;&gt;"OK",P258=""),"",IF(P258&lt;=$D$19,$A$19,IF(P258&gt;=INDEX($D$19:$D$2018,$H$6),INDEX($A$19:$A$2018,$H$6),INDEX($A$19:$A$2018,MATCH(P258,$D$19:INDEX($D$19:$D$2018,$H$6),1))+(P258-INDEX($D$19:$D$2018,MATCH(P258,$D$19:INDEX($D$19:$D$2018,$H$6),1)))*(INDEX($A$19:$A$2018,MATCH(P258,$D$19:INDEX($D$19:$D$2018,$H$6),1)+1)-INDEX($A$19:$A$2018,MATCH(P258,$D$19:INDEX($D$19:$D$2018,$H$6),1)))/(INDEX($D$19:$D$2018,MATCH(P258,$D$19:INDEX($D$19:$D$2018,$H$6),1)+1)-INDEX($D$19:$D$2018,MATCH(P258,$D$19:INDEX($D$19:$D$2018,$H$6),1))))))</f>
        <v/>
      </c>
      <c r="R258" s="8">
        <f>IF(P258=0,0,-Y258*N258/P258)</f>
        <v/>
      </c>
      <c r="S258" s="8">
        <f>IF(P258=0,0,Y258*O258/P258)</f>
        <v/>
      </c>
      <c r="T258" s="8">
        <f>IF(Y258=0,$B$7/2,$B$7/2-Z258*R258/Y258)</f>
        <v/>
      </c>
      <c r="U258" s="8">
        <f>IF(Y258=0,$B$8/2,$B$8/2+Z258*S258/Y258)</f>
        <v/>
      </c>
      <c r="V258" s="8">
        <f>SQRT((T258-L258)^2+(U258-M258)^2)</f>
        <v/>
      </c>
      <c r="Y258">
        <f>$B$10*TAN(RADIANS(Q258))</f>
        <v/>
      </c>
      <c r="Z258">
        <f>IF(OR($H$7&lt;&gt;"OK",Q258=""),"",IF(Q258&lt;=$A$19,$D$19,IF(Q258&gt;=INDEX($A$19:$A$2018,$H$6),INDEX($D$19:$D$2018,$H$6),INDEX($D$19:$D$2018,MATCH(Q258,$A$19:INDEX($A$19:$A$2018,$H$6),1))+(Q258-INDEX($A$19:$A$2018,MATCH(Q258,$A$19:INDEX($A$19:$A$2018,$H$6),1)))*(INDEX($D$19:$D$2018,MATCH(Q258,$A$19:INDEX($A$19:$A$2018,$H$6),1)+1)-INDEX($D$19:$D$2018,MATCH(Q258,$A$19:INDEX($A$19:$A$2018,$H$6),1)))/(INDEX($A$19:$A$2018,MATCH(Q258,$A$19:INDEX($A$19:$A$2018,$H$6),1)+1)-INDEX($A$19:$A$2018,MATCH(Q258,$A$19:INDEX($A$19:$A$2018,$H$6),1))))))</f>
        <v/>
      </c>
    </row>
    <row r="259">
      <c r="A259" s="11" t="n"/>
      <c r="B259" s="11" t="n"/>
      <c r="C259" s="12">
        <f>IF(A259="","",$B$9*TAN(RADIANS(A259)))</f>
        <v/>
      </c>
      <c r="D259" s="12">
        <f>IF(C259="","",C259*(1+B259/100))</f>
        <v/>
      </c>
      <c r="E259" s="12">
        <f>IF(A259="","",$B$10*TAN(RADIANS(A259)))</f>
        <v/>
      </c>
      <c r="G259" s="8" t="n">
        <v>241</v>
      </c>
      <c r="H259" s="8">
        <f>$K$10</f>
        <v/>
      </c>
      <c r="I259" s="7" t="inlineStr">
        <is>
          <t>橫</t>
        </is>
      </c>
      <c r="J259" s="8" t="n">
        <v>1</v>
      </c>
      <c r="K259" s="7" t="inlineStr">
        <is>
          <t>左上</t>
        </is>
      </c>
      <c r="L259" s="8">
        <f>$O$10-($M$10+$L$10)/2+(-1)*$M$10/2</f>
        <v/>
      </c>
      <c r="M259" s="8">
        <f>$P$10-$M$10/2+$L$10/2+0*2*$L$10+(-1)*$L$10/2</f>
        <v/>
      </c>
      <c r="N259" s="8">
        <f>L259-$B$7/2</f>
        <v/>
      </c>
      <c r="O259" s="8">
        <f>M259-$B$8/2</f>
        <v/>
      </c>
      <c r="P259" s="8">
        <f>SQRT(N259^2+O259^2)</f>
        <v/>
      </c>
      <c r="Q259" s="8">
        <f>IF(OR($H$7&lt;&gt;"OK",P259=""),"",IF(P259&lt;=$D$19,$A$19,IF(P259&gt;=INDEX($D$19:$D$2018,$H$6),INDEX($A$19:$A$2018,$H$6),INDEX($A$19:$A$2018,MATCH(P259,$D$19:INDEX($D$19:$D$2018,$H$6),1))+(P259-INDEX($D$19:$D$2018,MATCH(P259,$D$19:INDEX($D$19:$D$2018,$H$6),1)))*(INDEX($A$19:$A$2018,MATCH(P259,$D$19:INDEX($D$19:$D$2018,$H$6),1)+1)-INDEX($A$19:$A$2018,MATCH(P259,$D$19:INDEX($D$19:$D$2018,$H$6),1)))/(INDEX($D$19:$D$2018,MATCH(P259,$D$19:INDEX($D$19:$D$2018,$H$6),1)+1)-INDEX($D$19:$D$2018,MATCH(P259,$D$19:INDEX($D$19:$D$2018,$H$6),1))))))</f>
        <v/>
      </c>
      <c r="R259" s="8">
        <f>IF(P259=0,0,-Y259*N259/P259)</f>
        <v/>
      </c>
      <c r="S259" s="8">
        <f>IF(P259=0,0,Y259*O259/P259)</f>
        <v/>
      </c>
      <c r="T259" s="8">
        <f>IF(Y259=0,$B$7/2,$B$7/2-Z259*R259/Y259)</f>
        <v/>
      </c>
      <c r="U259" s="8">
        <f>IF(Y259=0,$B$8/2,$B$8/2+Z259*S259/Y259)</f>
        <v/>
      </c>
      <c r="V259" s="8">
        <f>SQRT((T259-L259)^2+(U259-M259)^2)</f>
        <v/>
      </c>
      <c r="Y259">
        <f>$B$10*TAN(RADIANS(Q259))</f>
        <v/>
      </c>
      <c r="Z259">
        <f>IF(OR($H$7&lt;&gt;"OK",Q259=""),"",IF(Q259&lt;=$A$19,$D$19,IF(Q259&gt;=INDEX($A$19:$A$2018,$H$6),INDEX($D$19:$D$2018,$H$6),INDEX($D$19:$D$2018,MATCH(Q259,$A$19:INDEX($A$19:$A$2018,$H$6),1))+(Q259-INDEX($A$19:$A$2018,MATCH(Q259,$A$19:INDEX($A$19:$A$2018,$H$6),1)))*(INDEX($D$19:$D$2018,MATCH(Q259,$A$19:INDEX($A$19:$A$2018,$H$6),1)+1)-INDEX($D$19:$D$2018,MATCH(Q259,$A$19:INDEX($A$19:$A$2018,$H$6),1)))/(INDEX($A$19:$A$2018,MATCH(Q259,$A$19:INDEX($A$19:$A$2018,$H$6),1)+1)-INDEX($A$19:$A$2018,MATCH(Q259,$A$19:INDEX($A$19:$A$2018,$H$6),1))))))</f>
        <v/>
      </c>
    </row>
    <row r="260">
      <c r="A260" s="11" t="n"/>
      <c r="B260" s="11" t="n"/>
      <c r="C260" s="12">
        <f>IF(A260="","",$B$9*TAN(RADIANS(A260)))</f>
        <v/>
      </c>
      <c r="D260" s="12">
        <f>IF(C260="","",C260*(1+B260/100))</f>
        <v/>
      </c>
      <c r="E260" s="12">
        <f>IF(A260="","",$B$10*TAN(RADIANS(A260)))</f>
        <v/>
      </c>
      <c r="G260" s="8" t="n">
        <v>242</v>
      </c>
      <c r="H260" s="8">
        <f>$K$10</f>
        <v/>
      </c>
      <c r="I260" s="7" t="inlineStr">
        <is>
          <t>橫</t>
        </is>
      </c>
      <c r="J260" s="8" t="n">
        <v>1</v>
      </c>
      <c r="K260" s="7" t="inlineStr">
        <is>
          <t>右上</t>
        </is>
      </c>
      <c r="L260" s="8">
        <f>$O$10-($M$10+$L$10)/2+(1)*$M$10/2</f>
        <v/>
      </c>
      <c r="M260" s="8">
        <f>$P$10-$M$10/2+$L$10/2+0*2*$L$10+(-1)*$L$10/2</f>
        <v/>
      </c>
      <c r="N260" s="8">
        <f>L260-$B$7/2</f>
        <v/>
      </c>
      <c r="O260" s="8">
        <f>M260-$B$8/2</f>
        <v/>
      </c>
      <c r="P260" s="8">
        <f>SQRT(N260^2+O260^2)</f>
        <v/>
      </c>
      <c r="Q260" s="8">
        <f>IF(OR($H$7&lt;&gt;"OK",P260=""),"",IF(P260&lt;=$D$19,$A$19,IF(P260&gt;=INDEX($D$19:$D$2018,$H$6),INDEX($A$19:$A$2018,$H$6),INDEX($A$19:$A$2018,MATCH(P260,$D$19:INDEX($D$19:$D$2018,$H$6),1))+(P260-INDEX($D$19:$D$2018,MATCH(P260,$D$19:INDEX($D$19:$D$2018,$H$6),1)))*(INDEX($A$19:$A$2018,MATCH(P260,$D$19:INDEX($D$19:$D$2018,$H$6),1)+1)-INDEX($A$19:$A$2018,MATCH(P260,$D$19:INDEX($D$19:$D$2018,$H$6),1)))/(INDEX($D$19:$D$2018,MATCH(P260,$D$19:INDEX($D$19:$D$2018,$H$6),1)+1)-INDEX($D$19:$D$2018,MATCH(P260,$D$19:INDEX($D$19:$D$2018,$H$6),1))))))</f>
        <v/>
      </c>
      <c r="R260" s="8">
        <f>IF(P260=0,0,-Y260*N260/P260)</f>
        <v/>
      </c>
      <c r="S260" s="8">
        <f>IF(P260=0,0,Y260*O260/P260)</f>
        <v/>
      </c>
      <c r="T260" s="8">
        <f>IF(Y260=0,$B$7/2,$B$7/2-Z260*R260/Y260)</f>
        <v/>
      </c>
      <c r="U260" s="8">
        <f>IF(Y260=0,$B$8/2,$B$8/2+Z260*S260/Y260)</f>
        <v/>
      </c>
      <c r="V260" s="8">
        <f>SQRT((T260-L260)^2+(U260-M260)^2)</f>
        <v/>
      </c>
      <c r="Y260">
        <f>$B$10*TAN(RADIANS(Q260))</f>
        <v/>
      </c>
      <c r="Z260">
        <f>IF(OR($H$7&lt;&gt;"OK",Q260=""),"",IF(Q260&lt;=$A$19,$D$19,IF(Q260&gt;=INDEX($A$19:$A$2018,$H$6),INDEX($D$19:$D$2018,$H$6),INDEX($D$19:$D$2018,MATCH(Q260,$A$19:INDEX($A$19:$A$2018,$H$6),1))+(Q260-INDEX($A$19:$A$2018,MATCH(Q260,$A$19:INDEX($A$19:$A$2018,$H$6),1)))*(INDEX($D$19:$D$2018,MATCH(Q260,$A$19:INDEX($A$19:$A$2018,$H$6),1)+1)-INDEX($D$19:$D$2018,MATCH(Q260,$A$19:INDEX($A$19:$A$2018,$H$6),1)))/(INDEX($A$19:$A$2018,MATCH(Q260,$A$19:INDEX($A$19:$A$2018,$H$6),1)+1)-INDEX($A$19:$A$2018,MATCH(Q260,$A$19:INDEX($A$19:$A$2018,$H$6),1))))))</f>
        <v/>
      </c>
    </row>
    <row r="261">
      <c r="A261" s="11" t="n"/>
      <c r="B261" s="11" t="n"/>
      <c r="C261" s="12">
        <f>IF(A261="","",$B$9*TAN(RADIANS(A261)))</f>
        <v/>
      </c>
      <c r="D261" s="12">
        <f>IF(C261="","",C261*(1+B261/100))</f>
        <v/>
      </c>
      <c r="E261" s="12">
        <f>IF(A261="","",$B$10*TAN(RADIANS(A261)))</f>
        <v/>
      </c>
      <c r="G261" s="8" t="n">
        <v>243</v>
      </c>
      <c r="H261" s="8">
        <f>$K$10</f>
        <v/>
      </c>
      <c r="I261" s="7" t="inlineStr">
        <is>
          <t>橫</t>
        </is>
      </c>
      <c r="J261" s="8" t="n">
        <v>1</v>
      </c>
      <c r="K261" s="7" t="inlineStr">
        <is>
          <t>右下</t>
        </is>
      </c>
      <c r="L261" s="8">
        <f>$O$10-($M$10+$L$10)/2+(1)*$M$10/2</f>
        <v/>
      </c>
      <c r="M261" s="8">
        <f>$P$10-$M$10/2+$L$10/2+0*2*$L$10+(1)*$L$10/2</f>
        <v/>
      </c>
      <c r="N261" s="8">
        <f>L261-$B$7/2</f>
        <v/>
      </c>
      <c r="O261" s="8">
        <f>M261-$B$8/2</f>
        <v/>
      </c>
      <c r="P261" s="8">
        <f>SQRT(N261^2+O261^2)</f>
        <v/>
      </c>
      <c r="Q261" s="8">
        <f>IF(OR($H$7&lt;&gt;"OK",P261=""),"",IF(P261&lt;=$D$19,$A$19,IF(P261&gt;=INDEX($D$19:$D$2018,$H$6),INDEX($A$19:$A$2018,$H$6),INDEX($A$19:$A$2018,MATCH(P261,$D$19:INDEX($D$19:$D$2018,$H$6),1))+(P261-INDEX($D$19:$D$2018,MATCH(P261,$D$19:INDEX($D$19:$D$2018,$H$6),1)))*(INDEX($A$19:$A$2018,MATCH(P261,$D$19:INDEX($D$19:$D$2018,$H$6),1)+1)-INDEX($A$19:$A$2018,MATCH(P261,$D$19:INDEX($D$19:$D$2018,$H$6),1)))/(INDEX($D$19:$D$2018,MATCH(P261,$D$19:INDEX($D$19:$D$2018,$H$6),1)+1)-INDEX($D$19:$D$2018,MATCH(P261,$D$19:INDEX($D$19:$D$2018,$H$6),1))))))</f>
        <v/>
      </c>
      <c r="R261" s="8">
        <f>IF(P261=0,0,-Y261*N261/P261)</f>
        <v/>
      </c>
      <c r="S261" s="8">
        <f>IF(P261=0,0,Y261*O261/P261)</f>
        <v/>
      </c>
      <c r="T261" s="8">
        <f>IF(Y261=0,$B$7/2,$B$7/2-Z261*R261/Y261)</f>
        <v/>
      </c>
      <c r="U261" s="8">
        <f>IF(Y261=0,$B$8/2,$B$8/2+Z261*S261/Y261)</f>
        <v/>
      </c>
      <c r="V261" s="8">
        <f>SQRT((T261-L261)^2+(U261-M261)^2)</f>
        <v/>
      </c>
      <c r="Y261">
        <f>$B$10*TAN(RADIANS(Q261))</f>
        <v/>
      </c>
      <c r="Z261">
        <f>IF(OR($H$7&lt;&gt;"OK",Q261=""),"",IF(Q261&lt;=$A$19,$D$19,IF(Q261&gt;=INDEX($A$19:$A$2018,$H$6),INDEX($D$19:$D$2018,$H$6),INDEX($D$19:$D$2018,MATCH(Q261,$A$19:INDEX($A$19:$A$2018,$H$6),1))+(Q261-INDEX($A$19:$A$2018,MATCH(Q261,$A$19:INDEX($A$19:$A$2018,$H$6),1)))*(INDEX($D$19:$D$2018,MATCH(Q261,$A$19:INDEX($A$19:$A$2018,$H$6),1)+1)-INDEX($D$19:$D$2018,MATCH(Q261,$A$19:INDEX($A$19:$A$2018,$H$6),1)))/(INDEX($A$19:$A$2018,MATCH(Q261,$A$19:INDEX($A$19:$A$2018,$H$6),1)+1)-INDEX($A$19:$A$2018,MATCH(Q261,$A$19:INDEX($A$19:$A$2018,$H$6),1))))))</f>
        <v/>
      </c>
    </row>
    <row r="262">
      <c r="A262" s="11" t="n"/>
      <c r="B262" s="11" t="n"/>
      <c r="C262" s="12">
        <f>IF(A262="","",$B$9*TAN(RADIANS(A262)))</f>
        <v/>
      </c>
      <c r="D262" s="12">
        <f>IF(C262="","",C262*(1+B262/100))</f>
        <v/>
      </c>
      <c r="E262" s="12">
        <f>IF(A262="","",$B$10*TAN(RADIANS(A262)))</f>
        <v/>
      </c>
      <c r="G262" s="8" t="n">
        <v>244</v>
      </c>
      <c r="H262" s="8">
        <f>$K$10</f>
        <v/>
      </c>
      <c r="I262" s="7" t="inlineStr">
        <is>
          <t>橫</t>
        </is>
      </c>
      <c r="J262" s="8" t="n">
        <v>1</v>
      </c>
      <c r="K262" s="7" t="inlineStr">
        <is>
          <t>左下</t>
        </is>
      </c>
      <c r="L262" s="8">
        <f>$O$10-($M$10+$L$10)/2+(-1)*$M$10/2</f>
        <v/>
      </c>
      <c r="M262" s="8">
        <f>$P$10-$M$10/2+$L$10/2+0*2*$L$10+(1)*$L$10/2</f>
        <v/>
      </c>
      <c r="N262" s="8">
        <f>L262-$B$7/2</f>
        <v/>
      </c>
      <c r="O262" s="8">
        <f>M262-$B$8/2</f>
        <v/>
      </c>
      <c r="P262" s="8">
        <f>SQRT(N262^2+O262^2)</f>
        <v/>
      </c>
      <c r="Q262" s="8">
        <f>IF(OR($H$7&lt;&gt;"OK",P262=""),"",IF(P262&lt;=$D$19,$A$19,IF(P262&gt;=INDEX($D$19:$D$2018,$H$6),INDEX($A$19:$A$2018,$H$6),INDEX($A$19:$A$2018,MATCH(P262,$D$19:INDEX($D$19:$D$2018,$H$6),1))+(P262-INDEX($D$19:$D$2018,MATCH(P262,$D$19:INDEX($D$19:$D$2018,$H$6),1)))*(INDEX($A$19:$A$2018,MATCH(P262,$D$19:INDEX($D$19:$D$2018,$H$6),1)+1)-INDEX($A$19:$A$2018,MATCH(P262,$D$19:INDEX($D$19:$D$2018,$H$6),1)))/(INDEX($D$19:$D$2018,MATCH(P262,$D$19:INDEX($D$19:$D$2018,$H$6),1)+1)-INDEX($D$19:$D$2018,MATCH(P262,$D$19:INDEX($D$19:$D$2018,$H$6),1))))))</f>
        <v/>
      </c>
      <c r="R262" s="8">
        <f>IF(P262=0,0,-Y262*N262/P262)</f>
        <v/>
      </c>
      <c r="S262" s="8">
        <f>IF(P262=0,0,Y262*O262/P262)</f>
        <v/>
      </c>
      <c r="T262" s="8">
        <f>IF(Y262=0,$B$7/2,$B$7/2-Z262*R262/Y262)</f>
        <v/>
      </c>
      <c r="U262" s="8">
        <f>IF(Y262=0,$B$8/2,$B$8/2+Z262*S262/Y262)</f>
        <v/>
      </c>
      <c r="V262" s="8">
        <f>SQRT((T262-L262)^2+(U262-M262)^2)</f>
        <v/>
      </c>
      <c r="Y262">
        <f>$B$10*TAN(RADIANS(Q262))</f>
        <v/>
      </c>
      <c r="Z262">
        <f>IF(OR($H$7&lt;&gt;"OK",Q262=""),"",IF(Q262&lt;=$A$19,$D$19,IF(Q262&gt;=INDEX($A$19:$A$2018,$H$6),INDEX($D$19:$D$2018,$H$6),INDEX($D$19:$D$2018,MATCH(Q262,$A$19:INDEX($A$19:$A$2018,$H$6),1))+(Q262-INDEX($A$19:$A$2018,MATCH(Q262,$A$19:INDEX($A$19:$A$2018,$H$6),1)))*(INDEX($D$19:$D$2018,MATCH(Q262,$A$19:INDEX($A$19:$A$2018,$H$6),1)+1)-INDEX($D$19:$D$2018,MATCH(Q262,$A$19:INDEX($A$19:$A$2018,$H$6),1)))/(INDEX($A$19:$A$2018,MATCH(Q262,$A$19:INDEX($A$19:$A$2018,$H$6),1)+1)-INDEX($A$19:$A$2018,MATCH(Q262,$A$19:INDEX($A$19:$A$2018,$H$6),1))))))</f>
        <v/>
      </c>
    </row>
    <row r="263">
      <c r="A263" s="11" t="n"/>
      <c r="B263" s="11" t="n"/>
      <c r="C263" s="12">
        <f>IF(A263="","",$B$9*TAN(RADIANS(A263)))</f>
        <v/>
      </c>
      <c r="D263" s="12">
        <f>IF(C263="","",C263*(1+B263/100))</f>
        <v/>
      </c>
      <c r="E263" s="12">
        <f>IF(A263="","",$B$10*TAN(RADIANS(A263)))</f>
        <v/>
      </c>
      <c r="G263" s="8" t="n">
        <v>245</v>
      </c>
      <c r="H263" s="8">
        <f>$K$10</f>
        <v/>
      </c>
      <c r="I263" s="7" t="inlineStr">
        <is>
          <t>橫</t>
        </is>
      </c>
      <c r="J263" s="8" t="n">
        <v>2</v>
      </c>
      <c r="K263" s="7" t="inlineStr">
        <is>
          <t>左上</t>
        </is>
      </c>
      <c r="L263" s="8">
        <f>$O$10-($M$10+$L$10)/2+(-1)*$M$10/2</f>
        <v/>
      </c>
      <c r="M263" s="8">
        <f>$P$10-$M$10/2+$L$10/2+1*2*$L$10+(-1)*$L$10/2</f>
        <v/>
      </c>
      <c r="N263" s="8">
        <f>L263-$B$7/2</f>
        <v/>
      </c>
      <c r="O263" s="8">
        <f>M263-$B$8/2</f>
        <v/>
      </c>
      <c r="P263" s="8">
        <f>SQRT(N263^2+O263^2)</f>
        <v/>
      </c>
      <c r="Q263" s="8">
        <f>IF(OR($H$7&lt;&gt;"OK",P263=""),"",IF(P263&lt;=$D$19,$A$19,IF(P263&gt;=INDEX($D$19:$D$2018,$H$6),INDEX($A$19:$A$2018,$H$6),INDEX($A$19:$A$2018,MATCH(P263,$D$19:INDEX($D$19:$D$2018,$H$6),1))+(P263-INDEX($D$19:$D$2018,MATCH(P263,$D$19:INDEX($D$19:$D$2018,$H$6),1)))*(INDEX($A$19:$A$2018,MATCH(P263,$D$19:INDEX($D$19:$D$2018,$H$6),1)+1)-INDEX($A$19:$A$2018,MATCH(P263,$D$19:INDEX($D$19:$D$2018,$H$6),1)))/(INDEX($D$19:$D$2018,MATCH(P263,$D$19:INDEX($D$19:$D$2018,$H$6),1)+1)-INDEX($D$19:$D$2018,MATCH(P263,$D$19:INDEX($D$19:$D$2018,$H$6),1))))))</f>
        <v/>
      </c>
      <c r="R263" s="8">
        <f>IF(P263=0,0,-Y263*N263/P263)</f>
        <v/>
      </c>
      <c r="S263" s="8">
        <f>IF(P263=0,0,Y263*O263/P263)</f>
        <v/>
      </c>
      <c r="T263" s="8">
        <f>IF(Y263=0,$B$7/2,$B$7/2-Z263*R263/Y263)</f>
        <v/>
      </c>
      <c r="U263" s="8">
        <f>IF(Y263=0,$B$8/2,$B$8/2+Z263*S263/Y263)</f>
        <v/>
      </c>
      <c r="V263" s="8">
        <f>SQRT((T263-L263)^2+(U263-M263)^2)</f>
        <v/>
      </c>
      <c r="Y263">
        <f>$B$10*TAN(RADIANS(Q263))</f>
        <v/>
      </c>
      <c r="Z263">
        <f>IF(OR($H$7&lt;&gt;"OK",Q263=""),"",IF(Q263&lt;=$A$19,$D$19,IF(Q263&gt;=INDEX($A$19:$A$2018,$H$6),INDEX($D$19:$D$2018,$H$6),INDEX($D$19:$D$2018,MATCH(Q263,$A$19:INDEX($A$19:$A$2018,$H$6),1))+(Q263-INDEX($A$19:$A$2018,MATCH(Q263,$A$19:INDEX($A$19:$A$2018,$H$6),1)))*(INDEX($D$19:$D$2018,MATCH(Q263,$A$19:INDEX($A$19:$A$2018,$H$6),1)+1)-INDEX($D$19:$D$2018,MATCH(Q263,$A$19:INDEX($A$19:$A$2018,$H$6),1)))/(INDEX($A$19:$A$2018,MATCH(Q263,$A$19:INDEX($A$19:$A$2018,$H$6),1)+1)-INDEX($A$19:$A$2018,MATCH(Q263,$A$19:INDEX($A$19:$A$2018,$H$6),1))))))</f>
        <v/>
      </c>
    </row>
    <row r="264">
      <c r="A264" s="11" t="n"/>
      <c r="B264" s="11" t="n"/>
      <c r="C264" s="12">
        <f>IF(A264="","",$B$9*TAN(RADIANS(A264)))</f>
        <v/>
      </c>
      <c r="D264" s="12">
        <f>IF(C264="","",C264*(1+B264/100))</f>
        <v/>
      </c>
      <c r="E264" s="12">
        <f>IF(A264="","",$B$10*TAN(RADIANS(A264)))</f>
        <v/>
      </c>
      <c r="G264" s="8" t="n">
        <v>246</v>
      </c>
      <c r="H264" s="8">
        <f>$K$10</f>
        <v/>
      </c>
      <c r="I264" s="7" t="inlineStr">
        <is>
          <t>橫</t>
        </is>
      </c>
      <c r="J264" s="8" t="n">
        <v>2</v>
      </c>
      <c r="K264" s="7" t="inlineStr">
        <is>
          <t>右上</t>
        </is>
      </c>
      <c r="L264" s="8">
        <f>$O$10-($M$10+$L$10)/2+(1)*$M$10/2</f>
        <v/>
      </c>
      <c r="M264" s="8">
        <f>$P$10-$M$10/2+$L$10/2+1*2*$L$10+(-1)*$L$10/2</f>
        <v/>
      </c>
      <c r="N264" s="8">
        <f>L264-$B$7/2</f>
        <v/>
      </c>
      <c r="O264" s="8">
        <f>M264-$B$8/2</f>
        <v/>
      </c>
      <c r="P264" s="8">
        <f>SQRT(N264^2+O264^2)</f>
        <v/>
      </c>
      <c r="Q264" s="8">
        <f>IF(OR($H$7&lt;&gt;"OK",P264=""),"",IF(P264&lt;=$D$19,$A$19,IF(P264&gt;=INDEX($D$19:$D$2018,$H$6),INDEX($A$19:$A$2018,$H$6),INDEX($A$19:$A$2018,MATCH(P264,$D$19:INDEX($D$19:$D$2018,$H$6),1))+(P264-INDEX($D$19:$D$2018,MATCH(P264,$D$19:INDEX($D$19:$D$2018,$H$6),1)))*(INDEX($A$19:$A$2018,MATCH(P264,$D$19:INDEX($D$19:$D$2018,$H$6),1)+1)-INDEX($A$19:$A$2018,MATCH(P264,$D$19:INDEX($D$19:$D$2018,$H$6),1)))/(INDEX($D$19:$D$2018,MATCH(P264,$D$19:INDEX($D$19:$D$2018,$H$6),1)+1)-INDEX($D$19:$D$2018,MATCH(P264,$D$19:INDEX($D$19:$D$2018,$H$6),1))))))</f>
        <v/>
      </c>
      <c r="R264" s="8">
        <f>IF(P264=0,0,-Y264*N264/P264)</f>
        <v/>
      </c>
      <c r="S264" s="8">
        <f>IF(P264=0,0,Y264*O264/P264)</f>
        <v/>
      </c>
      <c r="T264" s="8">
        <f>IF(Y264=0,$B$7/2,$B$7/2-Z264*R264/Y264)</f>
        <v/>
      </c>
      <c r="U264" s="8">
        <f>IF(Y264=0,$B$8/2,$B$8/2+Z264*S264/Y264)</f>
        <v/>
      </c>
      <c r="V264" s="8">
        <f>SQRT((T264-L264)^2+(U264-M264)^2)</f>
        <v/>
      </c>
      <c r="Y264">
        <f>$B$10*TAN(RADIANS(Q264))</f>
        <v/>
      </c>
      <c r="Z264">
        <f>IF(OR($H$7&lt;&gt;"OK",Q264=""),"",IF(Q264&lt;=$A$19,$D$19,IF(Q264&gt;=INDEX($A$19:$A$2018,$H$6),INDEX($D$19:$D$2018,$H$6),INDEX($D$19:$D$2018,MATCH(Q264,$A$19:INDEX($A$19:$A$2018,$H$6),1))+(Q264-INDEX($A$19:$A$2018,MATCH(Q264,$A$19:INDEX($A$19:$A$2018,$H$6),1)))*(INDEX($D$19:$D$2018,MATCH(Q264,$A$19:INDEX($A$19:$A$2018,$H$6),1)+1)-INDEX($D$19:$D$2018,MATCH(Q264,$A$19:INDEX($A$19:$A$2018,$H$6),1)))/(INDEX($A$19:$A$2018,MATCH(Q264,$A$19:INDEX($A$19:$A$2018,$H$6),1)+1)-INDEX($A$19:$A$2018,MATCH(Q264,$A$19:INDEX($A$19:$A$2018,$H$6),1))))))</f>
        <v/>
      </c>
    </row>
    <row r="265">
      <c r="A265" s="11" t="n"/>
      <c r="B265" s="11" t="n"/>
      <c r="C265" s="12">
        <f>IF(A265="","",$B$9*TAN(RADIANS(A265)))</f>
        <v/>
      </c>
      <c r="D265" s="12">
        <f>IF(C265="","",C265*(1+B265/100))</f>
        <v/>
      </c>
      <c r="E265" s="12">
        <f>IF(A265="","",$B$10*TAN(RADIANS(A265)))</f>
        <v/>
      </c>
      <c r="G265" s="8" t="n">
        <v>247</v>
      </c>
      <c r="H265" s="8">
        <f>$K$10</f>
        <v/>
      </c>
      <c r="I265" s="7" t="inlineStr">
        <is>
          <t>橫</t>
        </is>
      </c>
      <c r="J265" s="8" t="n">
        <v>2</v>
      </c>
      <c r="K265" s="7" t="inlineStr">
        <is>
          <t>右下</t>
        </is>
      </c>
      <c r="L265" s="8">
        <f>$O$10-($M$10+$L$10)/2+(1)*$M$10/2</f>
        <v/>
      </c>
      <c r="M265" s="8">
        <f>$P$10-$M$10/2+$L$10/2+1*2*$L$10+(1)*$L$10/2</f>
        <v/>
      </c>
      <c r="N265" s="8">
        <f>L265-$B$7/2</f>
        <v/>
      </c>
      <c r="O265" s="8">
        <f>M265-$B$8/2</f>
        <v/>
      </c>
      <c r="P265" s="8">
        <f>SQRT(N265^2+O265^2)</f>
        <v/>
      </c>
      <c r="Q265" s="8">
        <f>IF(OR($H$7&lt;&gt;"OK",P265=""),"",IF(P265&lt;=$D$19,$A$19,IF(P265&gt;=INDEX($D$19:$D$2018,$H$6),INDEX($A$19:$A$2018,$H$6),INDEX($A$19:$A$2018,MATCH(P265,$D$19:INDEX($D$19:$D$2018,$H$6),1))+(P265-INDEX($D$19:$D$2018,MATCH(P265,$D$19:INDEX($D$19:$D$2018,$H$6),1)))*(INDEX($A$19:$A$2018,MATCH(P265,$D$19:INDEX($D$19:$D$2018,$H$6),1)+1)-INDEX($A$19:$A$2018,MATCH(P265,$D$19:INDEX($D$19:$D$2018,$H$6),1)))/(INDEX($D$19:$D$2018,MATCH(P265,$D$19:INDEX($D$19:$D$2018,$H$6),1)+1)-INDEX($D$19:$D$2018,MATCH(P265,$D$19:INDEX($D$19:$D$2018,$H$6),1))))))</f>
        <v/>
      </c>
      <c r="R265" s="8">
        <f>IF(P265=0,0,-Y265*N265/P265)</f>
        <v/>
      </c>
      <c r="S265" s="8">
        <f>IF(P265=0,0,Y265*O265/P265)</f>
        <v/>
      </c>
      <c r="T265" s="8">
        <f>IF(Y265=0,$B$7/2,$B$7/2-Z265*R265/Y265)</f>
        <v/>
      </c>
      <c r="U265" s="8">
        <f>IF(Y265=0,$B$8/2,$B$8/2+Z265*S265/Y265)</f>
        <v/>
      </c>
      <c r="V265" s="8">
        <f>SQRT((T265-L265)^2+(U265-M265)^2)</f>
        <v/>
      </c>
      <c r="Y265">
        <f>$B$10*TAN(RADIANS(Q265))</f>
        <v/>
      </c>
      <c r="Z265">
        <f>IF(OR($H$7&lt;&gt;"OK",Q265=""),"",IF(Q265&lt;=$A$19,$D$19,IF(Q265&gt;=INDEX($A$19:$A$2018,$H$6),INDEX($D$19:$D$2018,$H$6),INDEX($D$19:$D$2018,MATCH(Q265,$A$19:INDEX($A$19:$A$2018,$H$6),1))+(Q265-INDEX($A$19:$A$2018,MATCH(Q265,$A$19:INDEX($A$19:$A$2018,$H$6),1)))*(INDEX($D$19:$D$2018,MATCH(Q265,$A$19:INDEX($A$19:$A$2018,$H$6),1)+1)-INDEX($D$19:$D$2018,MATCH(Q265,$A$19:INDEX($A$19:$A$2018,$H$6),1)))/(INDEX($A$19:$A$2018,MATCH(Q265,$A$19:INDEX($A$19:$A$2018,$H$6),1)+1)-INDEX($A$19:$A$2018,MATCH(Q265,$A$19:INDEX($A$19:$A$2018,$H$6),1))))))</f>
        <v/>
      </c>
    </row>
    <row r="266">
      <c r="A266" s="11" t="n"/>
      <c r="B266" s="11" t="n"/>
      <c r="C266" s="12">
        <f>IF(A266="","",$B$9*TAN(RADIANS(A266)))</f>
        <v/>
      </c>
      <c r="D266" s="12">
        <f>IF(C266="","",C266*(1+B266/100))</f>
        <v/>
      </c>
      <c r="E266" s="12">
        <f>IF(A266="","",$B$10*TAN(RADIANS(A266)))</f>
        <v/>
      </c>
      <c r="G266" s="8" t="n">
        <v>248</v>
      </c>
      <c r="H266" s="8">
        <f>$K$10</f>
        <v/>
      </c>
      <c r="I266" s="7" t="inlineStr">
        <is>
          <t>橫</t>
        </is>
      </c>
      <c r="J266" s="8" t="n">
        <v>2</v>
      </c>
      <c r="K266" s="7" t="inlineStr">
        <is>
          <t>左下</t>
        </is>
      </c>
      <c r="L266" s="8">
        <f>$O$10-($M$10+$L$10)/2+(-1)*$M$10/2</f>
        <v/>
      </c>
      <c r="M266" s="8">
        <f>$P$10-$M$10/2+$L$10/2+1*2*$L$10+(1)*$L$10/2</f>
        <v/>
      </c>
      <c r="N266" s="8">
        <f>L266-$B$7/2</f>
        <v/>
      </c>
      <c r="O266" s="8">
        <f>M266-$B$8/2</f>
        <v/>
      </c>
      <c r="P266" s="8">
        <f>SQRT(N266^2+O266^2)</f>
        <v/>
      </c>
      <c r="Q266" s="8">
        <f>IF(OR($H$7&lt;&gt;"OK",P266=""),"",IF(P266&lt;=$D$19,$A$19,IF(P266&gt;=INDEX($D$19:$D$2018,$H$6),INDEX($A$19:$A$2018,$H$6),INDEX($A$19:$A$2018,MATCH(P266,$D$19:INDEX($D$19:$D$2018,$H$6),1))+(P266-INDEX($D$19:$D$2018,MATCH(P266,$D$19:INDEX($D$19:$D$2018,$H$6),1)))*(INDEX($A$19:$A$2018,MATCH(P266,$D$19:INDEX($D$19:$D$2018,$H$6),1)+1)-INDEX($A$19:$A$2018,MATCH(P266,$D$19:INDEX($D$19:$D$2018,$H$6),1)))/(INDEX($D$19:$D$2018,MATCH(P266,$D$19:INDEX($D$19:$D$2018,$H$6),1)+1)-INDEX($D$19:$D$2018,MATCH(P266,$D$19:INDEX($D$19:$D$2018,$H$6),1))))))</f>
        <v/>
      </c>
      <c r="R266" s="8">
        <f>IF(P266=0,0,-Y266*N266/P266)</f>
        <v/>
      </c>
      <c r="S266" s="8">
        <f>IF(P266=0,0,Y266*O266/P266)</f>
        <v/>
      </c>
      <c r="T266" s="8">
        <f>IF(Y266=0,$B$7/2,$B$7/2-Z266*R266/Y266)</f>
        <v/>
      </c>
      <c r="U266" s="8">
        <f>IF(Y266=0,$B$8/2,$B$8/2+Z266*S266/Y266)</f>
        <v/>
      </c>
      <c r="V266" s="8">
        <f>SQRT((T266-L266)^2+(U266-M266)^2)</f>
        <v/>
      </c>
      <c r="Y266">
        <f>$B$10*TAN(RADIANS(Q266))</f>
        <v/>
      </c>
      <c r="Z266">
        <f>IF(OR($H$7&lt;&gt;"OK",Q266=""),"",IF(Q266&lt;=$A$19,$D$19,IF(Q266&gt;=INDEX($A$19:$A$2018,$H$6),INDEX($D$19:$D$2018,$H$6),INDEX($D$19:$D$2018,MATCH(Q266,$A$19:INDEX($A$19:$A$2018,$H$6),1))+(Q266-INDEX($A$19:$A$2018,MATCH(Q266,$A$19:INDEX($A$19:$A$2018,$H$6),1)))*(INDEX($D$19:$D$2018,MATCH(Q266,$A$19:INDEX($A$19:$A$2018,$H$6),1)+1)-INDEX($D$19:$D$2018,MATCH(Q266,$A$19:INDEX($A$19:$A$2018,$H$6),1)))/(INDEX($A$19:$A$2018,MATCH(Q266,$A$19:INDEX($A$19:$A$2018,$H$6),1)+1)-INDEX($A$19:$A$2018,MATCH(Q266,$A$19:INDEX($A$19:$A$2018,$H$6),1))))))</f>
        <v/>
      </c>
    </row>
    <row r="267">
      <c r="A267" s="11" t="n"/>
      <c r="B267" s="11" t="n"/>
      <c r="C267" s="12">
        <f>IF(A267="","",$B$9*TAN(RADIANS(A267)))</f>
        <v/>
      </c>
      <c r="D267" s="12">
        <f>IF(C267="","",C267*(1+B267/100))</f>
        <v/>
      </c>
      <c r="E267" s="12">
        <f>IF(A267="","",$B$10*TAN(RADIANS(A267)))</f>
        <v/>
      </c>
      <c r="G267" s="8" t="n">
        <v>249</v>
      </c>
      <c r="H267" s="8">
        <f>$K$10</f>
        <v/>
      </c>
      <c r="I267" s="7" t="inlineStr">
        <is>
          <t>橫</t>
        </is>
      </c>
      <c r="J267" s="8" t="n">
        <v>3</v>
      </c>
      <c r="K267" s="7" t="inlineStr">
        <is>
          <t>左上</t>
        </is>
      </c>
      <c r="L267" s="8">
        <f>$O$10-($M$10+$L$10)/2+(-1)*$M$10/2</f>
        <v/>
      </c>
      <c r="M267" s="8">
        <f>$P$10-$M$10/2+$L$10/2+2*2*$L$10+(-1)*$L$10/2</f>
        <v/>
      </c>
      <c r="N267" s="8">
        <f>L267-$B$7/2</f>
        <v/>
      </c>
      <c r="O267" s="8">
        <f>M267-$B$8/2</f>
        <v/>
      </c>
      <c r="P267" s="8">
        <f>SQRT(N267^2+O267^2)</f>
        <v/>
      </c>
      <c r="Q267" s="8">
        <f>IF(OR($H$7&lt;&gt;"OK",P267=""),"",IF(P267&lt;=$D$19,$A$19,IF(P267&gt;=INDEX($D$19:$D$2018,$H$6),INDEX($A$19:$A$2018,$H$6),INDEX($A$19:$A$2018,MATCH(P267,$D$19:INDEX($D$19:$D$2018,$H$6),1))+(P267-INDEX($D$19:$D$2018,MATCH(P267,$D$19:INDEX($D$19:$D$2018,$H$6),1)))*(INDEX($A$19:$A$2018,MATCH(P267,$D$19:INDEX($D$19:$D$2018,$H$6),1)+1)-INDEX($A$19:$A$2018,MATCH(P267,$D$19:INDEX($D$19:$D$2018,$H$6),1)))/(INDEX($D$19:$D$2018,MATCH(P267,$D$19:INDEX($D$19:$D$2018,$H$6),1)+1)-INDEX($D$19:$D$2018,MATCH(P267,$D$19:INDEX($D$19:$D$2018,$H$6),1))))))</f>
        <v/>
      </c>
      <c r="R267" s="8">
        <f>IF(P267=0,0,-Y267*N267/P267)</f>
        <v/>
      </c>
      <c r="S267" s="8">
        <f>IF(P267=0,0,Y267*O267/P267)</f>
        <v/>
      </c>
      <c r="T267" s="8">
        <f>IF(Y267=0,$B$7/2,$B$7/2-Z267*R267/Y267)</f>
        <v/>
      </c>
      <c r="U267" s="8">
        <f>IF(Y267=0,$B$8/2,$B$8/2+Z267*S267/Y267)</f>
        <v/>
      </c>
      <c r="V267" s="8">
        <f>SQRT((T267-L267)^2+(U267-M267)^2)</f>
        <v/>
      </c>
      <c r="Y267">
        <f>$B$10*TAN(RADIANS(Q267))</f>
        <v/>
      </c>
      <c r="Z267">
        <f>IF(OR($H$7&lt;&gt;"OK",Q267=""),"",IF(Q267&lt;=$A$19,$D$19,IF(Q267&gt;=INDEX($A$19:$A$2018,$H$6),INDEX($D$19:$D$2018,$H$6),INDEX($D$19:$D$2018,MATCH(Q267,$A$19:INDEX($A$19:$A$2018,$H$6),1))+(Q267-INDEX($A$19:$A$2018,MATCH(Q267,$A$19:INDEX($A$19:$A$2018,$H$6),1)))*(INDEX($D$19:$D$2018,MATCH(Q267,$A$19:INDEX($A$19:$A$2018,$H$6),1)+1)-INDEX($D$19:$D$2018,MATCH(Q267,$A$19:INDEX($A$19:$A$2018,$H$6),1)))/(INDEX($A$19:$A$2018,MATCH(Q267,$A$19:INDEX($A$19:$A$2018,$H$6),1)+1)-INDEX($A$19:$A$2018,MATCH(Q267,$A$19:INDEX($A$19:$A$2018,$H$6),1))))))</f>
        <v/>
      </c>
    </row>
    <row r="268">
      <c r="A268" s="11" t="n"/>
      <c r="B268" s="11" t="n"/>
      <c r="C268" s="12">
        <f>IF(A268="","",$B$9*TAN(RADIANS(A268)))</f>
        <v/>
      </c>
      <c r="D268" s="12">
        <f>IF(C268="","",C268*(1+B268/100))</f>
        <v/>
      </c>
      <c r="E268" s="12">
        <f>IF(A268="","",$B$10*TAN(RADIANS(A268)))</f>
        <v/>
      </c>
      <c r="G268" s="8" t="n">
        <v>250</v>
      </c>
      <c r="H268" s="8">
        <f>$K$10</f>
        <v/>
      </c>
      <c r="I268" s="7" t="inlineStr">
        <is>
          <t>橫</t>
        </is>
      </c>
      <c r="J268" s="8" t="n">
        <v>3</v>
      </c>
      <c r="K268" s="7" t="inlineStr">
        <is>
          <t>右上</t>
        </is>
      </c>
      <c r="L268" s="8">
        <f>$O$10-($M$10+$L$10)/2+(1)*$M$10/2</f>
        <v/>
      </c>
      <c r="M268" s="8">
        <f>$P$10-$M$10/2+$L$10/2+2*2*$L$10+(-1)*$L$10/2</f>
        <v/>
      </c>
      <c r="N268" s="8">
        <f>L268-$B$7/2</f>
        <v/>
      </c>
      <c r="O268" s="8">
        <f>M268-$B$8/2</f>
        <v/>
      </c>
      <c r="P268" s="8">
        <f>SQRT(N268^2+O268^2)</f>
        <v/>
      </c>
      <c r="Q268" s="8">
        <f>IF(OR($H$7&lt;&gt;"OK",P268=""),"",IF(P268&lt;=$D$19,$A$19,IF(P268&gt;=INDEX($D$19:$D$2018,$H$6),INDEX($A$19:$A$2018,$H$6),INDEX($A$19:$A$2018,MATCH(P268,$D$19:INDEX($D$19:$D$2018,$H$6),1))+(P268-INDEX($D$19:$D$2018,MATCH(P268,$D$19:INDEX($D$19:$D$2018,$H$6),1)))*(INDEX($A$19:$A$2018,MATCH(P268,$D$19:INDEX($D$19:$D$2018,$H$6),1)+1)-INDEX($A$19:$A$2018,MATCH(P268,$D$19:INDEX($D$19:$D$2018,$H$6),1)))/(INDEX($D$19:$D$2018,MATCH(P268,$D$19:INDEX($D$19:$D$2018,$H$6),1)+1)-INDEX($D$19:$D$2018,MATCH(P268,$D$19:INDEX($D$19:$D$2018,$H$6),1))))))</f>
        <v/>
      </c>
      <c r="R268" s="8">
        <f>IF(P268=0,0,-Y268*N268/P268)</f>
        <v/>
      </c>
      <c r="S268" s="8">
        <f>IF(P268=0,0,Y268*O268/P268)</f>
        <v/>
      </c>
      <c r="T268" s="8">
        <f>IF(Y268=0,$B$7/2,$B$7/2-Z268*R268/Y268)</f>
        <v/>
      </c>
      <c r="U268" s="8">
        <f>IF(Y268=0,$B$8/2,$B$8/2+Z268*S268/Y268)</f>
        <v/>
      </c>
      <c r="V268" s="8">
        <f>SQRT((T268-L268)^2+(U268-M268)^2)</f>
        <v/>
      </c>
      <c r="Y268">
        <f>$B$10*TAN(RADIANS(Q268))</f>
        <v/>
      </c>
      <c r="Z268">
        <f>IF(OR($H$7&lt;&gt;"OK",Q268=""),"",IF(Q268&lt;=$A$19,$D$19,IF(Q268&gt;=INDEX($A$19:$A$2018,$H$6),INDEX($D$19:$D$2018,$H$6),INDEX($D$19:$D$2018,MATCH(Q268,$A$19:INDEX($A$19:$A$2018,$H$6),1))+(Q268-INDEX($A$19:$A$2018,MATCH(Q268,$A$19:INDEX($A$19:$A$2018,$H$6),1)))*(INDEX($D$19:$D$2018,MATCH(Q268,$A$19:INDEX($A$19:$A$2018,$H$6),1)+1)-INDEX($D$19:$D$2018,MATCH(Q268,$A$19:INDEX($A$19:$A$2018,$H$6),1)))/(INDEX($A$19:$A$2018,MATCH(Q268,$A$19:INDEX($A$19:$A$2018,$H$6),1)+1)-INDEX($A$19:$A$2018,MATCH(Q268,$A$19:INDEX($A$19:$A$2018,$H$6),1))))))</f>
        <v/>
      </c>
    </row>
    <row r="269">
      <c r="A269" s="11" t="n"/>
      <c r="B269" s="11" t="n"/>
      <c r="C269" s="12">
        <f>IF(A269="","",$B$9*TAN(RADIANS(A269)))</f>
        <v/>
      </c>
      <c r="D269" s="12">
        <f>IF(C269="","",C269*(1+B269/100))</f>
        <v/>
      </c>
      <c r="E269" s="12">
        <f>IF(A269="","",$B$10*TAN(RADIANS(A269)))</f>
        <v/>
      </c>
      <c r="G269" s="8" t="n">
        <v>251</v>
      </c>
      <c r="H269" s="8">
        <f>$K$10</f>
        <v/>
      </c>
      <c r="I269" s="7" t="inlineStr">
        <is>
          <t>橫</t>
        </is>
      </c>
      <c r="J269" s="8" t="n">
        <v>3</v>
      </c>
      <c r="K269" s="7" t="inlineStr">
        <is>
          <t>右下</t>
        </is>
      </c>
      <c r="L269" s="8">
        <f>$O$10-($M$10+$L$10)/2+(1)*$M$10/2</f>
        <v/>
      </c>
      <c r="M269" s="8">
        <f>$P$10-$M$10/2+$L$10/2+2*2*$L$10+(1)*$L$10/2</f>
        <v/>
      </c>
      <c r="N269" s="8">
        <f>L269-$B$7/2</f>
        <v/>
      </c>
      <c r="O269" s="8">
        <f>M269-$B$8/2</f>
        <v/>
      </c>
      <c r="P269" s="8">
        <f>SQRT(N269^2+O269^2)</f>
        <v/>
      </c>
      <c r="Q269" s="8">
        <f>IF(OR($H$7&lt;&gt;"OK",P269=""),"",IF(P269&lt;=$D$19,$A$19,IF(P269&gt;=INDEX($D$19:$D$2018,$H$6),INDEX($A$19:$A$2018,$H$6),INDEX($A$19:$A$2018,MATCH(P269,$D$19:INDEX($D$19:$D$2018,$H$6),1))+(P269-INDEX($D$19:$D$2018,MATCH(P269,$D$19:INDEX($D$19:$D$2018,$H$6),1)))*(INDEX($A$19:$A$2018,MATCH(P269,$D$19:INDEX($D$19:$D$2018,$H$6),1)+1)-INDEX($A$19:$A$2018,MATCH(P269,$D$19:INDEX($D$19:$D$2018,$H$6),1)))/(INDEX($D$19:$D$2018,MATCH(P269,$D$19:INDEX($D$19:$D$2018,$H$6),1)+1)-INDEX($D$19:$D$2018,MATCH(P269,$D$19:INDEX($D$19:$D$2018,$H$6),1))))))</f>
        <v/>
      </c>
      <c r="R269" s="8">
        <f>IF(P269=0,0,-Y269*N269/P269)</f>
        <v/>
      </c>
      <c r="S269" s="8">
        <f>IF(P269=0,0,Y269*O269/P269)</f>
        <v/>
      </c>
      <c r="T269" s="8">
        <f>IF(Y269=0,$B$7/2,$B$7/2-Z269*R269/Y269)</f>
        <v/>
      </c>
      <c r="U269" s="8">
        <f>IF(Y269=0,$B$8/2,$B$8/2+Z269*S269/Y269)</f>
        <v/>
      </c>
      <c r="V269" s="8">
        <f>SQRT((T269-L269)^2+(U269-M269)^2)</f>
        <v/>
      </c>
      <c r="Y269">
        <f>$B$10*TAN(RADIANS(Q269))</f>
        <v/>
      </c>
      <c r="Z269">
        <f>IF(OR($H$7&lt;&gt;"OK",Q269=""),"",IF(Q269&lt;=$A$19,$D$19,IF(Q269&gt;=INDEX($A$19:$A$2018,$H$6),INDEX($D$19:$D$2018,$H$6),INDEX($D$19:$D$2018,MATCH(Q269,$A$19:INDEX($A$19:$A$2018,$H$6),1))+(Q269-INDEX($A$19:$A$2018,MATCH(Q269,$A$19:INDEX($A$19:$A$2018,$H$6),1)))*(INDEX($D$19:$D$2018,MATCH(Q269,$A$19:INDEX($A$19:$A$2018,$H$6),1)+1)-INDEX($D$19:$D$2018,MATCH(Q269,$A$19:INDEX($A$19:$A$2018,$H$6),1)))/(INDEX($A$19:$A$2018,MATCH(Q269,$A$19:INDEX($A$19:$A$2018,$H$6),1)+1)-INDEX($A$19:$A$2018,MATCH(Q269,$A$19:INDEX($A$19:$A$2018,$H$6),1))))))</f>
        <v/>
      </c>
    </row>
    <row r="270">
      <c r="A270" s="11" t="n"/>
      <c r="B270" s="11" t="n"/>
      <c r="C270" s="12">
        <f>IF(A270="","",$B$9*TAN(RADIANS(A270)))</f>
        <v/>
      </c>
      <c r="D270" s="12">
        <f>IF(C270="","",C270*(1+B270/100))</f>
        <v/>
      </c>
      <c r="E270" s="12">
        <f>IF(A270="","",$B$10*TAN(RADIANS(A270)))</f>
        <v/>
      </c>
      <c r="G270" s="8" t="n">
        <v>252</v>
      </c>
      <c r="H270" s="8">
        <f>$K$10</f>
        <v/>
      </c>
      <c r="I270" s="7" t="inlineStr">
        <is>
          <t>橫</t>
        </is>
      </c>
      <c r="J270" s="8" t="n">
        <v>3</v>
      </c>
      <c r="K270" s="7" t="inlineStr">
        <is>
          <t>左下</t>
        </is>
      </c>
      <c r="L270" s="8">
        <f>$O$10-($M$10+$L$10)/2+(-1)*$M$10/2</f>
        <v/>
      </c>
      <c r="M270" s="8">
        <f>$P$10-$M$10/2+$L$10/2+2*2*$L$10+(1)*$L$10/2</f>
        <v/>
      </c>
      <c r="N270" s="8">
        <f>L270-$B$7/2</f>
        <v/>
      </c>
      <c r="O270" s="8">
        <f>M270-$B$8/2</f>
        <v/>
      </c>
      <c r="P270" s="8">
        <f>SQRT(N270^2+O270^2)</f>
        <v/>
      </c>
      <c r="Q270" s="8">
        <f>IF(OR($H$7&lt;&gt;"OK",P270=""),"",IF(P270&lt;=$D$19,$A$19,IF(P270&gt;=INDEX($D$19:$D$2018,$H$6),INDEX($A$19:$A$2018,$H$6),INDEX($A$19:$A$2018,MATCH(P270,$D$19:INDEX($D$19:$D$2018,$H$6),1))+(P270-INDEX($D$19:$D$2018,MATCH(P270,$D$19:INDEX($D$19:$D$2018,$H$6),1)))*(INDEX($A$19:$A$2018,MATCH(P270,$D$19:INDEX($D$19:$D$2018,$H$6),1)+1)-INDEX($A$19:$A$2018,MATCH(P270,$D$19:INDEX($D$19:$D$2018,$H$6),1)))/(INDEX($D$19:$D$2018,MATCH(P270,$D$19:INDEX($D$19:$D$2018,$H$6),1)+1)-INDEX($D$19:$D$2018,MATCH(P270,$D$19:INDEX($D$19:$D$2018,$H$6),1))))))</f>
        <v/>
      </c>
      <c r="R270" s="8">
        <f>IF(P270=0,0,-Y270*N270/P270)</f>
        <v/>
      </c>
      <c r="S270" s="8">
        <f>IF(P270=0,0,Y270*O270/P270)</f>
        <v/>
      </c>
      <c r="T270" s="8">
        <f>IF(Y270=0,$B$7/2,$B$7/2-Z270*R270/Y270)</f>
        <v/>
      </c>
      <c r="U270" s="8">
        <f>IF(Y270=0,$B$8/2,$B$8/2+Z270*S270/Y270)</f>
        <v/>
      </c>
      <c r="V270" s="8">
        <f>SQRT((T270-L270)^2+(U270-M270)^2)</f>
        <v/>
      </c>
      <c r="Y270">
        <f>$B$10*TAN(RADIANS(Q270))</f>
        <v/>
      </c>
      <c r="Z270">
        <f>IF(OR($H$7&lt;&gt;"OK",Q270=""),"",IF(Q270&lt;=$A$19,$D$19,IF(Q270&gt;=INDEX($A$19:$A$2018,$H$6),INDEX($D$19:$D$2018,$H$6),INDEX($D$19:$D$2018,MATCH(Q270,$A$19:INDEX($A$19:$A$2018,$H$6),1))+(Q270-INDEX($A$19:$A$2018,MATCH(Q270,$A$19:INDEX($A$19:$A$2018,$H$6),1)))*(INDEX($D$19:$D$2018,MATCH(Q270,$A$19:INDEX($A$19:$A$2018,$H$6),1)+1)-INDEX($D$19:$D$2018,MATCH(Q270,$A$19:INDEX($A$19:$A$2018,$H$6),1)))/(INDEX($A$19:$A$2018,MATCH(Q270,$A$19:INDEX($A$19:$A$2018,$H$6),1)+1)-INDEX($A$19:$A$2018,MATCH(Q270,$A$19:INDEX($A$19:$A$2018,$H$6),1))))))</f>
        <v/>
      </c>
    </row>
    <row r="271">
      <c r="A271" s="11" t="n"/>
      <c r="B271" s="11" t="n"/>
      <c r="C271" s="12">
        <f>IF(A271="","",$B$9*TAN(RADIANS(A271)))</f>
        <v/>
      </c>
      <c r="D271" s="12">
        <f>IF(C271="","",C271*(1+B271/100))</f>
        <v/>
      </c>
      <c r="E271" s="12">
        <f>IF(A271="","",$B$10*TAN(RADIANS(A271)))</f>
        <v/>
      </c>
      <c r="G271" s="8" t="n">
        <v>253</v>
      </c>
      <c r="H271" s="8">
        <f>$K$10</f>
        <v/>
      </c>
      <c r="I271" s="7" t="inlineStr">
        <is>
          <t>橫</t>
        </is>
      </c>
      <c r="J271" s="8" t="n">
        <v>4</v>
      </c>
      <c r="K271" s="7" t="inlineStr">
        <is>
          <t>左上</t>
        </is>
      </c>
      <c r="L271" s="8">
        <f>$O$10-($M$10+$L$10)/2+(-1)*$M$10/2</f>
        <v/>
      </c>
      <c r="M271" s="8">
        <f>$P$10-$M$10/2+$L$10/2+3*2*$L$10+(-1)*$L$10/2</f>
        <v/>
      </c>
      <c r="N271" s="8">
        <f>L271-$B$7/2</f>
        <v/>
      </c>
      <c r="O271" s="8">
        <f>M271-$B$8/2</f>
        <v/>
      </c>
      <c r="P271" s="8">
        <f>SQRT(N271^2+O271^2)</f>
        <v/>
      </c>
      <c r="Q271" s="8">
        <f>IF(OR($H$7&lt;&gt;"OK",P271=""),"",IF(P271&lt;=$D$19,$A$19,IF(P271&gt;=INDEX($D$19:$D$2018,$H$6),INDEX($A$19:$A$2018,$H$6),INDEX($A$19:$A$2018,MATCH(P271,$D$19:INDEX($D$19:$D$2018,$H$6),1))+(P271-INDEX($D$19:$D$2018,MATCH(P271,$D$19:INDEX($D$19:$D$2018,$H$6),1)))*(INDEX($A$19:$A$2018,MATCH(P271,$D$19:INDEX($D$19:$D$2018,$H$6),1)+1)-INDEX($A$19:$A$2018,MATCH(P271,$D$19:INDEX($D$19:$D$2018,$H$6),1)))/(INDEX($D$19:$D$2018,MATCH(P271,$D$19:INDEX($D$19:$D$2018,$H$6),1)+1)-INDEX($D$19:$D$2018,MATCH(P271,$D$19:INDEX($D$19:$D$2018,$H$6),1))))))</f>
        <v/>
      </c>
      <c r="R271" s="8">
        <f>IF(P271=0,0,-Y271*N271/P271)</f>
        <v/>
      </c>
      <c r="S271" s="8">
        <f>IF(P271=0,0,Y271*O271/P271)</f>
        <v/>
      </c>
      <c r="T271" s="8">
        <f>IF(Y271=0,$B$7/2,$B$7/2-Z271*R271/Y271)</f>
        <v/>
      </c>
      <c r="U271" s="8">
        <f>IF(Y271=0,$B$8/2,$B$8/2+Z271*S271/Y271)</f>
        <v/>
      </c>
      <c r="V271" s="8">
        <f>SQRT((T271-L271)^2+(U271-M271)^2)</f>
        <v/>
      </c>
      <c r="Y271">
        <f>$B$10*TAN(RADIANS(Q271))</f>
        <v/>
      </c>
      <c r="Z271">
        <f>IF(OR($H$7&lt;&gt;"OK",Q271=""),"",IF(Q271&lt;=$A$19,$D$19,IF(Q271&gt;=INDEX($A$19:$A$2018,$H$6),INDEX($D$19:$D$2018,$H$6),INDEX($D$19:$D$2018,MATCH(Q271,$A$19:INDEX($A$19:$A$2018,$H$6),1))+(Q271-INDEX($A$19:$A$2018,MATCH(Q271,$A$19:INDEX($A$19:$A$2018,$H$6),1)))*(INDEX($D$19:$D$2018,MATCH(Q271,$A$19:INDEX($A$19:$A$2018,$H$6),1)+1)-INDEX($D$19:$D$2018,MATCH(Q271,$A$19:INDEX($A$19:$A$2018,$H$6),1)))/(INDEX($A$19:$A$2018,MATCH(Q271,$A$19:INDEX($A$19:$A$2018,$H$6),1)+1)-INDEX($A$19:$A$2018,MATCH(Q271,$A$19:INDEX($A$19:$A$2018,$H$6),1))))))</f>
        <v/>
      </c>
    </row>
    <row r="272">
      <c r="A272" s="11" t="n"/>
      <c r="B272" s="11" t="n"/>
      <c r="C272" s="12">
        <f>IF(A272="","",$B$9*TAN(RADIANS(A272)))</f>
        <v/>
      </c>
      <c r="D272" s="12">
        <f>IF(C272="","",C272*(1+B272/100))</f>
        <v/>
      </c>
      <c r="E272" s="12">
        <f>IF(A272="","",$B$10*TAN(RADIANS(A272)))</f>
        <v/>
      </c>
      <c r="G272" s="8" t="n">
        <v>254</v>
      </c>
      <c r="H272" s="8">
        <f>$K$10</f>
        <v/>
      </c>
      <c r="I272" s="7" t="inlineStr">
        <is>
          <t>橫</t>
        </is>
      </c>
      <c r="J272" s="8" t="n">
        <v>4</v>
      </c>
      <c r="K272" s="7" t="inlineStr">
        <is>
          <t>右上</t>
        </is>
      </c>
      <c r="L272" s="8">
        <f>$O$10-($M$10+$L$10)/2+(1)*$M$10/2</f>
        <v/>
      </c>
      <c r="M272" s="8">
        <f>$P$10-$M$10/2+$L$10/2+3*2*$L$10+(-1)*$L$10/2</f>
        <v/>
      </c>
      <c r="N272" s="8">
        <f>L272-$B$7/2</f>
        <v/>
      </c>
      <c r="O272" s="8">
        <f>M272-$B$8/2</f>
        <v/>
      </c>
      <c r="P272" s="8">
        <f>SQRT(N272^2+O272^2)</f>
        <v/>
      </c>
      <c r="Q272" s="8">
        <f>IF(OR($H$7&lt;&gt;"OK",P272=""),"",IF(P272&lt;=$D$19,$A$19,IF(P272&gt;=INDEX($D$19:$D$2018,$H$6),INDEX($A$19:$A$2018,$H$6),INDEX($A$19:$A$2018,MATCH(P272,$D$19:INDEX($D$19:$D$2018,$H$6),1))+(P272-INDEX($D$19:$D$2018,MATCH(P272,$D$19:INDEX($D$19:$D$2018,$H$6),1)))*(INDEX($A$19:$A$2018,MATCH(P272,$D$19:INDEX($D$19:$D$2018,$H$6),1)+1)-INDEX($A$19:$A$2018,MATCH(P272,$D$19:INDEX($D$19:$D$2018,$H$6),1)))/(INDEX($D$19:$D$2018,MATCH(P272,$D$19:INDEX($D$19:$D$2018,$H$6),1)+1)-INDEX($D$19:$D$2018,MATCH(P272,$D$19:INDEX($D$19:$D$2018,$H$6),1))))))</f>
        <v/>
      </c>
      <c r="R272" s="8">
        <f>IF(P272=0,0,-Y272*N272/P272)</f>
        <v/>
      </c>
      <c r="S272" s="8">
        <f>IF(P272=0,0,Y272*O272/P272)</f>
        <v/>
      </c>
      <c r="T272" s="8">
        <f>IF(Y272=0,$B$7/2,$B$7/2-Z272*R272/Y272)</f>
        <v/>
      </c>
      <c r="U272" s="8">
        <f>IF(Y272=0,$B$8/2,$B$8/2+Z272*S272/Y272)</f>
        <v/>
      </c>
      <c r="V272" s="8">
        <f>SQRT((T272-L272)^2+(U272-M272)^2)</f>
        <v/>
      </c>
      <c r="Y272">
        <f>$B$10*TAN(RADIANS(Q272))</f>
        <v/>
      </c>
      <c r="Z272">
        <f>IF(OR($H$7&lt;&gt;"OK",Q272=""),"",IF(Q272&lt;=$A$19,$D$19,IF(Q272&gt;=INDEX($A$19:$A$2018,$H$6),INDEX($D$19:$D$2018,$H$6),INDEX($D$19:$D$2018,MATCH(Q272,$A$19:INDEX($A$19:$A$2018,$H$6),1))+(Q272-INDEX($A$19:$A$2018,MATCH(Q272,$A$19:INDEX($A$19:$A$2018,$H$6),1)))*(INDEX($D$19:$D$2018,MATCH(Q272,$A$19:INDEX($A$19:$A$2018,$H$6),1)+1)-INDEX($D$19:$D$2018,MATCH(Q272,$A$19:INDEX($A$19:$A$2018,$H$6),1)))/(INDEX($A$19:$A$2018,MATCH(Q272,$A$19:INDEX($A$19:$A$2018,$H$6),1)+1)-INDEX($A$19:$A$2018,MATCH(Q272,$A$19:INDEX($A$19:$A$2018,$H$6),1))))))</f>
        <v/>
      </c>
    </row>
    <row r="273">
      <c r="A273" s="11" t="n"/>
      <c r="B273" s="11" t="n"/>
      <c r="C273" s="12">
        <f>IF(A273="","",$B$9*TAN(RADIANS(A273)))</f>
        <v/>
      </c>
      <c r="D273" s="12">
        <f>IF(C273="","",C273*(1+B273/100))</f>
        <v/>
      </c>
      <c r="E273" s="12">
        <f>IF(A273="","",$B$10*TAN(RADIANS(A273)))</f>
        <v/>
      </c>
      <c r="G273" s="8" t="n">
        <v>255</v>
      </c>
      <c r="H273" s="8">
        <f>$K$10</f>
        <v/>
      </c>
      <c r="I273" s="7" t="inlineStr">
        <is>
          <t>橫</t>
        </is>
      </c>
      <c r="J273" s="8" t="n">
        <v>4</v>
      </c>
      <c r="K273" s="7" t="inlineStr">
        <is>
          <t>右下</t>
        </is>
      </c>
      <c r="L273" s="8">
        <f>$O$10-($M$10+$L$10)/2+(1)*$M$10/2</f>
        <v/>
      </c>
      <c r="M273" s="8">
        <f>$P$10-$M$10/2+$L$10/2+3*2*$L$10+(1)*$L$10/2</f>
        <v/>
      </c>
      <c r="N273" s="8">
        <f>L273-$B$7/2</f>
        <v/>
      </c>
      <c r="O273" s="8">
        <f>M273-$B$8/2</f>
        <v/>
      </c>
      <c r="P273" s="8">
        <f>SQRT(N273^2+O273^2)</f>
        <v/>
      </c>
      <c r="Q273" s="8">
        <f>IF(OR($H$7&lt;&gt;"OK",P273=""),"",IF(P273&lt;=$D$19,$A$19,IF(P273&gt;=INDEX($D$19:$D$2018,$H$6),INDEX($A$19:$A$2018,$H$6),INDEX($A$19:$A$2018,MATCH(P273,$D$19:INDEX($D$19:$D$2018,$H$6),1))+(P273-INDEX($D$19:$D$2018,MATCH(P273,$D$19:INDEX($D$19:$D$2018,$H$6),1)))*(INDEX($A$19:$A$2018,MATCH(P273,$D$19:INDEX($D$19:$D$2018,$H$6),1)+1)-INDEX($A$19:$A$2018,MATCH(P273,$D$19:INDEX($D$19:$D$2018,$H$6),1)))/(INDEX($D$19:$D$2018,MATCH(P273,$D$19:INDEX($D$19:$D$2018,$H$6),1)+1)-INDEX($D$19:$D$2018,MATCH(P273,$D$19:INDEX($D$19:$D$2018,$H$6),1))))))</f>
        <v/>
      </c>
      <c r="R273" s="8">
        <f>IF(P273=0,0,-Y273*N273/P273)</f>
        <v/>
      </c>
      <c r="S273" s="8">
        <f>IF(P273=0,0,Y273*O273/P273)</f>
        <v/>
      </c>
      <c r="T273" s="8">
        <f>IF(Y273=0,$B$7/2,$B$7/2-Z273*R273/Y273)</f>
        <v/>
      </c>
      <c r="U273" s="8">
        <f>IF(Y273=0,$B$8/2,$B$8/2+Z273*S273/Y273)</f>
        <v/>
      </c>
      <c r="V273" s="8">
        <f>SQRT((T273-L273)^2+(U273-M273)^2)</f>
        <v/>
      </c>
      <c r="Y273">
        <f>$B$10*TAN(RADIANS(Q273))</f>
        <v/>
      </c>
      <c r="Z273">
        <f>IF(OR($H$7&lt;&gt;"OK",Q273=""),"",IF(Q273&lt;=$A$19,$D$19,IF(Q273&gt;=INDEX($A$19:$A$2018,$H$6),INDEX($D$19:$D$2018,$H$6),INDEX($D$19:$D$2018,MATCH(Q273,$A$19:INDEX($A$19:$A$2018,$H$6),1))+(Q273-INDEX($A$19:$A$2018,MATCH(Q273,$A$19:INDEX($A$19:$A$2018,$H$6),1)))*(INDEX($D$19:$D$2018,MATCH(Q273,$A$19:INDEX($A$19:$A$2018,$H$6),1)+1)-INDEX($D$19:$D$2018,MATCH(Q273,$A$19:INDEX($A$19:$A$2018,$H$6),1)))/(INDEX($A$19:$A$2018,MATCH(Q273,$A$19:INDEX($A$19:$A$2018,$H$6),1)+1)-INDEX($A$19:$A$2018,MATCH(Q273,$A$19:INDEX($A$19:$A$2018,$H$6),1))))))</f>
        <v/>
      </c>
    </row>
    <row r="274">
      <c r="A274" s="11" t="n"/>
      <c r="B274" s="11" t="n"/>
      <c r="C274" s="12">
        <f>IF(A274="","",$B$9*TAN(RADIANS(A274)))</f>
        <v/>
      </c>
      <c r="D274" s="12">
        <f>IF(C274="","",C274*(1+B274/100))</f>
        <v/>
      </c>
      <c r="E274" s="12">
        <f>IF(A274="","",$B$10*TAN(RADIANS(A274)))</f>
        <v/>
      </c>
      <c r="G274" s="8" t="n">
        <v>256</v>
      </c>
      <c r="H274" s="8">
        <f>$K$10</f>
        <v/>
      </c>
      <c r="I274" s="7" t="inlineStr">
        <is>
          <t>橫</t>
        </is>
      </c>
      <c r="J274" s="8" t="n">
        <v>4</v>
      </c>
      <c r="K274" s="7" t="inlineStr">
        <is>
          <t>左下</t>
        </is>
      </c>
      <c r="L274" s="8">
        <f>$O$10-($M$10+$L$10)/2+(-1)*$M$10/2</f>
        <v/>
      </c>
      <c r="M274" s="8">
        <f>$P$10-$M$10/2+$L$10/2+3*2*$L$10+(1)*$L$10/2</f>
        <v/>
      </c>
      <c r="N274" s="8">
        <f>L274-$B$7/2</f>
        <v/>
      </c>
      <c r="O274" s="8">
        <f>M274-$B$8/2</f>
        <v/>
      </c>
      <c r="P274" s="8">
        <f>SQRT(N274^2+O274^2)</f>
        <v/>
      </c>
      <c r="Q274" s="8">
        <f>IF(OR($H$7&lt;&gt;"OK",P274=""),"",IF(P274&lt;=$D$19,$A$19,IF(P274&gt;=INDEX($D$19:$D$2018,$H$6),INDEX($A$19:$A$2018,$H$6),INDEX($A$19:$A$2018,MATCH(P274,$D$19:INDEX($D$19:$D$2018,$H$6),1))+(P274-INDEX($D$19:$D$2018,MATCH(P274,$D$19:INDEX($D$19:$D$2018,$H$6),1)))*(INDEX($A$19:$A$2018,MATCH(P274,$D$19:INDEX($D$19:$D$2018,$H$6),1)+1)-INDEX($A$19:$A$2018,MATCH(P274,$D$19:INDEX($D$19:$D$2018,$H$6),1)))/(INDEX($D$19:$D$2018,MATCH(P274,$D$19:INDEX($D$19:$D$2018,$H$6),1)+1)-INDEX($D$19:$D$2018,MATCH(P274,$D$19:INDEX($D$19:$D$2018,$H$6),1))))))</f>
        <v/>
      </c>
      <c r="R274" s="8">
        <f>IF(P274=0,0,-Y274*N274/P274)</f>
        <v/>
      </c>
      <c r="S274" s="8">
        <f>IF(P274=0,0,Y274*O274/P274)</f>
        <v/>
      </c>
      <c r="T274" s="8">
        <f>IF(Y274=0,$B$7/2,$B$7/2-Z274*R274/Y274)</f>
        <v/>
      </c>
      <c r="U274" s="8">
        <f>IF(Y274=0,$B$8/2,$B$8/2+Z274*S274/Y274)</f>
        <v/>
      </c>
      <c r="V274" s="8">
        <f>SQRT((T274-L274)^2+(U274-M274)^2)</f>
        <v/>
      </c>
      <c r="Y274">
        <f>$B$10*TAN(RADIANS(Q274))</f>
        <v/>
      </c>
      <c r="Z274">
        <f>IF(OR($H$7&lt;&gt;"OK",Q274=""),"",IF(Q274&lt;=$A$19,$D$19,IF(Q274&gt;=INDEX($A$19:$A$2018,$H$6),INDEX($D$19:$D$2018,$H$6),INDEX($D$19:$D$2018,MATCH(Q274,$A$19:INDEX($A$19:$A$2018,$H$6),1))+(Q274-INDEX($A$19:$A$2018,MATCH(Q274,$A$19:INDEX($A$19:$A$2018,$H$6),1)))*(INDEX($D$19:$D$2018,MATCH(Q274,$A$19:INDEX($A$19:$A$2018,$H$6),1)+1)-INDEX($D$19:$D$2018,MATCH(Q274,$A$19:INDEX($A$19:$A$2018,$H$6),1)))/(INDEX($A$19:$A$2018,MATCH(Q274,$A$19:INDEX($A$19:$A$2018,$H$6),1)+1)-INDEX($A$19:$A$2018,MATCH(Q274,$A$19:INDEX($A$19:$A$2018,$H$6),1))))))</f>
        <v/>
      </c>
    </row>
    <row r="275">
      <c r="A275" s="11" t="n"/>
      <c r="B275" s="11" t="n"/>
      <c r="C275" s="12">
        <f>IF(A275="","",$B$9*TAN(RADIANS(A275)))</f>
        <v/>
      </c>
      <c r="D275" s="12">
        <f>IF(C275="","",C275*(1+B275/100))</f>
        <v/>
      </c>
      <c r="E275" s="12">
        <f>IF(A275="","",$B$10*TAN(RADIANS(A275)))</f>
        <v/>
      </c>
      <c r="G275" s="8" t="n">
        <v>257</v>
      </c>
      <c r="H275" s="8">
        <f>$K$10</f>
        <v/>
      </c>
      <c r="I275" s="7" t="inlineStr">
        <is>
          <t>橫</t>
        </is>
      </c>
      <c r="J275" s="8" t="n">
        <v>5</v>
      </c>
      <c r="K275" s="7" t="inlineStr">
        <is>
          <t>左上</t>
        </is>
      </c>
      <c r="L275" s="8">
        <f>$O$10-($M$10+$L$10)/2+(-1)*$M$10/2</f>
        <v/>
      </c>
      <c r="M275" s="8">
        <f>$P$10-$M$10/2+$L$10/2+4*2*$L$10+(-1)*$L$10/2</f>
        <v/>
      </c>
      <c r="N275" s="8">
        <f>L275-$B$7/2</f>
        <v/>
      </c>
      <c r="O275" s="8">
        <f>M275-$B$8/2</f>
        <v/>
      </c>
      <c r="P275" s="8">
        <f>SQRT(N275^2+O275^2)</f>
        <v/>
      </c>
      <c r="Q275" s="8">
        <f>IF(OR($H$7&lt;&gt;"OK",P275=""),"",IF(P275&lt;=$D$19,$A$19,IF(P275&gt;=INDEX($D$19:$D$2018,$H$6),INDEX($A$19:$A$2018,$H$6),INDEX($A$19:$A$2018,MATCH(P275,$D$19:INDEX($D$19:$D$2018,$H$6),1))+(P275-INDEX($D$19:$D$2018,MATCH(P275,$D$19:INDEX($D$19:$D$2018,$H$6),1)))*(INDEX($A$19:$A$2018,MATCH(P275,$D$19:INDEX($D$19:$D$2018,$H$6),1)+1)-INDEX($A$19:$A$2018,MATCH(P275,$D$19:INDEX($D$19:$D$2018,$H$6),1)))/(INDEX($D$19:$D$2018,MATCH(P275,$D$19:INDEX($D$19:$D$2018,$H$6),1)+1)-INDEX($D$19:$D$2018,MATCH(P275,$D$19:INDEX($D$19:$D$2018,$H$6),1))))))</f>
        <v/>
      </c>
      <c r="R275" s="8">
        <f>IF(P275=0,0,-Y275*N275/P275)</f>
        <v/>
      </c>
      <c r="S275" s="8">
        <f>IF(P275=0,0,Y275*O275/P275)</f>
        <v/>
      </c>
      <c r="T275" s="8">
        <f>IF(Y275=0,$B$7/2,$B$7/2-Z275*R275/Y275)</f>
        <v/>
      </c>
      <c r="U275" s="8">
        <f>IF(Y275=0,$B$8/2,$B$8/2+Z275*S275/Y275)</f>
        <v/>
      </c>
      <c r="V275" s="8">
        <f>SQRT((T275-L275)^2+(U275-M275)^2)</f>
        <v/>
      </c>
      <c r="Y275">
        <f>$B$10*TAN(RADIANS(Q275))</f>
        <v/>
      </c>
      <c r="Z275">
        <f>IF(OR($H$7&lt;&gt;"OK",Q275=""),"",IF(Q275&lt;=$A$19,$D$19,IF(Q275&gt;=INDEX($A$19:$A$2018,$H$6),INDEX($D$19:$D$2018,$H$6),INDEX($D$19:$D$2018,MATCH(Q275,$A$19:INDEX($A$19:$A$2018,$H$6),1))+(Q275-INDEX($A$19:$A$2018,MATCH(Q275,$A$19:INDEX($A$19:$A$2018,$H$6),1)))*(INDEX($D$19:$D$2018,MATCH(Q275,$A$19:INDEX($A$19:$A$2018,$H$6),1)+1)-INDEX($D$19:$D$2018,MATCH(Q275,$A$19:INDEX($A$19:$A$2018,$H$6),1)))/(INDEX($A$19:$A$2018,MATCH(Q275,$A$19:INDEX($A$19:$A$2018,$H$6),1)+1)-INDEX($A$19:$A$2018,MATCH(Q275,$A$19:INDEX($A$19:$A$2018,$H$6),1))))))</f>
        <v/>
      </c>
    </row>
    <row r="276">
      <c r="A276" s="11" t="n"/>
      <c r="B276" s="11" t="n"/>
      <c r="C276" s="12">
        <f>IF(A276="","",$B$9*TAN(RADIANS(A276)))</f>
        <v/>
      </c>
      <c r="D276" s="12">
        <f>IF(C276="","",C276*(1+B276/100))</f>
        <v/>
      </c>
      <c r="E276" s="12">
        <f>IF(A276="","",$B$10*TAN(RADIANS(A276)))</f>
        <v/>
      </c>
      <c r="G276" s="8" t="n">
        <v>258</v>
      </c>
      <c r="H276" s="8">
        <f>$K$10</f>
        <v/>
      </c>
      <c r="I276" s="7" t="inlineStr">
        <is>
          <t>橫</t>
        </is>
      </c>
      <c r="J276" s="8" t="n">
        <v>5</v>
      </c>
      <c r="K276" s="7" t="inlineStr">
        <is>
          <t>右上</t>
        </is>
      </c>
      <c r="L276" s="8">
        <f>$O$10-($M$10+$L$10)/2+(1)*$M$10/2</f>
        <v/>
      </c>
      <c r="M276" s="8">
        <f>$P$10-$M$10/2+$L$10/2+4*2*$L$10+(-1)*$L$10/2</f>
        <v/>
      </c>
      <c r="N276" s="8">
        <f>L276-$B$7/2</f>
        <v/>
      </c>
      <c r="O276" s="8">
        <f>M276-$B$8/2</f>
        <v/>
      </c>
      <c r="P276" s="8">
        <f>SQRT(N276^2+O276^2)</f>
        <v/>
      </c>
      <c r="Q276" s="8">
        <f>IF(OR($H$7&lt;&gt;"OK",P276=""),"",IF(P276&lt;=$D$19,$A$19,IF(P276&gt;=INDEX($D$19:$D$2018,$H$6),INDEX($A$19:$A$2018,$H$6),INDEX($A$19:$A$2018,MATCH(P276,$D$19:INDEX($D$19:$D$2018,$H$6),1))+(P276-INDEX($D$19:$D$2018,MATCH(P276,$D$19:INDEX($D$19:$D$2018,$H$6),1)))*(INDEX($A$19:$A$2018,MATCH(P276,$D$19:INDEX($D$19:$D$2018,$H$6),1)+1)-INDEX($A$19:$A$2018,MATCH(P276,$D$19:INDEX($D$19:$D$2018,$H$6),1)))/(INDEX($D$19:$D$2018,MATCH(P276,$D$19:INDEX($D$19:$D$2018,$H$6),1)+1)-INDEX($D$19:$D$2018,MATCH(P276,$D$19:INDEX($D$19:$D$2018,$H$6),1))))))</f>
        <v/>
      </c>
      <c r="R276" s="8">
        <f>IF(P276=0,0,-Y276*N276/P276)</f>
        <v/>
      </c>
      <c r="S276" s="8">
        <f>IF(P276=0,0,Y276*O276/P276)</f>
        <v/>
      </c>
      <c r="T276" s="8">
        <f>IF(Y276=0,$B$7/2,$B$7/2-Z276*R276/Y276)</f>
        <v/>
      </c>
      <c r="U276" s="8">
        <f>IF(Y276=0,$B$8/2,$B$8/2+Z276*S276/Y276)</f>
        <v/>
      </c>
      <c r="V276" s="8">
        <f>SQRT((T276-L276)^2+(U276-M276)^2)</f>
        <v/>
      </c>
      <c r="Y276">
        <f>$B$10*TAN(RADIANS(Q276))</f>
        <v/>
      </c>
      <c r="Z276">
        <f>IF(OR($H$7&lt;&gt;"OK",Q276=""),"",IF(Q276&lt;=$A$19,$D$19,IF(Q276&gt;=INDEX($A$19:$A$2018,$H$6),INDEX($D$19:$D$2018,$H$6),INDEX($D$19:$D$2018,MATCH(Q276,$A$19:INDEX($A$19:$A$2018,$H$6),1))+(Q276-INDEX($A$19:$A$2018,MATCH(Q276,$A$19:INDEX($A$19:$A$2018,$H$6),1)))*(INDEX($D$19:$D$2018,MATCH(Q276,$A$19:INDEX($A$19:$A$2018,$H$6),1)+1)-INDEX($D$19:$D$2018,MATCH(Q276,$A$19:INDEX($A$19:$A$2018,$H$6),1)))/(INDEX($A$19:$A$2018,MATCH(Q276,$A$19:INDEX($A$19:$A$2018,$H$6),1)+1)-INDEX($A$19:$A$2018,MATCH(Q276,$A$19:INDEX($A$19:$A$2018,$H$6),1))))))</f>
        <v/>
      </c>
    </row>
    <row r="277">
      <c r="A277" s="11" t="n"/>
      <c r="B277" s="11" t="n"/>
      <c r="C277" s="12">
        <f>IF(A277="","",$B$9*TAN(RADIANS(A277)))</f>
        <v/>
      </c>
      <c r="D277" s="12">
        <f>IF(C277="","",C277*(1+B277/100))</f>
        <v/>
      </c>
      <c r="E277" s="12">
        <f>IF(A277="","",$B$10*TAN(RADIANS(A277)))</f>
        <v/>
      </c>
      <c r="G277" s="8" t="n">
        <v>259</v>
      </c>
      <c r="H277" s="8">
        <f>$K$10</f>
        <v/>
      </c>
      <c r="I277" s="7" t="inlineStr">
        <is>
          <t>橫</t>
        </is>
      </c>
      <c r="J277" s="8" t="n">
        <v>5</v>
      </c>
      <c r="K277" s="7" t="inlineStr">
        <is>
          <t>右下</t>
        </is>
      </c>
      <c r="L277" s="8">
        <f>$O$10-($M$10+$L$10)/2+(1)*$M$10/2</f>
        <v/>
      </c>
      <c r="M277" s="8">
        <f>$P$10-$M$10/2+$L$10/2+4*2*$L$10+(1)*$L$10/2</f>
        <v/>
      </c>
      <c r="N277" s="8">
        <f>L277-$B$7/2</f>
        <v/>
      </c>
      <c r="O277" s="8">
        <f>M277-$B$8/2</f>
        <v/>
      </c>
      <c r="P277" s="8">
        <f>SQRT(N277^2+O277^2)</f>
        <v/>
      </c>
      <c r="Q277" s="8">
        <f>IF(OR($H$7&lt;&gt;"OK",P277=""),"",IF(P277&lt;=$D$19,$A$19,IF(P277&gt;=INDEX($D$19:$D$2018,$H$6),INDEX($A$19:$A$2018,$H$6),INDEX($A$19:$A$2018,MATCH(P277,$D$19:INDEX($D$19:$D$2018,$H$6),1))+(P277-INDEX($D$19:$D$2018,MATCH(P277,$D$19:INDEX($D$19:$D$2018,$H$6),1)))*(INDEX($A$19:$A$2018,MATCH(P277,$D$19:INDEX($D$19:$D$2018,$H$6),1)+1)-INDEX($A$19:$A$2018,MATCH(P277,$D$19:INDEX($D$19:$D$2018,$H$6),1)))/(INDEX($D$19:$D$2018,MATCH(P277,$D$19:INDEX($D$19:$D$2018,$H$6),1)+1)-INDEX($D$19:$D$2018,MATCH(P277,$D$19:INDEX($D$19:$D$2018,$H$6),1))))))</f>
        <v/>
      </c>
      <c r="R277" s="8">
        <f>IF(P277=0,0,-Y277*N277/P277)</f>
        <v/>
      </c>
      <c r="S277" s="8">
        <f>IF(P277=0,0,Y277*O277/P277)</f>
        <v/>
      </c>
      <c r="T277" s="8">
        <f>IF(Y277=0,$B$7/2,$B$7/2-Z277*R277/Y277)</f>
        <v/>
      </c>
      <c r="U277" s="8">
        <f>IF(Y277=0,$B$8/2,$B$8/2+Z277*S277/Y277)</f>
        <v/>
      </c>
      <c r="V277" s="8">
        <f>SQRT((T277-L277)^2+(U277-M277)^2)</f>
        <v/>
      </c>
      <c r="Y277">
        <f>$B$10*TAN(RADIANS(Q277))</f>
        <v/>
      </c>
      <c r="Z277">
        <f>IF(OR($H$7&lt;&gt;"OK",Q277=""),"",IF(Q277&lt;=$A$19,$D$19,IF(Q277&gt;=INDEX($A$19:$A$2018,$H$6),INDEX($D$19:$D$2018,$H$6),INDEX($D$19:$D$2018,MATCH(Q277,$A$19:INDEX($A$19:$A$2018,$H$6),1))+(Q277-INDEX($A$19:$A$2018,MATCH(Q277,$A$19:INDEX($A$19:$A$2018,$H$6),1)))*(INDEX($D$19:$D$2018,MATCH(Q277,$A$19:INDEX($A$19:$A$2018,$H$6),1)+1)-INDEX($D$19:$D$2018,MATCH(Q277,$A$19:INDEX($A$19:$A$2018,$H$6),1)))/(INDEX($A$19:$A$2018,MATCH(Q277,$A$19:INDEX($A$19:$A$2018,$H$6),1)+1)-INDEX($A$19:$A$2018,MATCH(Q277,$A$19:INDEX($A$19:$A$2018,$H$6),1))))))</f>
        <v/>
      </c>
    </row>
    <row r="278">
      <c r="A278" s="11" t="n"/>
      <c r="B278" s="11" t="n"/>
      <c r="C278" s="12">
        <f>IF(A278="","",$B$9*TAN(RADIANS(A278)))</f>
        <v/>
      </c>
      <c r="D278" s="12">
        <f>IF(C278="","",C278*(1+B278/100))</f>
        <v/>
      </c>
      <c r="E278" s="12">
        <f>IF(A278="","",$B$10*TAN(RADIANS(A278)))</f>
        <v/>
      </c>
      <c r="G278" s="8" t="n">
        <v>260</v>
      </c>
      <c r="H278" s="8">
        <f>$K$10</f>
        <v/>
      </c>
      <c r="I278" s="7" t="inlineStr">
        <is>
          <t>橫</t>
        </is>
      </c>
      <c r="J278" s="8" t="n">
        <v>5</v>
      </c>
      <c r="K278" s="7" t="inlineStr">
        <is>
          <t>左下</t>
        </is>
      </c>
      <c r="L278" s="8">
        <f>$O$10-($M$10+$L$10)/2+(-1)*$M$10/2</f>
        <v/>
      </c>
      <c r="M278" s="8">
        <f>$P$10-$M$10/2+$L$10/2+4*2*$L$10+(1)*$L$10/2</f>
        <v/>
      </c>
      <c r="N278" s="8">
        <f>L278-$B$7/2</f>
        <v/>
      </c>
      <c r="O278" s="8">
        <f>M278-$B$8/2</f>
        <v/>
      </c>
      <c r="P278" s="8">
        <f>SQRT(N278^2+O278^2)</f>
        <v/>
      </c>
      <c r="Q278" s="8">
        <f>IF(OR($H$7&lt;&gt;"OK",P278=""),"",IF(P278&lt;=$D$19,$A$19,IF(P278&gt;=INDEX($D$19:$D$2018,$H$6),INDEX($A$19:$A$2018,$H$6),INDEX($A$19:$A$2018,MATCH(P278,$D$19:INDEX($D$19:$D$2018,$H$6),1))+(P278-INDEX($D$19:$D$2018,MATCH(P278,$D$19:INDEX($D$19:$D$2018,$H$6),1)))*(INDEX($A$19:$A$2018,MATCH(P278,$D$19:INDEX($D$19:$D$2018,$H$6),1)+1)-INDEX($A$19:$A$2018,MATCH(P278,$D$19:INDEX($D$19:$D$2018,$H$6),1)))/(INDEX($D$19:$D$2018,MATCH(P278,$D$19:INDEX($D$19:$D$2018,$H$6),1)+1)-INDEX($D$19:$D$2018,MATCH(P278,$D$19:INDEX($D$19:$D$2018,$H$6),1))))))</f>
        <v/>
      </c>
      <c r="R278" s="8">
        <f>IF(P278=0,0,-Y278*N278/P278)</f>
        <v/>
      </c>
      <c r="S278" s="8">
        <f>IF(P278=0,0,Y278*O278/P278)</f>
        <v/>
      </c>
      <c r="T278" s="8">
        <f>IF(Y278=0,$B$7/2,$B$7/2-Z278*R278/Y278)</f>
        <v/>
      </c>
      <c r="U278" s="8">
        <f>IF(Y278=0,$B$8/2,$B$8/2+Z278*S278/Y278)</f>
        <v/>
      </c>
      <c r="V278" s="8">
        <f>SQRT((T278-L278)^2+(U278-M278)^2)</f>
        <v/>
      </c>
      <c r="Y278">
        <f>$B$10*TAN(RADIANS(Q278))</f>
        <v/>
      </c>
      <c r="Z278">
        <f>IF(OR($H$7&lt;&gt;"OK",Q278=""),"",IF(Q278&lt;=$A$19,$D$19,IF(Q278&gt;=INDEX($A$19:$A$2018,$H$6),INDEX($D$19:$D$2018,$H$6),INDEX($D$19:$D$2018,MATCH(Q278,$A$19:INDEX($A$19:$A$2018,$H$6),1))+(Q278-INDEX($A$19:$A$2018,MATCH(Q278,$A$19:INDEX($A$19:$A$2018,$H$6),1)))*(INDEX($D$19:$D$2018,MATCH(Q278,$A$19:INDEX($A$19:$A$2018,$H$6),1)+1)-INDEX($D$19:$D$2018,MATCH(Q278,$A$19:INDEX($A$19:$A$2018,$H$6),1)))/(INDEX($A$19:$A$2018,MATCH(Q278,$A$19:INDEX($A$19:$A$2018,$H$6),1)+1)-INDEX($A$19:$A$2018,MATCH(Q278,$A$19:INDEX($A$19:$A$2018,$H$6),1))))))</f>
        <v/>
      </c>
    </row>
    <row r="279">
      <c r="A279" s="11" t="n"/>
      <c r="B279" s="11" t="n"/>
      <c r="C279" s="12">
        <f>IF(A279="","",$B$9*TAN(RADIANS(A279)))</f>
        <v/>
      </c>
      <c r="D279" s="12">
        <f>IF(C279="","",C279*(1+B279/100))</f>
        <v/>
      </c>
      <c r="E279" s="12">
        <f>IF(A279="","",$B$10*TAN(RADIANS(A279)))</f>
        <v/>
      </c>
      <c r="G279" s="8" t="n">
        <v>261</v>
      </c>
      <c r="H279" s="8">
        <f>$K$10</f>
        <v/>
      </c>
      <c r="I279" s="7" t="inlineStr">
        <is>
          <t>豎</t>
        </is>
      </c>
      <c r="J279" s="8" t="n">
        <v>1</v>
      </c>
      <c r="K279" s="7" t="inlineStr">
        <is>
          <t>左上</t>
        </is>
      </c>
      <c r="L279" s="8">
        <f>$O$10+($M$10+$L$10)/2-$M$10/2+$L$10/2+0*2*$L$10+(-1)*$L$10/2</f>
        <v/>
      </c>
      <c r="M279" s="8">
        <f>$P$10+(-1)*$M$10/2</f>
        <v/>
      </c>
      <c r="N279" s="8">
        <f>L279-$B$7/2</f>
        <v/>
      </c>
      <c r="O279" s="8">
        <f>M279-$B$8/2</f>
        <v/>
      </c>
      <c r="P279" s="8">
        <f>SQRT(N279^2+O279^2)</f>
        <v/>
      </c>
      <c r="Q279" s="8">
        <f>IF(OR($H$7&lt;&gt;"OK",P279=""),"",IF(P279&lt;=$D$19,$A$19,IF(P279&gt;=INDEX($D$19:$D$2018,$H$6),INDEX($A$19:$A$2018,$H$6),INDEX($A$19:$A$2018,MATCH(P279,$D$19:INDEX($D$19:$D$2018,$H$6),1))+(P279-INDEX($D$19:$D$2018,MATCH(P279,$D$19:INDEX($D$19:$D$2018,$H$6),1)))*(INDEX($A$19:$A$2018,MATCH(P279,$D$19:INDEX($D$19:$D$2018,$H$6),1)+1)-INDEX($A$19:$A$2018,MATCH(P279,$D$19:INDEX($D$19:$D$2018,$H$6),1)))/(INDEX($D$19:$D$2018,MATCH(P279,$D$19:INDEX($D$19:$D$2018,$H$6),1)+1)-INDEX($D$19:$D$2018,MATCH(P279,$D$19:INDEX($D$19:$D$2018,$H$6),1))))))</f>
        <v/>
      </c>
      <c r="R279" s="8">
        <f>IF(P279=0,0,-Y279*N279/P279)</f>
        <v/>
      </c>
      <c r="S279" s="8">
        <f>IF(P279=0,0,Y279*O279/P279)</f>
        <v/>
      </c>
      <c r="T279" s="8">
        <f>IF(Y279=0,$B$7/2,$B$7/2-Z279*R279/Y279)</f>
        <v/>
      </c>
      <c r="U279" s="8">
        <f>IF(Y279=0,$B$8/2,$B$8/2+Z279*S279/Y279)</f>
        <v/>
      </c>
      <c r="V279" s="8">
        <f>SQRT((T279-L279)^2+(U279-M279)^2)</f>
        <v/>
      </c>
      <c r="Y279">
        <f>$B$10*TAN(RADIANS(Q279))</f>
        <v/>
      </c>
      <c r="Z279">
        <f>IF(OR($H$7&lt;&gt;"OK",Q279=""),"",IF(Q279&lt;=$A$19,$D$19,IF(Q279&gt;=INDEX($A$19:$A$2018,$H$6),INDEX($D$19:$D$2018,$H$6),INDEX($D$19:$D$2018,MATCH(Q279,$A$19:INDEX($A$19:$A$2018,$H$6),1))+(Q279-INDEX($A$19:$A$2018,MATCH(Q279,$A$19:INDEX($A$19:$A$2018,$H$6),1)))*(INDEX($D$19:$D$2018,MATCH(Q279,$A$19:INDEX($A$19:$A$2018,$H$6),1)+1)-INDEX($D$19:$D$2018,MATCH(Q279,$A$19:INDEX($A$19:$A$2018,$H$6),1)))/(INDEX($A$19:$A$2018,MATCH(Q279,$A$19:INDEX($A$19:$A$2018,$H$6),1)+1)-INDEX($A$19:$A$2018,MATCH(Q279,$A$19:INDEX($A$19:$A$2018,$H$6),1))))))</f>
        <v/>
      </c>
    </row>
    <row r="280">
      <c r="A280" s="11" t="n"/>
      <c r="B280" s="11" t="n"/>
      <c r="C280" s="12">
        <f>IF(A280="","",$B$9*TAN(RADIANS(A280)))</f>
        <v/>
      </c>
      <c r="D280" s="12">
        <f>IF(C280="","",C280*(1+B280/100))</f>
        <v/>
      </c>
      <c r="E280" s="12">
        <f>IF(A280="","",$B$10*TAN(RADIANS(A280)))</f>
        <v/>
      </c>
      <c r="G280" s="8" t="n">
        <v>262</v>
      </c>
      <c r="H280" s="8">
        <f>$K$10</f>
        <v/>
      </c>
      <c r="I280" s="7" t="inlineStr">
        <is>
          <t>豎</t>
        </is>
      </c>
      <c r="J280" s="8" t="n">
        <v>1</v>
      </c>
      <c r="K280" s="7" t="inlineStr">
        <is>
          <t>右上</t>
        </is>
      </c>
      <c r="L280" s="8">
        <f>$O$10+($M$10+$L$10)/2-$M$10/2+$L$10/2+0*2*$L$10+(1)*$L$10/2</f>
        <v/>
      </c>
      <c r="M280" s="8">
        <f>$P$10+(-1)*$M$10/2</f>
        <v/>
      </c>
      <c r="N280" s="8">
        <f>L280-$B$7/2</f>
        <v/>
      </c>
      <c r="O280" s="8">
        <f>M280-$B$8/2</f>
        <v/>
      </c>
      <c r="P280" s="8">
        <f>SQRT(N280^2+O280^2)</f>
        <v/>
      </c>
      <c r="Q280" s="8">
        <f>IF(OR($H$7&lt;&gt;"OK",P280=""),"",IF(P280&lt;=$D$19,$A$19,IF(P280&gt;=INDEX($D$19:$D$2018,$H$6),INDEX($A$19:$A$2018,$H$6),INDEX($A$19:$A$2018,MATCH(P280,$D$19:INDEX($D$19:$D$2018,$H$6),1))+(P280-INDEX($D$19:$D$2018,MATCH(P280,$D$19:INDEX($D$19:$D$2018,$H$6),1)))*(INDEX($A$19:$A$2018,MATCH(P280,$D$19:INDEX($D$19:$D$2018,$H$6),1)+1)-INDEX($A$19:$A$2018,MATCH(P280,$D$19:INDEX($D$19:$D$2018,$H$6),1)))/(INDEX($D$19:$D$2018,MATCH(P280,$D$19:INDEX($D$19:$D$2018,$H$6),1)+1)-INDEX($D$19:$D$2018,MATCH(P280,$D$19:INDEX($D$19:$D$2018,$H$6),1))))))</f>
        <v/>
      </c>
      <c r="R280" s="8">
        <f>IF(P280=0,0,-Y280*N280/P280)</f>
        <v/>
      </c>
      <c r="S280" s="8">
        <f>IF(P280=0,0,Y280*O280/P280)</f>
        <v/>
      </c>
      <c r="T280" s="8">
        <f>IF(Y280=0,$B$7/2,$B$7/2-Z280*R280/Y280)</f>
        <v/>
      </c>
      <c r="U280" s="8">
        <f>IF(Y280=0,$B$8/2,$B$8/2+Z280*S280/Y280)</f>
        <v/>
      </c>
      <c r="V280" s="8">
        <f>SQRT((T280-L280)^2+(U280-M280)^2)</f>
        <v/>
      </c>
      <c r="Y280">
        <f>$B$10*TAN(RADIANS(Q280))</f>
        <v/>
      </c>
      <c r="Z280">
        <f>IF(OR($H$7&lt;&gt;"OK",Q280=""),"",IF(Q280&lt;=$A$19,$D$19,IF(Q280&gt;=INDEX($A$19:$A$2018,$H$6),INDEX($D$19:$D$2018,$H$6),INDEX($D$19:$D$2018,MATCH(Q280,$A$19:INDEX($A$19:$A$2018,$H$6),1))+(Q280-INDEX($A$19:$A$2018,MATCH(Q280,$A$19:INDEX($A$19:$A$2018,$H$6),1)))*(INDEX($D$19:$D$2018,MATCH(Q280,$A$19:INDEX($A$19:$A$2018,$H$6),1)+1)-INDEX($D$19:$D$2018,MATCH(Q280,$A$19:INDEX($A$19:$A$2018,$H$6),1)))/(INDEX($A$19:$A$2018,MATCH(Q280,$A$19:INDEX($A$19:$A$2018,$H$6),1)+1)-INDEX($A$19:$A$2018,MATCH(Q280,$A$19:INDEX($A$19:$A$2018,$H$6),1))))))</f>
        <v/>
      </c>
    </row>
    <row r="281">
      <c r="A281" s="11" t="n"/>
      <c r="B281" s="11" t="n"/>
      <c r="C281" s="12">
        <f>IF(A281="","",$B$9*TAN(RADIANS(A281)))</f>
        <v/>
      </c>
      <c r="D281" s="12">
        <f>IF(C281="","",C281*(1+B281/100))</f>
        <v/>
      </c>
      <c r="E281" s="12">
        <f>IF(A281="","",$B$10*TAN(RADIANS(A281)))</f>
        <v/>
      </c>
      <c r="G281" s="8" t="n">
        <v>263</v>
      </c>
      <c r="H281" s="8">
        <f>$K$10</f>
        <v/>
      </c>
      <c r="I281" s="7" t="inlineStr">
        <is>
          <t>豎</t>
        </is>
      </c>
      <c r="J281" s="8" t="n">
        <v>1</v>
      </c>
      <c r="K281" s="7" t="inlineStr">
        <is>
          <t>右下</t>
        </is>
      </c>
      <c r="L281" s="8">
        <f>$O$10+($M$10+$L$10)/2-$M$10/2+$L$10/2+0*2*$L$10+(1)*$L$10/2</f>
        <v/>
      </c>
      <c r="M281" s="8">
        <f>$P$10+(1)*$M$10/2</f>
        <v/>
      </c>
      <c r="N281" s="8">
        <f>L281-$B$7/2</f>
        <v/>
      </c>
      <c r="O281" s="8">
        <f>M281-$B$8/2</f>
        <v/>
      </c>
      <c r="P281" s="8">
        <f>SQRT(N281^2+O281^2)</f>
        <v/>
      </c>
      <c r="Q281" s="8">
        <f>IF(OR($H$7&lt;&gt;"OK",P281=""),"",IF(P281&lt;=$D$19,$A$19,IF(P281&gt;=INDEX($D$19:$D$2018,$H$6),INDEX($A$19:$A$2018,$H$6),INDEX($A$19:$A$2018,MATCH(P281,$D$19:INDEX($D$19:$D$2018,$H$6),1))+(P281-INDEX($D$19:$D$2018,MATCH(P281,$D$19:INDEX($D$19:$D$2018,$H$6),1)))*(INDEX($A$19:$A$2018,MATCH(P281,$D$19:INDEX($D$19:$D$2018,$H$6),1)+1)-INDEX($A$19:$A$2018,MATCH(P281,$D$19:INDEX($D$19:$D$2018,$H$6),1)))/(INDEX($D$19:$D$2018,MATCH(P281,$D$19:INDEX($D$19:$D$2018,$H$6),1)+1)-INDEX($D$19:$D$2018,MATCH(P281,$D$19:INDEX($D$19:$D$2018,$H$6),1))))))</f>
        <v/>
      </c>
      <c r="R281" s="8">
        <f>IF(P281=0,0,-Y281*N281/P281)</f>
        <v/>
      </c>
      <c r="S281" s="8">
        <f>IF(P281=0,0,Y281*O281/P281)</f>
        <v/>
      </c>
      <c r="T281" s="8">
        <f>IF(Y281=0,$B$7/2,$B$7/2-Z281*R281/Y281)</f>
        <v/>
      </c>
      <c r="U281" s="8">
        <f>IF(Y281=0,$B$8/2,$B$8/2+Z281*S281/Y281)</f>
        <v/>
      </c>
      <c r="V281" s="8">
        <f>SQRT((T281-L281)^2+(U281-M281)^2)</f>
        <v/>
      </c>
      <c r="Y281">
        <f>$B$10*TAN(RADIANS(Q281))</f>
        <v/>
      </c>
      <c r="Z281">
        <f>IF(OR($H$7&lt;&gt;"OK",Q281=""),"",IF(Q281&lt;=$A$19,$D$19,IF(Q281&gt;=INDEX($A$19:$A$2018,$H$6),INDEX($D$19:$D$2018,$H$6),INDEX($D$19:$D$2018,MATCH(Q281,$A$19:INDEX($A$19:$A$2018,$H$6),1))+(Q281-INDEX($A$19:$A$2018,MATCH(Q281,$A$19:INDEX($A$19:$A$2018,$H$6),1)))*(INDEX($D$19:$D$2018,MATCH(Q281,$A$19:INDEX($A$19:$A$2018,$H$6),1)+1)-INDEX($D$19:$D$2018,MATCH(Q281,$A$19:INDEX($A$19:$A$2018,$H$6),1)))/(INDEX($A$19:$A$2018,MATCH(Q281,$A$19:INDEX($A$19:$A$2018,$H$6),1)+1)-INDEX($A$19:$A$2018,MATCH(Q281,$A$19:INDEX($A$19:$A$2018,$H$6),1))))))</f>
        <v/>
      </c>
    </row>
    <row r="282">
      <c r="A282" s="11" t="n"/>
      <c r="B282" s="11" t="n"/>
      <c r="C282" s="12">
        <f>IF(A282="","",$B$9*TAN(RADIANS(A282)))</f>
        <v/>
      </c>
      <c r="D282" s="12">
        <f>IF(C282="","",C282*(1+B282/100))</f>
        <v/>
      </c>
      <c r="E282" s="12">
        <f>IF(A282="","",$B$10*TAN(RADIANS(A282)))</f>
        <v/>
      </c>
      <c r="G282" s="8" t="n">
        <v>264</v>
      </c>
      <c r="H282" s="8">
        <f>$K$10</f>
        <v/>
      </c>
      <c r="I282" s="7" t="inlineStr">
        <is>
          <t>豎</t>
        </is>
      </c>
      <c r="J282" s="8" t="n">
        <v>1</v>
      </c>
      <c r="K282" s="7" t="inlineStr">
        <is>
          <t>左下</t>
        </is>
      </c>
      <c r="L282" s="8">
        <f>$O$10+($M$10+$L$10)/2-$M$10/2+$L$10/2+0*2*$L$10+(-1)*$L$10/2</f>
        <v/>
      </c>
      <c r="M282" s="8">
        <f>$P$10+(1)*$M$10/2</f>
        <v/>
      </c>
      <c r="N282" s="8">
        <f>L282-$B$7/2</f>
        <v/>
      </c>
      <c r="O282" s="8">
        <f>M282-$B$8/2</f>
        <v/>
      </c>
      <c r="P282" s="8">
        <f>SQRT(N282^2+O282^2)</f>
        <v/>
      </c>
      <c r="Q282" s="8">
        <f>IF(OR($H$7&lt;&gt;"OK",P282=""),"",IF(P282&lt;=$D$19,$A$19,IF(P282&gt;=INDEX($D$19:$D$2018,$H$6),INDEX($A$19:$A$2018,$H$6),INDEX($A$19:$A$2018,MATCH(P282,$D$19:INDEX($D$19:$D$2018,$H$6),1))+(P282-INDEX($D$19:$D$2018,MATCH(P282,$D$19:INDEX($D$19:$D$2018,$H$6),1)))*(INDEX($A$19:$A$2018,MATCH(P282,$D$19:INDEX($D$19:$D$2018,$H$6),1)+1)-INDEX($A$19:$A$2018,MATCH(P282,$D$19:INDEX($D$19:$D$2018,$H$6),1)))/(INDEX($D$19:$D$2018,MATCH(P282,$D$19:INDEX($D$19:$D$2018,$H$6),1)+1)-INDEX($D$19:$D$2018,MATCH(P282,$D$19:INDEX($D$19:$D$2018,$H$6),1))))))</f>
        <v/>
      </c>
      <c r="R282" s="8">
        <f>IF(P282=0,0,-Y282*N282/P282)</f>
        <v/>
      </c>
      <c r="S282" s="8">
        <f>IF(P282=0,0,Y282*O282/P282)</f>
        <v/>
      </c>
      <c r="T282" s="8">
        <f>IF(Y282=0,$B$7/2,$B$7/2-Z282*R282/Y282)</f>
        <v/>
      </c>
      <c r="U282" s="8">
        <f>IF(Y282=0,$B$8/2,$B$8/2+Z282*S282/Y282)</f>
        <v/>
      </c>
      <c r="V282" s="8">
        <f>SQRT((T282-L282)^2+(U282-M282)^2)</f>
        <v/>
      </c>
      <c r="Y282">
        <f>$B$10*TAN(RADIANS(Q282))</f>
        <v/>
      </c>
      <c r="Z282">
        <f>IF(OR($H$7&lt;&gt;"OK",Q282=""),"",IF(Q282&lt;=$A$19,$D$19,IF(Q282&gt;=INDEX($A$19:$A$2018,$H$6),INDEX($D$19:$D$2018,$H$6),INDEX($D$19:$D$2018,MATCH(Q282,$A$19:INDEX($A$19:$A$2018,$H$6),1))+(Q282-INDEX($A$19:$A$2018,MATCH(Q282,$A$19:INDEX($A$19:$A$2018,$H$6),1)))*(INDEX($D$19:$D$2018,MATCH(Q282,$A$19:INDEX($A$19:$A$2018,$H$6),1)+1)-INDEX($D$19:$D$2018,MATCH(Q282,$A$19:INDEX($A$19:$A$2018,$H$6),1)))/(INDEX($A$19:$A$2018,MATCH(Q282,$A$19:INDEX($A$19:$A$2018,$H$6),1)+1)-INDEX($A$19:$A$2018,MATCH(Q282,$A$19:INDEX($A$19:$A$2018,$H$6),1))))))</f>
        <v/>
      </c>
    </row>
    <row r="283">
      <c r="A283" s="11" t="n"/>
      <c r="B283" s="11" t="n"/>
      <c r="C283" s="12">
        <f>IF(A283="","",$B$9*TAN(RADIANS(A283)))</f>
        <v/>
      </c>
      <c r="D283" s="12">
        <f>IF(C283="","",C283*(1+B283/100))</f>
        <v/>
      </c>
      <c r="E283" s="12">
        <f>IF(A283="","",$B$10*TAN(RADIANS(A283)))</f>
        <v/>
      </c>
      <c r="G283" s="8" t="n">
        <v>265</v>
      </c>
      <c r="H283" s="8">
        <f>$K$10</f>
        <v/>
      </c>
      <c r="I283" s="7" t="inlineStr">
        <is>
          <t>豎</t>
        </is>
      </c>
      <c r="J283" s="8" t="n">
        <v>2</v>
      </c>
      <c r="K283" s="7" t="inlineStr">
        <is>
          <t>左上</t>
        </is>
      </c>
      <c r="L283" s="8">
        <f>$O$10+($M$10+$L$10)/2-$M$10/2+$L$10/2+1*2*$L$10+(-1)*$L$10/2</f>
        <v/>
      </c>
      <c r="M283" s="8">
        <f>$P$10+(-1)*$M$10/2</f>
        <v/>
      </c>
      <c r="N283" s="8">
        <f>L283-$B$7/2</f>
        <v/>
      </c>
      <c r="O283" s="8">
        <f>M283-$B$8/2</f>
        <v/>
      </c>
      <c r="P283" s="8">
        <f>SQRT(N283^2+O283^2)</f>
        <v/>
      </c>
      <c r="Q283" s="8">
        <f>IF(OR($H$7&lt;&gt;"OK",P283=""),"",IF(P283&lt;=$D$19,$A$19,IF(P283&gt;=INDEX($D$19:$D$2018,$H$6),INDEX($A$19:$A$2018,$H$6),INDEX($A$19:$A$2018,MATCH(P283,$D$19:INDEX($D$19:$D$2018,$H$6),1))+(P283-INDEX($D$19:$D$2018,MATCH(P283,$D$19:INDEX($D$19:$D$2018,$H$6),1)))*(INDEX($A$19:$A$2018,MATCH(P283,$D$19:INDEX($D$19:$D$2018,$H$6),1)+1)-INDEX($A$19:$A$2018,MATCH(P283,$D$19:INDEX($D$19:$D$2018,$H$6),1)))/(INDEX($D$19:$D$2018,MATCH(P283,$D$19:INDEX($D$19:$D$2018,$H$6),1)+1)-INDEX($D$19:$D$2018,MATCH(P283,$D$19:INDEX($D$19:$D$2018,$H$6),1))))))</f>
        <v/>
      </c>
      <c r="R283" s="8">
        <f>IF(P283=0,0,-Y283*N283/P283)</f>
        <v/>
      </c>
      <c r="S283" s="8">
        <f>IF(P283=0,0,Y283*O283/P283)</f>
        <v/>
      </c>
      <c r="T283" s="8">
        <f>IF(Y283=0,$B$7/2,$B$7/2-Z283*R283/Y283)</f>
        <v/>
      </c>
      <c r="U283" s="8">
        <f>IF(Y283=0,$B$8/2,$B$8/2+Z283*S283/Y283)</f>
        <v/>
      </c>
      <c r="V283" s="8">
        <f>SQRT((T283-L283)^2+(U283-M283)^2)</f>
        <v/>
      </c>
      <c r="Y283">
        <f>$B$10*TAN(RADIANS(Q283))</f>
        <v/>
      </c>
      <c r="Z283">
        <f>IF(OR($H$7&lt;&gt;"OK",Q283=""),"",IF(Q283&lt;=$A$19,$D$19,IF(Q283&gt;=INDEX($A$19:$A$2018,$H$6),INDEX($D$19:$D$2018,$H$6),INDEX($D$19:$D$2018,MATCH(Q283,$A$19:INDEX($A$19:$A$2018,$H$6),1))+(Q283-INDEX($A$19:$A$2018,MATCH(Q283,$A$19:INDEX($A$19:$A$2018,$H$6),1)))*(INDEX($D$19:$D$2018,MATCH(Q283,$A$19:INDEX($A$19:$A$2018,$H$6),1)+1)-INDEX($D$19:$D$2018,MATCH(Q283,$A$19:INDEX($A$19:$A$2018,$H$6),1)))/(INDEX($A$19:$A$2018,MATCH(Q283,$A$19:INDEX($A$19:$A$2018,$H$6),1)+1)-INDEX($A$19:$A$2018,MATCH(Q283,$A$19:INDEX($A$19:$A$2018,$H$6),1))))))</f>
        <v/>
      </c>
    </row>
    <row r="284">
      <c r="A284" s="11" t="n"/>
      <c r="B284" s="11" t="n"/>
      <c r="C284" s="12">
        <f>IF(A284="","",$B$9*TAN(RADIANS(A284)))</f>
        <v/>
      </c>
      <c r="D284" s="12">
        <f>IF(C284="","",C284*(1+B284/100))</f>
        <v/>
      </c>
      <c r="E284" s="12">
        <f>IF(A284="","",$B$10*TAN(RADIANS(A284)))</f>
        <v/>
      </c>
      <c r="G284" s="8" t="n">
        <v>266</v>
      </c>
      <c r="H284" s="8">
        <f>$K$10</f>
        <v/>
      </c>
      <c r="I284" s="7" t="inlineStr">
        <is>
          <t>豎</t>
        </is>
      </c>
      <c r="J284" s="8" t="n">
        <v>2</v>
      </c>
      <c r="K284" s="7" t="inlineStr">
        <is>
          <t>右上</t>
        </is>
      </c>
      <c r="L284" s="8">
        <f>$O$10+($M$10+$L$10)/2-$M$10/2+$L$10/2+1*2*$L$10+(1)*$L$10/2</f>
        <v/>
      </c>
      <c r="M284" s="8">
        <f>$P$10+(-1)*$M$10/2</f>
        <v/>
      </c>
      <c r="N284" s="8">
        <f>L284-$B$7/2</f>
        <v/>
      </c>
      <c r="O284" s="8">
        <f>M284-$B$8/2</f>
        <v/>
      </c>
      <c r="P284" s="8">
        <f>SQRT(N284^2+O284^2)</f>
        <v/>
      </c>
      <c r="Q284" s="8">
        <f>IF(OR($H$7&lt;&gt;"OK",P284=""),"",IF(P284&lt;=$D$19,$A$19,IF(P284&gt;=INDEX($D$19:$D$2018,$H$6),INDEX($A$19:$A$2018,$H$6),INDEX($A$19:$A$2018,MATCH(P284,$D$19:INDEX($D$19:$D$2018,$H$6),1))+(P284-INDEX($D$19:$D$2018,MATCH(P284,$D$19:INDEX($D$19:$D$2018,$H$6),1)))*(INDEX($A$19:$A$2018,MATCH(P284,$D$19:INDEX($D$19:$D$2018,$H$6),1)+1)-INDEX($A$19:$A$2018,MATCH(P284,$D$19:INDEX($D$19:$D$2018,$H$6),1)))/(INDEX($D$19:$D$2018,MATCH(P284,$D$19:INDEX($D$19:$D$2018,$H$6),1)+1)-INDEX($D$19:$D$2018,MATCH(P284,$D$19:INDEX($D$19:$D$2018,$H$6),1))))))</f>
        <v/>
      </c>
      <c r="R284" s="8">
        <f>IF(P284=0,0,-Y284*N284/P284)</f>
        <v/>
      </c>
      <c r="S284" s="8">
        <f>IF(P284=0,0,Y284*O284/P284)</f>
        <v/>
      </c>
      <c r="T284" s="8">
        <f>IF(Y284=0,$B$7/2,$B$7/2-Z284*R284/Y284)</f>
        <v/>
      </c>
      <c r="U284" s="8">
        <f>IF(Y284=0,$B$8/2,$B$8/2+Z284*S284/Y284)</f>
        <v/>
      </c>
      <c r="V284" s="8">
        <f>SQRT((T284-L284)^2+(U284-M284)^2)</f>
        <v/>
      </c>
      <c r="Y284">
        <f>$B$10*TAN(RADIANS(Q284))</f>
        <v/>
      </c>
      <c r="Z284">
        <f>IF(OR($H$7&lt;&gt;"OK",Q284=""),"",IF(Q284&lt;=$A$19,$D$19,IF(Q284&gt;=INDEX($A$19:$A$2018,$H$6),INDEX($D$19:$D$2018,$H$6),INDEX($D$19:$D$2018,MATCH(Q284,$A$19:INDEX($A$19:$A$2018,$H$6),1))+(Q284-INDEX($A$19:$A$2018,MATCH(Q284,$A$19:INDEX($A$19:$A$2018,$H$6),1)))*(INDEX($D$19:$D$2018,MATCH(Q284,$A$19:INDEX($A$19:$A$2018,$H$6),1)+1)-INDEX($D$19:$D$2018,MATCH(Q284,$A$19:INDEX($A$19:$A$2018,$H$6),1)))/(INDEX($A$19:$A$2018,MATCH(Q284,$A$19:INDEX($A$19:$A$2018,$H$6),1)+1)-INDEX($A$19:$A$2018,MATCH(Q284,$A$19:INDEX($A$19:$A$2018,$H$6),1))))))</f>
        <v/>
      </c>
    </row>
    <row r="285">
      <c r="A285" s="11" t="n"/>
      <c r="B285" s="11" t="n"/>
      <c r="C285" s="12">
        <f>IF(A285="","",$B$9*TAN(RADIANS(A285)))</f>
        <v/>
      </c>
      <c r="D285" s="12">
        <f>IF(C285="","",C285*(1+B285/100))</f>
        <v/>
      </c>
      <c r="E285" s="12">
        <f>IF(A285="","",$B$10*TAN(RADIANS(A285)))</f>
        <v/>
      </c>
      <c r="G285" s="8" t="n">
        <v>267</v>
      </c>
      <c r="H285" s="8">
        <f>$K$10</f>
        <v/>
      </c>
      <c r="I285" s="7" t="inlineStr">
        <is>
          <t>豎</t>
        </is>
      </c>
      <c r="J285" s="8" t="n">
        <v>2</v>
      </c>
      <c r="K285" s="7" t="inlineStr">
        <is>
          <t>右下</t>
        </is>
      </c>
      <c r="L285" s="8">
        <f>$O$10+($M$10+$L$10)/2-$M$10/2+$L$10/2+1*2*$L$10+(1)*$L$10/2</f>
        <v/>
      </c>
      <c r="M285" s="8">
        <f>$P$10+(1)*$M$10/2</f>
        <v/>
      </c>
      <c r="N285" s="8">
        <f>L285-$B$7/2</f>
        <v/>
      </c>
      <c r="O285" s="8">
        <f>M285-$B$8/2</f>
        <v/>
      </c>
      <c r="P285" s="8">
        <f>SQRT(N285^2+O285^2)</f>
        <v/>
      </c>
      <c r="Q285" s="8">
        <f>IF(OR($H$7&lt;&gt;"OK",P285=""),"",IF(P285&lt;=$D$19,$A$19,IF(P285&gt;=INDEX($D$19:$D$2018,$H$6),INDEX($A$19:$A$2018,$H$6),INDEX($A$19:$A$2018,MATCH(P285,$D$19:INDEX($D$19:$D$2018,$H$6),1))+(P285-INDEX($D$19:$D$2018,MATCH(P285,$D$19:INDEX($D$19:$D$2018,$H$6),1)))*(INDEX($A$19:$A$2018,MATCH(P285,$D$19:INDEX($D$19:$D$2018,$H$6),1)+1)-INDEX($A$19:$A$2018,MATCH(P285,$D$19:INDEX($D$19:$D$2018,$H$6),1)))/(INDEX($D$19:$D$2018,MATCH(P285,$D$19:INDEX($D$19:$D$2018,$H$6),1)+1)-INDEX($D$19:$D$2018,MATCH(P285,$D$19:INDEX($D$19:$D$2018,$H$6),1))))))</f>
        <v/>
      </c>
      <c r="R285" s="8">
        <f>IF(P285=0,0,-Y285*N285/P285)</f>
        <v/>
      </c>
      <c r="S285" s="8">
        <f>IF(P285=0,0,Y285*O285/P285)</f>
        <v/>
      </c>
      <c r="T285" s="8">
        <f>IF(Y285=0,$B$7/2,$B$7/2-Z285*R285/Y285)</f>
        <v/>
      </c>
      <c r="U285" s="8">
        <f>IF(Y285=0,$B$8/2,$B$8/2+Z285*S285/Y285)</f>
        <v/>
      </c>
      <c r="V285" s="8">
        <f>SQRT((T285-L285)^2+(U285-M285)^2)</f>
        <v/>
      </c>
      <c r="Y285">
        <f>$B$10*TAN(RADIANS(Q285))</f>
        <v/>
      </c>
      <c r="Z285">
        <f>IF(OR($H$7&lt;&gt;"OK",Q285=""),"",IF(Q285&lt;=$A$19,$D$19,IF(Q285&gt;=INDEX($A$19:$A$2018,$H$6),INDEX($D$19:$D$2018,$H$6),INDEX($D$19:$D$2018,MATCH(Q285,$A$19:INDEX($A$19:$A$2018,$H$6),1))+(Q285-INDEX($A$19:$A$2018,MATCH(Q285,$A$19:INDEX($A$19:$A$2018,$H$6),1)))*(INDEX($D$19:$D$2018,MATCH(Q285,$A$19:INDEX($A$19:$A$2018,$H$6),1)+1)-INDEX($D$19:$D$2018,MATCH(Q285,$A$19:INDEX($A$19:$A$2018,$H$6),1)))/(INDEX($A$19:$A$2018,MATCH(Q285,$A$19:INDEX($A$19:$A$2018,$H$6),1)+1)-INDEX($A$19:$A$2018,MATCH(Q285,$A$19:INDEX($A$19:$A$2018,$H$6),1))))))</f>
        <v/>
      </c>
    </row>
    <row r="286">
      <c r="A286" s="11" t="n"/>
      <c r="B286" s="11" t="n"/>
      <c r="C286" s="12">
        <f>IF(A286="","",$B$9*TAN(RADIANS(A286)))</f>
        <v/>
      </c>
      <c r="D286" s="12">
        <f>IF(C286="","",C286*(1+B286/100))</f>
        <v/>
      </c>
      <c r="E286" s="12">
        <f>IF(A286="","",$B$10*TAN(RADIANS(A286)))</f>
        <v/>
      </c>
      <c r="G286" s="8" t="n">
        <v>268</v>
      </c>
      <c r="H286" s="8">
        <f>$K$10</f>
        <v/>
      </c>
      <c r="I286" s="7" t="inlineStr">
        <is>
          <t>豎</t>
        </is>
      </c>
      <c r="J286" s="8" t="n">
        <v>2</v>
      </c>
      <c r="K286" s="7" t="inlineStr">
        <is>
          <t>左下</t>
        </is>
      </c>
      <c r="L286" s="8">
        <f>$O$10+($M$10+$L$10)/2-$M$10/2+$L$10/2+1*2*$L$10+(-1)*$L$10/2</f>
        <v/>
      </c>
      <c r="M286" s="8">
        <f>$P$10+(1)*$M$10/2</f>
        <v/>
      </c>
      <c r="N286" s="8">
        <f>L286-$B$7/2</f>
        <v/>
      </c>
      <c r="O286" s="8">
        <f>M286-$B$8/2</f>
        <v/>
      </c>
      <c r="P286" s="8">
        <f>SQRT(N286^2+O286^2)</f>
        <v/>
      </c>
      <c r="Q286" s="8">
        <f>IF(OR($H$7&lt;&gt;"OK",P286=""),"",IF(P286&lt;=$D$19,$A$19,IF(P286&gt;=INDEX($D$19:$D$2018,$H$6),INDEX($A$19:$A$2018,$H$6),INDEX($A$19:$A$2018,MATCH(P286,$D$19:INDEX($D$19:$D$2018,$H$6),1))+(P286-INDEX($D$19:$D$2018,MATCH(P286,$D$19:INDEX($D$19:$D$2018,$H$6),1)))*(INDEX($A$19:$A$2018,MATCH(P286,$D$19:INDEX($D$19:$D$2018,$H$6),1)+1)-INDEX($A$19:$A$2018,MATCH(P286,$D$19:INDEX($D$19:$D$2018,$H$6),1)))/(INDEX($D$19:$D$2018,MATCH(P286,$D$19:INDEX($D$19:$D$2018,$H$6),1)+1)-INDEX($D$19:$D$2018,MATCH(P286,$D$19:INDEX($D$19:$D$2018,$H$6),1))))))</f>
        <v/>
      </c>
      <c r="R286" s="8">
        <f>IF(P286=0,0,-Y286*N286/P286)</f>
        <v/>
      </c>
      <c r="S286" s="8">
        <f>IF(P286=0,0,Y286*O286/P286)</f>
        <v/>
      </c>
      <c r="T286" s="8">
        <f>IF(Y286=0,$B$7/2,$B$7/2-Z286*R286/Y286)</f>
        <v/>
      </c>
      <c r="U286" s="8">
        <f>IF(Y286=0,$B$8/2,$B$8/2+Z286*S286/Y286)</f>
        <v/>
      </c>
      <c r="V286" s="8">
        <f>SQRT((T286-L286)^2+(U286-M286)^2)</f>
        <v/>
      </c>
      <c r="Y286">
        <f>$B$10*TAN(RADIANS(Q286))</f>
        <v/>
      </c>
      <c r="Z286">
        <f>IF(OR($H$7&lt;&gt;"OK",Q286=""),"",IF(Q286&lt;=$A$19,$D$19,IF(Q286&gt;=INDEX($A$19:$A$2018,$H$6),INDEX($D$19:$D$2018,$H$6),INDEX($D$19:$D$2018,MATCH(Q286,$A$19:INDEX($A$19:$A$2018,$H$6),1))+(Q286-INDEX($A$19:$A$2018,MATCH(Q286,$A$19:INDEX($A$19:$A$2018,$H$6),1)))*(INDEX($D$19:$D$2018,MATCH(Q286,$A$19:INDEX($A$19:$A$2018,$H$6),1)+1)-INDEX($D$19:$D$2018,MATCH(Q286,$A$19:INDEX($A$19:$A$2018,$H$6),1)))/(INDEX($A$19:$A$2018,MATCH(Q286,$A$19:INDEX($A$19:$A$2018,$H$6),1)+1)-INDEX($A$19:$A$2018,MATCH(Q286,$A$19:INDEX($A$19:$A$2018,$H$6),1))))))</f>
        <v/>
      </c>
    </row>
    <row r="287">
      <c r="A287" s="11" t="n"/>
      <c r="B287" s="11" t="n"/>
      <c r="C287" s="12">
        <f>IF(A287="","",$B$9*TAN(RADIANS(A287)))</f>
        <v/>
      </c>
      <c r="D287" s="12">
        <f>IF(C287="","",C287*(1+B287/100))</f>
        <v/>
      </c>
      <c r="E287" s="12">
        <f>IF(A287="","",$B$10*TAN(RADIANS(A287)))</f>
        <v/>
      </c>
      <c r="G287" s="8" t="n">
        <v>269</v>
      </c>
      <c r="H287" s="8">
        <f>$K$10</f>
        <v/>
      </c>
      <c r="I287" s="7" t="inlineStr">
        <is>
          <t>豎</t>
        </is>
      </c>
      <c r="J287" s="8" t="n">
        <v>3</v>
      </c>
      <c r="K287" s="7" t="inlineStr">
        <is>
          <t>左上</t>
        </is>
      </c>
      <c r="L287" s="8">
        <f>$O$10+($M$10+$L$10)/2-$M$10/2+$L$10/2+2*2*$L$10+(-1)*$L$10/2</f>
        <v/>
      </c>
      <c r="M287" s="8">
        <f>$P$10+(-1)*$M$10/2</f>
        <v/>
      </c>
      <c r="N287" s="8">
        <f>L287-$B$7/2</f>
        <v/>
      </c>
      <c r="O287" s="8">
        <f>M287-$B$8/2</f>
        <v/>
      </c>
      <c r="P287" s="8">
        <f>SQRT(N287^2+O287^2)</f>
        <v/>
      </c>
      <c r="Q287" s="8">
        <f>IF(OR($H$7&lt;&gt;"OK",P287=""),"",IF(P287&lt;=$D$19,$A$19,IF(P287&gt;=INDEX($D$19:$D$2018,$H$6),INDEX($A$19:$A$2018,$H$6),INDEX($A$19:$A$2018,MATCH(P287,$D$19:INDEX($D$19:$D$2018,$H$6),1))+(P287-INDEX($D$19:$D$2018,MATCH(P287,$D$19:INDEX($D$19:$D$2018,$H$6),1)))*(INDEX($A$19:$A$2018,MATCH(P287,$D$19:INDEX($D$19:$D$2018,$H$6),1)+1)-INDEX($A$19:$A$2018,MATCH(P287,$D$19:INDEX($D$19:$D$2018,$H$6),1)))/(INDEX($D$19:$D$2018,MATCH(P287,$D$19:INDEX($D$19:$D$2018,$H$6),1)+1)-INDEX($D$19:$D$2018,MATCH(P287,$D$19:INDEX($D$19:$D$2018,$H$6),1))))))</f>
        <v/>
      </c>
      <c r="R287" s="8">
        <f>IF(P287=0,0,-Y287*N287/P287)</f>
        <v/>
      </c>
      <c r="S287" s="8">
        <f>IF(P287=0,0,Y287*O287/P287)</f>
        <v/>
      </c>
      <c r="T287" s="8">
        <f>IF(Y287=0,$B$7/2,$B$7/2-Z287*R287/Y287)</f>
        <v/>
      </c>
      <c r="U287" s="8">
        <f>IF(Y287=0,$B$8/2,$B$8/2+Z287*S287/Y287)</f>
        <v/>
      </c>
      <c r="V287" s="8">
        <f>SQRT((T287-L287)^2+(U287-M287)^2)</f>
        <v/>
      </c>
      <c r="Y287">
        <f>$B$10*TAN(RADIANS(Q287))</f>
        <v/>
      </c>
      <c r="Z287">
        <f>IF(OR($H$7&lt;&gt;"OK",Q287=""),"",IF(Q287&lt;=$A$19,$D$19,IF(Q287&gt;=INDEX($A$19:$A$2018,$H$6),INDEX($D$19:$D$2018,$H$6),INDEX($D$19:$D$2018,MATCH(Q287,$A$19:INDEX($A$19:$A$2018,$H$6),1))+(Q287-INDEX($A$19:$A$2018,MATCH(Q287,$A$19:INDEX($A$19:$A$2018,$H$6),1)))*(INDEX($D$19:$D$2018,MATCH(Q287,$A$19:INDEX($A$19:$A$2018,$H$6),1)+1)-INDEX($D$19:$D$2018,MATCH(Q287,$A$19:INDEX($A$19:$A$2018,$H$6),1)))/(INDEX($A$19:$A$2018,MATCH(Q287,$A$19:INDEX($A$19:$A$2018,$H$6),1)+1)-INDEX($A$19:$A$2018,MATCH(Q287,$A$19:INDEX($A$19:$A$2018,$H$6),1))))))</f>
        <v/>
      </c>
    </row>
    <row r="288">
      <c r="A288" s="11" t="n"/>
      <c r="B288" s="11" t="n"/>
      <c r="C288" s="12">
        <f>IF(A288="","",$B$9*TAN(RADIANS(A288)))</f>
        <v/>
      </c>
      <c r="D288" s="12">
        <f>IF(C288="","",C288*(1+B288/100))</f>
        <v/>
      </c>
      <c r="E288" s="12">
        <f>IF(A288="","",$B$10*TAN(RADIANS(A288)))</f>
        <v/>
      </c>
      <c r="G288" s="8" t="n">
        <v>270</v>
      </c>
      <c r="H288" s="8">
        <f>$K$10</f>
        <v/>
      </c>
      <c r="I288" s="7" t="inlineStr">
        <is>
          <t>豎</t>
        </is>
      </c>
      <c r="J288" s="8" t="n">
        <v>3</v>
      </c>
      <c r="K288" s="7" t="inlineStr">
        <is>
          <t>右上</t>
        </is>
      </c>
      <c r="L288" s="8">
        <f>$O$10+($M$10+$L$10)/2-$M$10/2+$L$10/2+2*2*$L$10+(1)*$L$10/2</f>
        <v/>
      </c>
      <c r="M288" s="8">
        <f>$P$10+(-1)*$M$10/2</f>
        <v/>
      </c>
      <c r="N288" s="8">
        <f>L288-$B$7/2</f>
        <v/>
      </c>
      <c r="O288" s="8">
        <f>M288-$B$8/2</f>
        <v/>
      </c>
      <c r="P288" s="8">
        <f>SQRT(N288^2+O288^2)</f>
        <v/>
      </c>
      <c r="Q288" s="8">
        <f>IF(OR($H$7&lt;&gt;"OK",P288=""),"",IF(P288&lt;=$D$19,$A$19,IF(P288&gt;=INDEX($D$19:$D$2018,$H$6),INDEX($A$19:$A$2018,$H$6),INDEX($A$19:$A$2018,MATCH(P288,$D$19:INDEX($D$19:$D$2018,$H$6),1))+(P288-INDEX($D$19:$D$2018,MATCH(P288,$D$19:INDEX($D$19:$D$2018,$H$6),1)))*(INDEX($A$19:$A$2018,MATCH(P288,$D$19:INDEX($D$19:$D$2018,$H$6),1)+1)-INDEX($A$19:$A$2018,MATCH(P288,$D$19:INDEX($D$19:$D$2018,$H$6),1)))/(INDEX($D$19:$D$2018,MATCH(P288,$D$19:INDEX($D$19:$D$2018,$H$6),1)+1)-INDEX($D$19:$D$2018,MATCH(P288,$D$19:INDEX($D$19:$D$2018,$H$6),1))))))</f>
        <v/>
      </c>
      <c r="R288" s="8">
        <f>IF(P288=0,0,-Y288*N288/P288)</f>
        <v/>
      </c>
      <c r="S288" s="8">
        <f>IF(P288=0,0,Y288*O288/P288)</f>
        <v/>
      </c>
      <c r="T288" s="8">
        <f>IF(Y288=0,$B$7/2,$B$7/2-Z288*R288/Y288)</f>
        <v/>
      </c>
      <c r="U288" s="8">
        <f>IF(Y288=0,$B$8/2,$B$8/2+Z288*S288/Y288)</f>
        <v/>
      </c>
      <c r="V288" s="8">
        <f>SQRT((T288-L288)^2+(U288-M288)^2)</f>
        <v/>
      </c>
      <c r="Y288">
        <f>$B$10*TAN(RADIANS(Q288))</f>
        <v/>
      </c>
      <c r="Z288">
        <f>IF(OR($H$7&lt;&gt;"OK",Q288=""),"",IF(Q288&lt;=$A$19,$D$19,IF(Q288&gt;=INDEX($A$19:$A$2018,$H$6),INDEX($D$19:$D$2018,$H$6),INDEX($D$19:$D$2018,MATCH(Q288,$A$19:INDEX($A$19:$A$2018,$H$6),1))+(Q288-INDEX($A$19:$A$2018,MATCH(Q288,$A$19:INDEX($A$19:$A$2018,$H$6),1)))*(INDEX($D$19:$D$2018,MATCH(Q288,$A$19:INDEX($A$19:$A$2018,$H$6),1)+1)-INDEX($D$19:$D$2018,MATCH(Q288,$A$19:INDEX($A$19:$A$2018,$H$6),1)))/(INDEX($A$19:$A$2018,MATCH(Q288,$A$19:INDEX($A$19:$A$2018,$H$6),1)+1)-INDEX($A$19:$A$2018,MATCH(Q288,$A$19:INDEX($A$19:$A$2018,$H$6),1))))))</f>
        <v/>
      </c>
    </row>
    <row r="289">
      <c r="A289" s="11" t="n"/>
      <c r="B289" s="11" t="n"/>
      <c r="C289" s="12">
        <f>IF(A289="","",$B$9*TAN(RADIANS(A289)))</f>
        <v/>
      </c>
      <c r="D289" s="12">
        <f>IF(C289="","",C289*(1+B289/100))</f>
        <v/>
      </c>
      <c r="E289" s="12">
        <f>IF(A289="","",$B$10*TAN(RADIANS(A289)))</f>
        <v/>
      </c>
      <c r="G289" s="8" t="n">
        <v>271</v>
      </c>
      <c r="H289" s="8">
        <f>$K$10</f>
        <v/>
      </c>
      <c r="I289" s="7" t="inlineStr">
        <is>
          <t>豎</t>
        </is>
      </c>
      <c r="J289" s="8" t="n">
        <v>3</v>
      </c>
      <c r="K289" s="7" t="inlineStr">
        <is>
          <t>右下</t>
        </is>
      </c>
      <c r="L289" s="8">
        <f>$O$10+($M$10+$L$10)/2-$M$10/2+$L$10/2+2*2*$L$10+(1)*$L$10/2</f>
        <v/>
      </c>
      <c r="M289" s="8">
        <f>$P$10+(1)*$M$10/2</f>
        <v/>
      </c>
      <c r="N289" s="8">
        <f>L289-$B$7/2</f>
        <v/>
      </c>
      <c r="O289" s="8">
        <f>M289-$B$8/2</f>
        <v/>
      </c>
      <c r="P289" s="8">
        <f>SQRT(N289^2+O289^2)</f>
        <v/>
      </c>
      <c r="Q289" s="8">
        <f>IF(OR($H$7&lt;&gt;"OK",P289=""),"",IF(P289&lt;=$D$19,$A$19,IF(P289&gt;=INDEX($D$19:$D$2018,$H$6),INDEX($A$19:$A$2018,$H$6),INDEX($A$19:$A$2018,MATCH(P289,$D$19:INDEX($D$19:$D$2018,$H$6),1))+(P289-INDEX($D$19:$D$2018,MATCH(P289,$D$19:INDEX($D$19:$D$2018,$H$6),1)))*(INDEX($A$19:$A$2018,MATCH(P289,$D$19:INDEX($D$19:$D$2018,$H$6),1)+1)-INDEX($A$19:$A$2018,MATCH(P289,$D$19:INDEX($D$19:$D$2018,$H$6),1)))/(INDEX($D$19:$D$2018,MATCH(P289,$D$19:INDEX($D$19:$D$2018,$H$6),1)+1)-INDEX($D$19:$D$2018,MATCH(P289,$D$19:INDEX($D$19:$D$2018,$H$6),1))))))</f>
        <v/>
      </c>
      <c r="R289" s="8">
        <f>IF(P289=0,0,-Y289*N289/P289)</f>
        <v/>
      </c>
      <c r="S289" s="8">
        <f>IF(P289=0,0,Y289*O289/P289)</f>
        <v/>
      </c>
      <c r="T289" s="8">
        <f>IF(Y289=0,$B$7/2,$B$7/2-Z289*R289/Y289)</f>
        <v/>
      </c>
      <c r="U289" s="8">
        <f>IF(Y289=0,$B$8/2,$B$8/2+Z289*S289/Y289)</f>
        <v/>
      </c>
      <c r="V289" s="8">
        <f>SQRT((T289-L289)^2+(U289-M289)^2)</f>
        <v/>
      </c>
      <c r="Y289">
        <f>$B$10*TAN(RADIANS(Q289))</f>
        <v/>
      </c>
      <c r="Z289">
        <f>IF(OR($H$7&lt;&gt;"OK",Q289=""),"",IF(Q289&lt;=$A$19,$D$19,IF(Q289&gt;=INDEX($A$19:$A$2018,$H$6),INDEX($D$19:$D$2018,$H$6),INDEX($D$19:$D$2018,MATCH(Q289,$A$19:INDEX($A$19:$A$2018,$H$6),1))+(Q289-INDEX($A$19:$A$2018,MATCH(Q289,$A$19:INDEX($A$19:$A$2018,$H$6),1)))*(INDEX($D$19:$D$2018,MATCH(Q289,$A$19:INDEX($A$19:$A$2018,$H$6),1)+1)-INDEX($D$19:$D$2018,MATCH(Q289,$A$19:INDEX($A$19:$A$2018,$H$6),1)))/(INDEX($A$19:$A$2018,MATCH(Q289,$A$19:INDEX($A$19:$A$2018,$H$6),1)+1)-INDEX($A$19:$A$2018,MATCH(Q289,$A$19:INDEX($A$19:$A$2018,$H$6),1))))))</f>
        <v/>
      </c>
    </row>
    <row r="290">
      <c r="A290" s="11" t="n"/>
      <c r="B290" s="11" t="n"/>
      <c r="C290" s="12">
        <f>IF(A290="","",$B$9*TAN(RADIANS(A290)))</f>
        <v/>
      </c>
      <c r="D290" s="12">
        <f>IF(C290="","",C290*(1+B290/100))</f>
        <v/>
      </c>
      <c r="E290" s="12">
        <f>IF(A290="","",$B$10*TAN(RADIANS(A290)))</f>
        <v/>
      </c>
      <c r="G290" s="8" t="n">
        <v>272</v>
      </c>
      <c r="H290" s="8">
        <f>$K$10</f>
        <v/>
      </c>
      <c r="I290" s="7" t="inlineStr">
        <is>
          <t>豎</t>
        </is>
      </c>
      <c r="J290" s="8" t="n">
        <v>3</v>
      </c>
      <c r="K290" s="7" t="inlineStr">
        <is>
          <t>左下</t>
        </is>
      </c>
      <c r="L290" s="8">
        <f>$O$10+($M$10+$L$10)/2-$M$10/2+$L$10/2+2*2*$L$10+(-1)*$L$10/2</f>
        <v/>
      </c>
      <c r="M290" s="8">
        <f>$P$10+(1)*$M$10/2</f>
        <v/>
      </c>
      <c r="N290" s="8">
        <f>L290-$B$7/2</f>
        <v/>
      </c>
      <c r="O290" s="8">
        <f>M290-$B$8/2</f>
        <v/>
      </c>
      <c r="P290" s="8">
        <f>SQRT(N290^2+O290^2)</f>
        <v/>
      </c>
      <c r="Q290" s="8">
        <f>IF(OR($H$7&lt;&gt;"OK",P290=""),"",IF(P290&lt;=$D$19,$A$19,IF(P290&gt;=INDEX($D$19:$D$2018,$H$6),INDEX($A$19:$A$2018,$H$6),INDEX($A$19:$A$2018,MATCH(P290,$D$19:INDEX($D$19:$D$2018,$H$6),1))+(P290-INDEX($D$19:$D$2018,MATCH(P290,$D$19:INDEX($D$19:$D$2018,$H$6),1)))*(INDEX($A$19:$A$2018,MATCH(P290,$D$19:INDEX($D$19:$D$2018,$H$6),1)+1)-INDEX($A$19:$A$2018,MATCH(P290,$D$19:INDEX($D$19:$D$2018,$H$6),1)))/(INDEX($D$19:$D$2018,MATCH(P290,$D$19:INDEX($D$19:$D$2018,$H$6),1)+1)-INDEX($D$19:$D$2018,MATCH(P290,$D$19:INDEX($D$19:$D$2018,$H$6),1))))))</f>
        <v/>
      </c>
      <c r="R290" s="8">
        <f>IF(P290=0,0,-Y290*N290/P290)</f>
        <v/>
      </c>
      <c r="S290" s="8">
        <f>IF(P290=0,0,Y290*O290/P290)</f>
        <v/>
      </c>
      <c r="T290" s="8">
        <f>IF(Y290=0,$B$7/2,$B$7/2-Z290*R290/Y290)</f>
        <v/>
      </c>
      <c r="U290" s="8">
        <f>IF(Y290=0,$B$8/2,$B$8/2+Z290*S290/Y290)</f>
        <v/>
      </c>
      <c r="V290" s="8">
        <f>SQRT((T290-L290)^2+(U290-M290)^2)</f>
        <v/>
      </c>
      <c r="Y290">
        <f>$B$10*TAN(RADIANS(Q290))</f>
        <v/>
      </c>
      <c r="Z290">
        <f>IF(OR($H$7&lt;&gt;"OK",Q290=""),"",IF(Q290&lt;=$A$19,$D$19,IF(Q290&gt;=INDEX($A$19:$A$2018,$H$6),INDEX($D$19:$D$2018,$H$6),INDEX($D$19:$D$2018,MATCH(Q290,$A$19:INDEX($A$19:$A$2018,$H$6),1))+(Q290-INDEX($A$19:$A$2018,MATCH(Q290,$A$19:INDEX($A$19:$A$2018,$H$6),1)))*(INDEX($D$19:$D$2018,MATCH(Q290,$A$19:INDEX($A$19:$A$2018,$H$6),1)+1)-INDEX($D$19:$D$2018,MATCH(Q290,$A$19:INDEX($A$19:$A$2018,$H$6),1)))/(INDEX($A$19:$A$2018,MATCH(Q290,$A$19:INDEX($A$19:$A$2018,$H$6),1)+1)-INDEX($A$19:$A$2018,MATCH(Q290,$A$19:INDEX($A$19:$A$2018,$H$6),1))))))</f>
        <v/>
      </c>
    </row>
    <row r="291">
      <c r="A291" s="11" t="n"/>
      <c r="B291" s="11" t="n"/>
      <c r="C291" s="12">
        <f>IF(A291="","",$B$9*TAN(RADIANS(A291)))</f>
        <v/>
      </c>
      <c r="D291" s="12">
        <f>IF(C291="","",C291*(1+B291/100))</f>
        <v/>
      </c>
      <c r="E291" s="12">
        <f>IF(A291="","",$B$10*TAN(RADIANS(A291)))</f>
        <v/>
      </c>
      <c r="G291" s="8" t="n">
        <v>273</v>
      </c>
      <c r="H291" s="8">
        <f>$K$10</f>
        <v/>
      </c>
      <c r="I291" s="7" t="inlineStr">
        <is>
          <t>豎</t>
        </is>
      </c>
      <c r="J291" s="8" t="n">
        <v>4</v>
      </c>
      <c r="K291" s="7" t="inlineStr">
        <is>
          <t>左上</t>
        </is>
      </c>
      <c r="L291" s="8">
        <f>$O$10+($M$10+$L$10)/2-$M$10/2+$L$10/2+3*2*$L$10+(-1)*$L$10/2</f>
        <v/>
      </c>
      <c r="M291" s="8">
        <f>$P$10+(-1)*$M$10/2</f>
        <v/>
      </c>
      <c r="N291" s="8">
        <f>L291-$B$7/2</f>
        <v/>
      </c>
      <c r="O291" s="8">
        <f>M291-$B$8/2</f>
        <v/>
      </c>
      <c r="P291" s="8">
        <f>SQRT(N291^2+O291^2)</f>
        <v/>
      </c>
      <c r="Q291" s="8">
        <f>IF(OR($H$7&lt;&gt;"OK",P291=""),"",IF(P291&lt;=$D$19,$A$19,IF(P291&gt;=INDEX($D$19:$D$2018,$H$6),INDEX($A$19:$A$2018,$H$6),INDEX($A$19:$A$2018,MATCH(P291,$D$19:INDEX($D$19:$D$2018,$H$6),1))+(P291-INDEX($D$19:$D$2018,MATCH(P291,$D$19:INDEX($D$19:$D$2018,$H$6),1)))*(INDEX($A$19:$A$2018,MATCH(P291,$D$19:INDEX($D$19:$D$2018,$H$6),1)+1)-INDEX($A$19:$A$2018,MATCH(P291,$D$19:INDEX($D$19:$D$2018,$H$6),1)))/(INDEX($D$19:$D$2018,MATCH(P291,$D$19:INDEX($D$19:$D$2018,$H$6),1)+1)-INDEX($D$19:$D$2018,MATCH(P291,$D$19:INDEX($D$19:$D$2018,$H$6),1))))))</f>
        <v/>
      </c>
      <c r="R291" s="8">
        <f>IF(P291=0,0,-Y291*N291/P291)</f>
        <v/>
      </c>
      <c r="S291" s="8">
        <f>IF(P291=0,0,Y291*O291/P291)</f>
        <v/>
      </c>
      <c r="T291" s="8">
        <f>IF(Y291=0,$B$7/2,$B$7/2-Z291*R291/Y291)</f>
        <v/>
      </c>
      <c r="U291" s="8">
        <f>IF(Y291=0,$B$8/2,$B$8/2+Z291*S291/Y291)</f>
        <v/>
      </c>
      <c r="V291" s="8">
        <f>SQRT((T291-L291)^2+(U291-M291)^2)</f>
        <v/>
      </c>
      <c r="Y291">
        <f>$B$10*TAN(RADIANS(Q291))</f>
        <v/>
      </c>
      <c r="Z291">
        <f>IF(OR($H$7&lt;&gt;"OK",Q291=""),"",IF(Q291&lt;=$A$19,$D$19,IF(Q291&gt;=INDEX($A$19:$A$2018,$H$6),INDEX($D$19:$D$2018,$H$6),INDEX($D$19:$D$2018,MATCH(Q291,$A$19:INDEX($A$19:$A$2018,$H$6),1))+(Q291-INDEX($A$19:$A$2018,MATCH(Q291,$A$19:INDEX($A$19:$A$2018,$H$6),1)))*(INDEX($D$19:$D$2018,MATCH(Q291,$A$19:INDEX($A$19:$A$2018,$H$6),1)+1)-INDEX($D$19:$D$2018,MATCH(Q291,$A$19:INDEX($A$19:$A$2018,$H$6),1)))/(INDEX($A$19:$A$2018,MATCH(Q291,$A$19:INDEX($A$19:$A$2018,$H$6),1)+1)-INDEX($A$19:$A$2018,MATCH(Q291,$A$19:INDEX($A$19:$A$2018,$H$6),1))))))</f>
        <v/>
      </c>
    </row>
    <row r="292">
      <c r="A292" s="11" t="n"/>
      <c r="B292" s="11" t="n"/>
      <c r="C292" s="12">
        <f>IF(A292="","",$B$9*TAN(RADIANS(A292)))</f>
        <v/>
      </c>
      <c r="D292" s="12">
        <f>IF(C292="","",C292*(1+B292/100))</f>
        <v/>
      </c>
      <c r="E292" s="12">
        <f>IF(A292="","",$B$10*TAN(RADIANS(A292)))</f>
        <v/>
      </c>
      <c r="G292" s="8" t="n">
        <v>274</v>
      </c>
      <c r="H292" s="8">
        <f>$K$10</f>
        <v/>
      </c>
      <c r="I292" s="7" t="inlineStr">
        <is>
          <t>豎</t>
        </is>
      </c>
      <c r="J292" s="8" t="n">
        <v>4</v>
      </c>
      <c r="K292" s="7" t="inlineStr">
        <is>
          <t>右上</t>
        </is>
      </c>
      <c r="L292" s="8">
        <f>$O$10+($M$10+$L$10)/2-$M$10/2+$L$10/2+3*2*$L$10+(1)*$L$10/2</f>
        <v/>
      </c>
      <c r="M292" s="8">
        <f>$P$10+(-1)*$M$10/2</f>
        <v/>
      </c>
      <c r="N292" s="8">
        <f>L292-$B$7/2</f>
        <v/>
      </c>
      <c r="O292" s="8">
        <f>M292-$B$8/2</f>
        <v/>
      </c>
      <c r="P292" s="8">
        <f>SQRT(N292^2+O292^2)</f>
        <v/>
      </c>
      <c r="Q292" s="8">
        <f>IF(OR($H$7&lt;&gt;"OK",P292=""),"",IF(P292&lt;=$D$19,$A$19,IF(P292&gt;=INDEX($D$19:$D$2018,$H$6),INDEX($A$19:$A$2018,$H$6),INDEX($A$19:$A$2018,MATCH(P292,$D$19:INDEX($D$19:$D$2018,$H$6),1))+(P292-INDEX($D$19:$D$2018,MATCH(P292,$D$19:INDEX($D$19:$D$2018,$H$6),1)))*(INDEX($A$19:$A$2018,MATCH(P292,$D$19:INDEX($D$19:$D$2018,$H$6),1)+1)-INDEX($A$19:$A$2018,MATCH(P292,$D$19:INDEX($D$19:$D$2018,$H$6),1)))/(INDEX($D$19:$D$2018,MATCH(P292,$D$19:INDEX($D$19:$D$2018,$H$6),1)+1)-INDEX($D$19:$D$2018,MATCH(P292,$D$19:INDEX($D$19:$D$2018,$H$6),1))))))</f>
        <v/>
      </c>
      <c r="R292" s="8">
        <f>IF(P292=0,0,-Y292*N292/P292)</f>
        <v/>
      </c>
      <c r="S292" s="8">
        <f>IF(P292=0,0,Y292*O292/P292)</f>
        <v/>
      </c>
      <c r="T292" s="8">
        <f>IF(Y292=0,$B$7/2,$B$7/2-Z292*R292/Y292)</f>
        <v/>
      </c>
      <c r="U292" s="8">
        <f>IF(Y292=0,$B$8/2,$B$8/2+Z292*S292/Y292)</f>
        <v/>
      </c>
      <c r="V292" s="8">
        <f>SQRT((T292-L292)^2+(U292-M292)^2)</f>
        <v/>
      </c>
      <c r="Y292">
        <f>$B$10*TAN(RADIANS(Q292))</f>
        <v/>
      </c>
      <c r="Z292">
        <f>IF(OR($H$7&lt;&gt;"OK",Q292=""),"",IF(Q292&lt;=$A$19,$D$19,IF(Q292&gt;=INDEX($A$19:$A$2018,$H$6),INDEX($D$19:$D$2018,$H$6),INDEX($D$19:$D$2018,MATCH(Q292,$A$19:INDEX($A$19:$A$2018,$H$6),1))+(Q292-INDEX($A$19:$A$2018,MATCH(Q292,$A$19:INDEX($A$19:$A$2018,$H$6),1)))*(INDEX($D$19:$D$2018,MATCH(Q292,$A$19:INDEX($A$19:$A$2018,$H$6),1)+1)-INDEX($D$19:$D$2018,MATCH(Q292,$A$19:INDEX($A$19:$A$2018,$H$6),1)))/(INDEX($A$19:$A$2018,MATCH(Q292,$A$19:INDEX($A$19:$A$2018,$H$6),1)+1)-INDEX($A$19:$A$2018,MATCH(Q292,$A$19:INDEX($A$19:$A$2018,$H$6),1))))))</f>
        <v/>
      </c>
    </row>
    <row r="293">
      <c r="A293" s="11" t="n"/>
      <c r="B293" s="11" t="n"/>
      <c r="C293" s="12">
        <f>IF(A293="","",$B$9*TAN(RADIANS(A293)))</f>
        <v/>
      </c>
      <c r="D293" s="12">
        <f>IF(C293="","",C293*(1+B293/100))</f>
        <v/>
      </c>
      <c r="E293" s="12">
        <f>IF(A293="","",$B$10*TAN(RADIANS(A293)))</f>
        <v/>
      </c>
      <c r="G293" s="8" t="n">
        <v>275</v>
      </c>
      <c r="H293" s="8">
        <f>$K$10</f>
        <v/>
      </c>
      <c r="I293" s="7" t="inlineStr">
        <is>
          <t>豎</t>
        </is>
      </c>
      <c r="J293" s="8" t="n">
        <v>4</v>
      </c>
      <c r="K293" s="7" t="inlineStr">
        <is>
          <t>右下</t>
        </is>
      </c>
      <c r="L293" s="8">
        <f>$O$10+($M$10+$L$10)/2-$M$10/2+$L$10/2+3*2*$L$10+(1)*$L$10/2</f>
        <v/>
      </c>
      <c r="M293" s="8">
        <f>$P$10+(1)*$M$10/2</f>
        <v/>
      </c>
      <c r="N293" s="8">
        <f>L293-$B$7/2</f>
        <v/>
      </c>
      <c r="O293" s="8">
        <f>M293-$B$8/2</f>
        <v/>
      </c>
      <c r="P293" s="8">
        <f>SQRT(N293^2+O293^2)</f>
        <v/>
      </c>
      <c r="Q293" s="8">
        <f>IF(OR($H$7&lt;&gt;"OK",P293=""),"",IF(P293&lt;=$D$19,$A$19,IF(P293&gt;=INDEX($D$19:$D$2018,$H$6),INDEX($A$19:$A$2018,$H$6),INDEX($A$19:$A$2018,MATCH(P293,$D$19:INDEX($D$19:$D$2018,$H$6),1))+(P293-INDEX($D$19:$D$2018,MATCH(P293,$D$19:INDEX($D$19:$D$2018,$H$6),1)))*(INDEX($A$19:$A$2018,MATCH(P293,$D$19:INDEX($D$19:$D$2018,$H$6),1)+1)-INDEX($A$19:$A$2018,MATCH(P293,$D$19:INDEX($D$19:$D$2018,$H$6),1)))/(INDEX($D$19:$D$2018,MATCH(P293,$D$19:INDEX($D$19:$D$2018,$H$6),1)+1)-INDEX($D$19:$D$2018,MATCH(P293,$D$19:INDEX($D$19:$D$2018,$H$6),1))))))</f>
        <v/>
      </c>
      <c r="R293" s="8">
        <f>IF(P293=0,0,-Y293*N293/P293)</f>
        <v/>
      </c>
      <c r="S293" s="8">
        <f>IF(P293=0,0,Y293*O293/P293)</f>
        <v/>
      </c>
      <c r="T293" s="8">
        <f>IF(Y293=0,$B$7/2,$B$7/2-Z293*R293/Y293)</f>
        <v/>
      </c>
      <c r="U293" s="8">
        <f>IF(Y293=0,$B$8/2,$B$8/2+Z293*S293/Y293)</f>
        <v/>
      </c>
      <c r="V293" s="8">
        <f>SQRT((T293-L293)^2+(U293-M293)^2)</f>
        <v/>
      </c>
      <c r="Y293">
        <f>$B$10*TAN(RADIANS(Q293))</f>
        <v/>
      </c>
      <c r="Z293">
        <f>IF(OR($H$7&lt;&gt;"OK",Q293=""),"",IF(Q293&lt;=$A$19,$D$19,IF(Q293&gt;=INDEX($A$19:$A$2018,$H$6),INDEX($D$19:$D$2018,$H$6),INDEX($D$19:$D$2018,MATCH(Q293,$A$19:INDEX($A$19:$A$2018,$H$6),1))+(Q293-INDEX($A$19:$A$2018,MATCH(Q293,$A$19:INDEX($A$19:$A$2018,$H$6),1)))*(INDEX($D$19:$D$2018,MATCH(Q293,$A$19:INDEX($A$19:$A$2018,$H$6),1)+1)-INDEX($D$19:$D$2018,MATCH(Q293,$A$19:INDEX($A$19:$A$2018,$H$6),1)))/(INDEX($A$19:$A$2018,MATCH(Q293,$A$19:INDEX($A$19:$A$2018,$H$6),1)+1)-INDEX($A$19:$A$2018,MATCH(Q293,$A$19:INDEX($A$19:$A$2018,$H$6),1))))))</f>
        <v/>
      </c>
    </row>
    <row r="294">
      <c r="A294" s="11" t="n"/>
      <c r="B294" s="11" t="n"/>
      <c r="C294" s="12">
        <f>IF(A294="","",$B$9*TAN(RADIANS(A294)))</f>
        <v/>
      </c>
      <c r="D294" s="12">
        <f>IF(C294="","",C294*(1+B294/100))</f>
        <v/>
      </c>
      <c r="E294" s="12">
        <f>IF(A294="","",$B$10*TAN(RADIANS(A294)))</f>
        <v/>
      </c>
      <c r="G294" s="8" t="n">
        <v>276</v>
      </c>
      <c r="H294" s="8">
        <f>$K$10</f>
        <v/>
      </c>
      <c r="I294" s="7" t="inlineStr">
        <is>
          <t>豎</t>
        </is>
      </c>
      <c r="J294" s="8" t="n">
        <v>4</v>
      </c>
      <c r="K294" s="7" t="inlineStr">
        <is>
          <t>左下</t>
        </is>
      </c>
      <c r="L294" s="8">
        <f>$O$10+($M$10+$L$10)/2-$M$10/2+$L$10/2+3*2*$L$10+(-1)*$L$10/2</f>
        <v/>
      </c>
      <c r="M294" s="8">
        <f>$P$10+(1)*$M$10/2</f>
        <v/>
      </c>
      <c r="N294" s="8">
        <f>L294-$B$7/2</f>
        <v/>
      </c>
      <c r="O294" s="8">
        <f>M294-$B$8/2</f>
        <v/>
      </c>
      <c r="P294" s="8">
        <f>SQRT(N294^2+O294^2)</f>
        <v/>
      </c>
      <c r="Q294" s="8">
        <f>IF(OR($H$7&lt;&gt;"OK",P294=""),"",IF(P294&lt;=$D$19,$A$19,IF(P294&gt;=INDEX($D$19:$D$2018,$H$6),INDEX($A$19:$A$2018,$H$6),INDEX($A$19:$A$2018,MATCH(P294,$D$19:INDEX($D$19:$D$2018,$H$6),1))+(P294-INDEX($D$19:$D$2018,MATCH(P294,$D$19:INDEX($D$19:$D$2018,$H$6),1)))*(INDEX($A$19:$A$2018,MATCH(P294,$D$19:INDEX($D$19:$D$2018,$H$6),1)+1)-INDEX($A$19:$A$2018,MATCH(P294,$D$19:INDEX($D$19:$D$2018,$H$6),1)))/(INDEX($D$19:$D$2018,MATCH(P294,$D$19:INDEX($D$19:$D$2018,$H$6),1)+1)-INDEX($D$19:$D$2018,MATCH(P294,$D$19:INDEX($D$19:$D$2018,$H$6),1))))))</f>
        <v/>
      </c>
      <c r="R294" s="8">
        <f>IF(P294=0,0,-Y294*N294/P294)</f>
        <v/>
      </c>
      <c r="S294" s="8">
        <f>IF(P294=0,0,Y294*O294/P294)</f>
        <v/>
      </c>
      <c r="T294" s="8">
        <f>IF(Y294=0,$B$7/2,$B$7/2-Z294*R294/Y294)</f>
        <v/>
      </c>
      <c r="U294" s="8">
        <f>IF(Y294=0,$B$8/2,$B$8/2+Z294*S294/Y294)</f>
        <v/>
      </c>
      <c r="V294" s="8">
        <f>SQRT((T294-L294)^2+(U294-M294)^2)</f>
        <v/>
      </c>
      <c r="Y294">
        <f>$B$10*TAN(RADIANS(Q294))</f>
        <v/>
      </c>
      <c r="Z294">
        <f>IF(OR($H$7&lt;&gt;"OK",Q294=""),"",IF(Q294&lt;=$A$19,$D$19,IF(Q294&gt;=INDEX($A$19:$A$2018,$H$6),INDEX($D$19:$D$2018,$H$6),INDEX($D$19:$D$2018,MATCH(Q294,$A$19:INDEX($A$19:$A$2018,$H$6),1))+(Q294-INDEX($A$19:$A$2018,MATCH(Q294,$A$19:INDEX($A$19:$A$2018,$H$6),1)))*(INDEX($D$19:$D$2018,MATCH(Q294,$A$19:INDEX($A$19:$A$2018,$H$6),1)+1)-INDEX($D$19:$D$2018,MATCH(Q294,$A$19:INDEX($A$19:$A$2018,$H$6),1)))/(INDEX($A$19:$A$2018,MATCH(Q294,$A$19:INDEX($A$19:$A$2018,$H$6),1)+1)-INDEX($A$19:$A$2018,MATCH(Q294,$A$19:INDEX($A$19:$A$2018,$H$6),1))))))</f>
        <v/>
      </c>
    </row>
    <row r="295">
      <c r="A295" s="11" t="n"/>
      <c r="B295" s="11" t="n"/>
      <c r="C295" s="12">
        <f>IF(A295="","",$B$9*TAN(RADIANS(A295)))</f>
        <v/>
      </c>
      <c r="D295" s="12">
        <f>IF(C295="","",C295*(1+B295/100))</f>
        <v/>
      </c>
      <c r="E295" s="12">
        <f>IF(A295="","",$B$10*TAN(RADIANS(A295)))</f>
        <v/>
      </c>
      <c r="G295" s="8" t="n">
        <v>277</v>
      </c>
      <c r="H295" s="8">
        <f>$K$10</f>
        <v/>
      </c>
      <c r="I295" s="7" t="inlineStr">
        <is>
          <t>豎</t>
        </is>
      </c>
      <c r="J295" s="8" t="n">
        <v>5</v>
      </c>
      <c r="K295" s="7" t="inlineStr">
        <is>
          <t>左上</t>
        </is>
      </c>
      <c r="L295" s="8">
        <f>$O$10+($M$10+$L$10)/2-$M$10/2+$L$10/2+4*2*$L$10+(-1)*$L$10/2</f>
        <v/>
      </c>
      <c r="M295" s="8">
        <f>$P$10+(-1)*$M$10/2</f>
        <v/>
      </c>
      <c r="N295" s="8">
        <f>L295-$B$7/2</f>
        <v/>
      </c>
      <c r="O295" s="8">
        <f>M295-$B$8/2</f>
        <v/>
      </c>
      <c r="P295" s="8">
        <f>SQRT(N295^2+O295^2)</f>
        <v/>
      </c>
      <c r="Q295" s="8">
        <f>IF(OR($H$7&lt;&gt;"OK",P295=""),"",IF(P295&lt;=$D$19,$A$19,IF(P295&gt;=INDEX($D$19:$D$2018,$H$6),INDEX($A$19:$A$2018,$H$6),INDEX($A$19:$A$2018,MATCH(P295,$D$19:INDEX($D$19:$D$2018,$H$6),1))+(P295-INDEX($D$19:$D$2018,MATCH(P295,$D$19:INDEX($D$19:$D$2018,$H$6),1)))*(INDEX($A$19:$A$2018,MATCH(P295,$D$19:INDEX($D$19:$D$2018,$H$6),1)+1)-INDEX($A$19:$A$2018,MATCH(P295,$D$19:INDEX($D$19:$D$2018,$H$6),1)))/(INDEX($D$19:$D$2018,MATCH(P295,$D$19:INDEX($D$19:$D$2018,$H$6),1)+1)-INDEX($D$19:$D$2018,MATCH(P295,$D$19:INDEX($D$19:$D$2018,$H$6),1))))))</f>
        <v/>
      </c>
      <c r="R295" s="8">
        <f>IF(P295=0,0,-Y295*N295/P295)</f>
        <v/>
      </c>
      <c r="S295" s="8">
        <f>IF(P295=0,0,Y295*O295/P295)</f>
        <v/>
      </c>
      <c r="T295" s="8">
        <f>IF(Y295=0,$B$7/2,$B$7/2-Z295*R295/Y295)</f>
        <v/>
      </c>
      <c r="U295" s="8">
        <f>IF(Y295=0,$B$8/2,$B$8/2+Z295*S295/Y295)</f>
        <v/>
      </c>
      <c r="V295" s="8">
        <f>SQRT((T295-L295)^2+(U295-M295)^2)</f>
        <v/>
      </c>
      <c r="Y295">
        <f>$B$10*TAN(RADIANS(Q295))</f>
        <v/>
      </c>
      <c r="Z295">
        <f>IF(OR($H$7&lt;&gt;"OK",Q295=""),"",IF(Q295&lt;=$A$19,$D$19,IF(Q295&gt;=INDEX($A$19:$A$2018,$H$6),INDEX($D$19:$D$2018,$H$6),INDEX($D$19:$D$2018,MATCH(Q295,$A$19:INDEX($A$19:$A$2018,$H$6),1))+(Q295-INDEX($A$19:$A$2018,MATCH(Q295,$A$19:INDEX($A$19:$A$2018,$H$6),1)))*(INDEX($D$19:$D$2018,MATCH(Q295,$A$19:INDEX($A$19:$A$2018,$H$6),1)+1)-INDEX($D$19:$D$2018,MATCH(Q295,$A$19:INDEX($A$19:$A$2018,$H$6),1)))/(INDEX($A$19:$A$2018,MATCH(Q295,$A$19:INDEX($A$19:$A$2018,$H$6),1)+1)-INDEX($A$19:$A$2018,MATCH(Q295,$A$19:INDEX($A$19:$A$2018,$H$6),1))))))</f>
        <v/>
      </c>
    </row>
    <row r="296">
      <c r="A296" s="11" t="n"/>
      <c r="B296" s="11" t="n"/>
      <c r="C296" s="12">
        <f>IF(A296="","",$B$9*TAN(RADIANS(A296)))</f>
        <v/>
      </c>
      <c r="D296" s="12">
        <f>IF(C296="","",C296*(1+B296/100))</f>
        <v/>
      </c>
      <c r="E296" s="12">
        <f>IF(A296="","",$B$10*TAN(RADIANS(A296)))</f>
        <v/>
      </c>
      <c r="G296" s="8" t="n">
        <v>278</v>
      </c>
      <c r="H296" s="8">
        <f>$K$10</f>
        <v/>
      </c>
      <c r="I296" s="7" t="inlineStr">
        <is>
          <t>豎</t>
        </is>
      </c>
      <c r="J296" s="8" t="n">
        <v>5</v>
      </c>
      <c r="K296" s="7" t="inlineStr">
        <is>
          <t>右上</t>
        </is>
      </c>
      <c r="L296" s="8">
        <f>$O$10+($M$10+$L$10)/2-$M$10/2+$L$10/2+4*2*$L$10+(1)*$L$10/2</f>
        <v/>
      </c>
      <c r="M296" s="8">
        <f>$P$10+(-1)*$M$10/2</f>
        <v/>
      </c>
      <c r="N296" s="8">
        <f>L296-$B$7/2</f>
        <v/>
      </c>
      <c r="O296" s="8">
        <f>M296-$B$8/2</f>
        <v/>
      </c>
      <c r="P296" s="8">
        <f>SQRT(N296^2+O296^2)</f>
        <v/>
      </c>
      <c r="Q296" s="8">
        <f>IF(OR($H$7&lt;&gt;"OK",P296=""),"",IF(P296&lt;=$D$19,$A$19,IF(P296&gt;=INDEX($D$19:$D$2018,$H$6),INDEX($A$19:$A$2018,$H$6),INDEX($A$19:$A$2018,MATCH(P296,$D$19:INDEX($D$19:$D$2018,$H$6),1))+(P296-INDEX($D$19:$D$2018,MATCH(P296,$D$19:INDEX($D$19:$D$2018,$H$6),1)))*(INDEX($A$19:$A$2018,MATCH(P296,$D$19:INDEX($D$19:$D$2018,$H$6),1)+1)-INDEX($A$19:$A$2018,MATCH(P296,$D$19:INDEX($D$19:$D$2018,$H$6),1)))/(INDEX($D$19:$D$2018,MATCH(P296,$D$19:INDEX($D$19:$D$2018,$H$6),1)+1)-INDEX($D$19:$D$2018,MATCH(P296,$D$19:INDEX($D$19:$D$2018,$H$6),1))))))</f>
        <v/>
      </c>
      <c r="R296" s="8">
        <f>IF(P296=0,0,-Y296*N296/P296)</f>
        <v/>
      </c>
      <c r="S296" s="8">
        <f>IF(P296=0,0,Y296*O296/P296)</f>
        <v/>
      </c>
      <c r="T296" s="8">
        <f>IF(Y296=0,$B$7/2,$B$7/2-Z296*R296/Y296)</f>
        <v/>
      </c>
      <c r="U296" s="8">
        <f>IF(Y296=0,$B$8/2,$B$8/2+Z296*S296/Y296)</f>
        <v/>
      </c>
      <c r="V296" s="8">
        <f>SQRT((T296-L296)^2+(U296-M296)^2)</f>
        <v/>
      </c>
      <c r="Y296">
        <f>$B$10*TAN(RADIANS(Q296))</f>
        <v/>
      </c>
      <c r="Z296">
        <f>IF(OR($H$7&lt;&gt;"OK",Q296=""),"",IF(Q296&lt;=$A$19,$D$19,IF(Q296&gt;=INDEX($A$19:$A$2018,$H$6),INDEX($D$19:$D$2018,$H$6),INDEX($D$19:$D$2018,MATCH(Q296,$A$19:INDEX($A$19:$A$2018,$H$6),1))+(Q296-INDEX($A$19:$A$2018,MATCH(Q296,$A$19:INDEX($A$19:$A$2018,$H$6),1)))*(INDEX($D$19:$D$2018,MATCH(Q296,$A$19:INDEX($A$19:$A$2018,$H$6),1)+1)-INDEX($D$19:$D$2018,MATCH(Q296,$A$19:INDEX($A$19:$A$2018,$H$6),1)))/(INDEX($A$19:$A$2018,MATCH(Q296,$A$19:INDEX($A$19:$A$2018,$H$6),1)+1)-INDEX($A$19:$A$2018,MATCH(Q296,$A$19:INDEX($A$19:$A$2018,$H$6),1))))))</f>
        <v/>
      </c>
    </row>
    <row r="297">
      <c r="A297" s="11" t="n"/>
      <c r="B297" s="11" t="n"/>
      <c r="C297" s="12">
        <f>IF(A297="","",$B$9*TAN(RADIANS(A297)))</f>
        <v/>
      </c>
      <c r="D297" s="12">
        <f>IF(C297="","",C297*(1+B297/100))</f>
        <v/>
      </c>
      <c r="E297" s="12">
        <f>IF(A297="","",$B$10*TAN(RADIANS(A297)))</f>
        <v/>
      </c>
      <c r="G297" s="8" t="n">
        <v>279</v>
      </c>
      <c r="H297" s="8">
        <f>$K$10</f>
        <v/>
      </c>
      <c r="I297" s="7" t="inlineStr">
        <is>
          <t>豎</t>
        </is>
      </c>
      <c r="J297" s="8" t="n">
        <v>5</v>
      </c>
      <c r="K297" s="7" t="inlineStr">
        <is>
          <t>右下</t>
        </is>
      </c>
      <c r="L297" s="8">
        <f>$O$10+($M$10+$L$10)/2-$M$10/2+$L$10/2+4*2*$L$10+(1)*$L$10/2</f>
        <v/>
      </c>
      <c r="M297" s="8">
        <f>$P$10+(1)*$M$10/2</f>
        <v/>
      </c>
      <c r="N297" s="8">
        <f>L297-$B$7/2</f>
        <v/>
      </c>
      <c r="O297" s="8">
        <f>M297-$B$8/2</f>
        <v/>
      </c>
      <c r="P297" s="8">
        <f>SQRT(N297^2+O297^2)</f>
        <v/>
      </c>
      <c r="Q297" s="8">
        <f>IF(OR($H$7&lt;&gt;"OK",P297=""),"",IF(P297&lt;=$D$19,$A$19,IF(P297&gt;=INDEX($D$19:$D$2018,$H$6),INDEX($A$19:$A$2018,$H$6),INDEX($A$19:$A$2018,MATCH(P297,$D$19:INDEX($D$19:$D$2018,$H$6),1))+(P297-INDEX($D$19:$D$2018,MATCH(P297,$D$19:INDEX($D$19:$D$2018,$H$6),1)))*(INDEX($A$19:$A$2018,MATCH(P297,$D$19:INDEX($D$19:$D$2018,$H$6),1)+1)-INDEX($A$19:$A$2018,MATCH(P297,$D$19:INDEX($D$19:$D$2018,$H$6),1)))/(INDEX($D$19:$D$2018,MATCH(P297,$D$19:INDEX($D$19:$D$2018,$H$6),1)+1)-INDEX($D$19:$D$2018,MATCH(P297,$D$19:INDEX($D$19:$D$2018,$H$6),1))))))</f>
        <v/>
      </c>
      <c r="R297" s="8">
        <f>IF(P297=0,0,-Y297*N297/P297)</f>
        <v/>
      </c>
      <c r="S297" s="8">
        <f>IF(P297=0,0,Y297*O297/P297)</f>
        <v/>
      </c>
      <c r="T297" s="8">
        <f>IF(Y297=0,$B$7/2,$B$7/2-Z297*R297/Y297)</f>
        <v/>
      </c>
      <c r="U297" s="8">
        <f>IF(Y297=0,$B$8/2,$B$8/2+Z297*S297/Y297)</f>
        <v/>
      </c>
      <c r="V297" s="8">
        <f>SQRT((T297-L297)^2+(U297-M297)^2)</f>
        <v/>
      </c>
      <c r="Y297">
        <f>$B$10*TAN(RADIANS(Q297))</f>
        <v/>
      </c>
      <c r="Z297">
        <f>IF(OR($H$7&lt;&gt;"OK",Q297=""),"",IF(Q297&lt;=$A$19,$D$19,IF(Q297&gt;=INDEX($A$19:$A$2018,$H$6),INDEX($D$19:$D$2018,$H$6),INDEX($D$19:$D$2018,MATCH(Q297,$A$19:INDEX($A$19:$A$2018,$H$6),1))+(Q297-INDEX($A$19:$A$2018,MATCH(Q297,$A$19:INDEX($A$19:$A$2018,$H$6),1)))*(INDEX($D$19:$D$2018,MATCH(Q297,$A$19:INDEX($A$19:$A$2018,$H$6),1)+1)-INDEX($D$19:$D$2018,MATCH(Q297,$A$19:INDEX($A$19:$A$2018,$H$6),1)))/(INDEX($A$19:$A$2018,MATCH(Q297,$A$19:INDEX($A$19:$A$2018,$H$6),1)+1)-INDEX($A$19:$A$2018,MATCH(Q297,$A$19:INDEX($A$19:$A$2018,$H$6),1))))))</f>
        <v/>
      </c>
    </row>
    <row r="298">
      <c r="A298" s="11" t="n"/>
      <c r="B298" s="11" t="n"/>
      <c r="C298" s="12">
        <f>IF(A298="","",$B$9*TAN(RADIANS(A298)))</f>
        <v/>
      </c>
      <c r="D298" s="12">
        <f>IF(C298="","",C298*(1+B298/100))</f>
        <v/>
      </c>
      <c r="E298" s="12">
        <f>IF(A298="","",$B$10*TAN(RADIANS(A298)))</f>
        <v/>
      </c>
      <c r="G298" s="8" t="n">
        <v>280</v>
      </c>
      <c r="H298" s="8">
        <f>$K$10</f>
        <v/>
      </c>
      <c r="I298" s="7" t="inlineStr">
        <is>
          <t>豎</t>
        </is>
      </c>
      <c r="J298" s="8" t="n">
        <v>5</v>
      </c>
      <c r="K298" s="7" t="inlineStr">
        <is>
          <t>左下</t>
        </is>
      </c>
      <c r="L298" s="8">
        <f>$O$10+($M$10+$L$10)/2-$M$10/2+$L$10/2+4*2*$L$10+(-1)*$L$10/2</f>
        <v/>
      </c>
      <c r="M298" s="8">
        <f>$P$10+(1)*$M$10/2</f>
        <v/>
      </c>
      <c r="N298" s="8">
        <f>L298-$B$7/2</f>
        <v/>
      </c>
      <c r="O298" s="8">
        <f>M298-$B$8/2</f>
        <v/>
      </c>
      <c r="P298" s="8">
        <f>SQRT(N298^2+O298^2)</f>
        <v/>
      </c>
      <c r="Q298" s="8">
        <f>IF(OR($H$7&lt;&gt;"OK",P298=""),"",IF(P298&lt;=$D$19,$A$19,IF(P298&gt;=INDEX($D$19:$D$2018,$H$6),INDEX($A$19:$A$2018,$H$6),INDEX($A$19:$A$2018,MATCH(P298,$D$19:INDEX($D$19:$D$2018,$H$6),1))+(P298-INDEX($D$19:$D$2018,MATCH(P298,$D$19:INDEX($D$19:$D$2018,$H$6),1)))*(INDEX($A$19:$A$2018,MATCH(P298,$D$19:INDEX($D$19:$D$2018,$H$6),1)+1)-INDEX($A$19:$A$2018,MATCH(P298,$D$19:INDEX($D$19:$D$2018,$H$6),1)))/(INDEX($D$19:$D$2018,MATCH(P298,$D$19:INDEX($D$19:$D$2018,$H$6),1)+1)-INDEX($D$19:$D$2018,MATCH(P298,$D$19:INDEX($D$19:$D$2018,$H$6),1))))))</f>
        <v/>
      </c>
      <c r="R298" s="8">
        <f>IF(P298=0,0,-Y298*N298/P298)</f>
        <v/>
      </c>
      <c r="S298" s="8">
        <f>IF(P298=0,0,Y298*O298/P298)</f>
        <v/>
      </c>
      <c r="T298" s="8">
        <f>IF(Y298=0,$B$7/2,$B$7/2-Z298*R298/Y298)</f>
        <v/>
      </c>
      <c r="U298" s="8">
        <f>IF(Y298=0,$B$8/2,$B$8/2+Z298*S298/Y298)</f>
        <v/>
      </c>
      <c r="V298" s="8">
        <f>SQRT((T298-L298)^2+(U298-M298)^2)</f>
        <v/>
      </c>
      <c r="Y298">
        <f>$B$10*TAN(RADIANS(Q298))</f>
        <v/>
      </c>
      <c r="Z298">
        <f>IF(OR($H$7&lt;&gt;"OK",Q298=""),"",IF(Q298&lt;=$A$19,$D$19,IF(Q298&gt;=INDEX($A$19:$A$2018,$H$6),INDEX($D$19:$D$2018,$H$6),INDEX($D$19:$D$2018,MATCH(Q298,$A$19:INDEX($A$19:$A$2018,$H$6),1))+(Q298-INDEX($A$19:$A$2018,MATCH(Q298,$A$19:INDEX($A$19:$A$2018,$H$6),1)))*(INDEX($D$19:$D$2018,MATCH(Q298,$A$19:INDEX($A$19:$A$2018,$H$6),1)+1)-INDEX($D$19:$D$2018,MATCH(Q298,$A$19:INDEX($A$19:$A$2018,$H$6),1)))/(INDEX($A$19:$A$2018,MATCH(Q298,$A$19:INDEX($A$19:$A$2018,$H$6),1)+1)-INDEX($A$19:$A$2018,MATCH(Q298,$A$19:INDEX($A$19:$A$2018,$H$6),1))))))</f>
        <v/>
      </c>
    </row>
    <row r="299">
      <c r="A299" s="11" t="n"/>
      <c r="B299" s="11" t="n"/>
      <c r="C299" s="12">
        <f>IF(A299="","",$B$9*TAN(RADIANS(A299)))</f>
        <v/>
      </c>
      <c r="D299" s="12">
        <f>IF(C299="","",C299*(1+B299/100))</f>
        <v/>
      </c>
      <c r="E299" s="12">
        <f>IF(A299="","",$B$10*TAN(RADIANS(A299)))</f>
        <v/>
      </c>
      <c r="G299" s="8" t="n">
        <v>281</v>
      </c>
      <c r="H299" s="8">
        <f>$K$11</f>
        <v/>
      </c>
      <c r="I299" s="7" t="inlineStr">
        <is>
          <t>橫</t>
        </is>
      </c>
      <c r="J299" s="8" t="n">
        <v>1</v>
      </c>
      <c r="K299" s="7" t="inlineStr">
        <is>
          <t>左上</t>
        </is>
      </c>
      <c r="L299" s="8">
        <f>$O$11-($M$11+$L$11)/2+(-1)*$M$11/2</f>
        <v/>
      </c>
      <c r="M299" s="8">
        <f>$P$11-$M$11/2+$L$11/2+0*2*$L$11+(-1)*$L$11/2</f>
        <v/>
      </c>
      <c r="N299" s="8">
        <f>L299-$B$7/2</f>
        <v/>
      </c>
      <c r="O299" s="8">
        <f>M299-$B$8/2</f>
        <v/>
      </c>
      <c r="P299" s="8">
        <f>SQRT(N299^2+O299^2)</f>
        <v/>
      </c>
      <c r="Q299" s="8">
        <f>IF(OR($H$7&lt;&gt;"OK",P299=""),"",IF(P299&lt;=$D$19,$A$19,IF(P299&gt;=INDEX($D$19:$D$2018,$H$6),INDEX($A$19:$A$2018,$H$6),INDEX($A$19:$A$2018,MATCH(P299,$D$19:INDEX($D$19:$D$2018,$H$6),1))+(P299-INDEX($D$19:$D$2018,MATCH(P299,$D$19:INDEX($D$19:$D$2018,$H$6),1)))*(INDEX($A$19:$A$2018,MATCH(P299,$D$19:INDEX($D$19:$D$2018,$H$6),1)+1)-INDEX($A$19:$A$2018,MATCH(P299,$D$19:INDEX($D$19:$D$2018,$H$6),1)))/(INDEX($D$19:$D$2018,MATCH(P299,$D$19:INDEX($D$19:$D$2018,$H$6),1)+1)-INDEX($D$19:$D$2018,MATCH(P299,$D$19:INDEX($D$19:$D$2018,$H$6),1))))))</f>
        <v/>
      </c>
      <c r="R299" s="8">
        <f>IF(P299=0,0,-Y299*N299/P299)</f>
        <v/>
      </c>
      <c r="S299" s="8">
        <f>IF(P299=0,0,Y299*O299/P299)</f>
        <v/>
      </c>
      <c r="T299" s="8">
        <f>IF(Y299=0,$B$7/2,$B$7/2-Z299*R299/Y299)</f>
        <v/>
      </c>
      <c r="U299" s="8">
        <f>IF(Y299=0,$B$8/2,$B$8/2+Z299*S299/Y299)</f>
        <v/>
      </c>
      <c r="V299" s="8">
        <f>SQRT((T299-L299)^2+(U299-M299)^2)</f>
        <v/>
      </c>
      <c r="Y299">
        <f>$B$10*TAN(RADIANS(Q299))</f>
        <v/>
      </c>
      <c r="Z299">
        <f>IF(OR($H$7&lt;&gt;"OK",Q299=""),"",IF(Q299&lt;=$A$19,$D$19,IF(Q299&gt;=INDEX($A$19:$A$2018,$H$6),INDEX($D$19:$D$2018,$H$6),INDEX($D$19:$D$2018,MATCH(Q299,$A$19:INDEX($A$19:$A$2018,$H$6),1))+(Q299-INDEX($A$19:$A$2018,MATCH(Q299,$A$19:INDEX($A$19:$A$2018,$H$6),1)))*(INDEX($D$19:$D$2018,MATCH(Q299,$A$19:INDEX($A$19:$A$2018,$H$6),1)+1)-INDEX($D$19:$D$2018,MATCH(Q299,$A$19:INDEX($A$19:$A$2018,$H$6),1)))/(INDEX($A$19:$A$2018,MATCH(Q299,$A$19:INDEX($A$19:$A$2018,$H$6),1)+1)-INDEX($A$19:$A$2018,MATCH(Q299,$A$19:INDEX($A$19:$A$2018,$H$6),1))))))</f>
        <v/>
      </c>
    </row>
    <row r="300">
      <c r="A300" s="11" t="n"/>
      <c r="B300" s="11" t="n"/>
      <c r="C300" s="12">
        <f>IF(A300="","",$B$9*TAN(RADIANS(A300)))</f>
        <v/>
      </c>
      <c r="D300" s="12">
        <f>IF(C300="","",C300*(1+B300/100))</f>
        <v/>
      </c>
      <c r="E300" s="12">
        <f>IF(A300="","",$B$10*TAN(RADIANS(A300)))</f>
        <v/>
      </c>
      <c r="G300" s="8" t="n">
        <v>282</v>
      </c>
      <c r="H300" s="8">
        <f>$K$11</f>
        <v/>
      </c>
      <c r="I300" s="7" t="inlineStr">
        <is>
          <t>橫</t>
        </is>
      </c>
      <c r="J300" s="8" t="n">
        <v>1</v>
      </c>
      <c r="K300" s="7" t="inlineStr">
        <is>
          <t>右上</t>
        </is>
      </c>
      <c r="L300" s="8">
        <f>$O$11-($M$11+$L$11)/2+(1)*$M$11/2</f>
        <v/>
      </c>
      <c r="M300" s="8">
        <f>$P$11-$M$11/2+$L$11/2+0*2*$L$11+(-1)*$L$11/2</f>
        <v/>
      </c>
      <c r="N300" s="8">
        <f>L300-$B$7/2</f>
        <v/>
      </c>
      <c r="O300" s="8">
        <f>M300-$B$8/2</f>
        <v/>
      </c>
      <c r="P300" s="8">
        <f>SQRT(N300^2+O300^2)</f>
        <v/>
      </c>
      <c r="Q300" s="8">
        <f>IF(OR($H$7&lt;&gt;"OK",P300=""),"",IF(P300&lt;=$D$19,$A$19,IF(P300&gt;=INDEX($D$19:$D$2018,$H$6),INDEX($A$19:$A$2018,$H$6),INDEX($A$19:$A$2018,MATCH(P300,$D$19:INDEX($D$19:$D$2018,$H$6),1))+(P300-INDEX($D$19:$D$2018,MATCH(P300,$D$19:INDEX($D$19:$D$2018,$H$6),1)))*(INDEX($A$19:$A$2018,MATCH(P300,$D$19:INDEX($D$19:$D$2018,$H$6),1)+1)-INDEX($A$19:$A$2018,MATCH(P300,$D$19:INDEX($D$19:$D$2018,$H$6),1)))/(INDEX($D$19:$D$2018,MATCH(P300,$D$19:INDEX($D$19:$D$2018,$H$6),1)+1)-INDEX($D$19:$D$2018,MATCH(P300,$D$19:INDEX($D$19:$D$2018,$H$6),1))))))</f>
        <v/>
      </c>
      <c r="R300" s="8">
        <f>IF(P300=0,0,-Y300*N300/P300)</f>
        <v/>
      </c>
      <c r="S300" s="8">
        <f>IF(P300=0,0,Y300*O300/P300)</f>
        <v/>
      </c>
      <c r="T300" s="8">
        <f>IF(Y300=0,$B$7/2,$B$7/2-Z300*R300/Y300)</f>
        <v/>
      </c>
      <c r="U300" s="8">
        <f>IF(Y300=0,$B$8/2,$B$8/2+Z300*S300/Y300)</f>
        <v/>
      </c>
      <c r="V300" s="8">
        <f>SQRT((T300-L300)^2+(U300-M300)^2)</f>
        <v/>
      </c>
      <c r="Y300">
        <f>$B$10*TAN(RADIANS(Q300))</f>
        <v/>
      </c>
      <c r="Z300">
        <f>IF(OR($H$7&lt;&gt;"OK",Q300=""),"",IF(Q300&lt;=$A$19,$D$19,IF(Q300&gt;=INDEX($A$19:$A$2018,$H$6),INDEX($D$19:$D$2018,$H$6),INDEX($D$19:$D$2018,MATCH(Q300,$A$19:INDEX($A$19:$A$2018,$H$6),1))+(Q300-INDEX($A$19:$A$2018,MATCH(Q300,$A$19:INDEX($A$19:$A$2018,$H$6),1)))*(INDEX($D$19:$D$2018,MATCH(Q300,$A$19:INDEX($A$19:$A$2018,$H$6),1)+1)-INDEX($D$19:$D$2018,MATCH(Q300,$A$19:INDEX($A$19:$A$2018,$H$6),1)))/(INDEX($A$19:$A$2018,MATCH(Q300,$A$19:INDEX($A$19:$A$2018,$H$6),1)+1)-INDEX($A$19:$A$2018,MATCH(Q300,$A$19:INDEX($A$19:$A$2018,$H$6),1))))))</f>
        <v/>
      </c>
    </row>
    <row r="301">
      <c r="A301" s="11" t="n"/>
      <c r="B301" s="11" t="n"/>
      <c r="C301" s="12">
        <f>IF(A301="","",$B$9*TAN(RADIANS(A301)))</f>
        <v/>
      </c>
      <c r="D301" s="12">
        <f>IF(C301="","",C301*(1+B301/100))</f>
        <v/>
      </c>
      <c r="E301" s="12">
        <f>IF(A301="","",$B$10*TAN(RADIANS(A301)))</f>
        <v/>
      </c>
      <c r="G301" s="8" t="n">
        <v>283</v>
      </c>
      <c r="H301" s="8">
        <f>$K$11</f>
        <v/>
      </c>
      <c r="I301" s="7" t="inlineStr">
        <is>
          <t>橫</t>
        </is>
      </c>
      <c r="J301" s="8" t="n">
        <v>1</v>
      </c>
      <c r="K301" s="7" t="inlineStr">
        <is>
          <t>右下</t>
        </is>
      </c>
      <c r="L301" s="8">
        <f>$O$11-($M$11+$L$11)/2+(1)*$M$11/2</f>
        <v/>
      </c>
      <c r="M301" s="8">
        <f>$P$11-$M$11/2+$L$11/2+0*2*$L$11+(1)*$L$11/2</f>
        <v/>
      </c>
      <c r="N301" s="8">
        <f>L301-$B$7/2</f>
        <v/>
      </c>
      <c r="O301" s="8">
        <f>M301-$B$8/2</f>
        <v/>
      </c>
      <c r="P301" s="8">
        <f>SQRT(N301^2+O301^2)</f>
        <v/>
      </c>
      <c r="Q301" s="8">
        <f>IF(OR($H$7&lt;&gt;"OK",P301=""),"",IF(P301&lt;=$D$19,$A$19,IF(P301&gt;=INDEX($D$19:$D$2018,$H$6),INDEX($A$19:$A$2018,$H$6),INDEX($A$19:$A$2018,MATCH(P301,$D$19:INDEX($D$19:$D$2018,$H$6),1))+(P301-INDEX($D$19:$D$2018,MATCH(P301,$D$19:INDEX($D$19:$D$2018,$H$6),1)))*(INDEX($A$19:$A$2018,MATCH(P301,$D$19:INDEX($D$19:$D$2018,$H$6),1)+1)-INDEX($A$19:$A$2018,MATCH(P301,$D$19:INDEX($D$19:$D$2018,$H$6),1)))/(INDEX($D$19:$D$2018,MATCH(P301,$D$19:INDEX($D$19:$D$2018,$H$6),1)+1)-INDEX($D$19:$D$2018,MATCH(P301,$D$19:INDEX($D$19:$D$2018,$H$6),1))))))</f>
        <v/>
      </c>
      <c r="R301" s="8">
        <f>IF(P301=0,0,-Y301*N301/P301)</f>
        <v/>
      </c>
      <c r="S301" s="8">
        <f>IF(P301=0,0,Y301*O301/P301)</f>
        <v/>
      </c>
      <c r="T301" s="8">
        <f>IF(Y301=0,$B$7/2,$B$7/2-Z301*R301/Y301)</f>
        <v/>
      </c>
      <c r="U301" s="8">
        <f>IF(Y301=0,$B$8/2,$B$8/2+Z301*S301/Y301)</f>
        <v/>
      </c>
      <c r="V301" s="8">
        <f>SQRT((T301-L301)^2+(U301-M301)^2)</f>
        <v/>
      </c>
      <c r="Y301">
        <f>$B$10*TAN(RADIANS(Q301))</f>
        <v/>
      </c>
      <c r="Z301">
        <f>IF(OR($H$7&lt;&gt;"OK",Q301=""),"",IF(Q301&lt;=$A$19,$D$19,IF(Q301&gt;=INDEX($A$19:$A$2018,$H$6),INDEX($D$19:$D$2018,$H$6),INDEX($D$19:$D$2018,MATCH(Q301,$A$19:INDEX($A$19:$A$2018,$H$6),1))+(Q301-INDEX($A$19:$A$2018,MATCH(Q301,$A$19:INDEX($A$19:$A$2018,$H$6),1)))*(INDEX($D$19:$D$2018,MATCH(Q301,$A$19:INDEX($A$19:$A$2018,$H$6),1)+1)-INDEX($D$19:$D$2018,MATCH(Q301,$A$19:INDEX($A$19:$A$2018,$H$6),1)))/(INDEX($A$19:$A$2018,MATCH(Q301,$A$19:INDEX($A$19:$A$2018,$H$6),1)+1)-INDEX($A$19:$A$2018,MATCH(Q301,$A$19:INDEX($A$19:$A$2018,$H$6),1))))))</f>
        <v/>
      </c>
    </row>
    <row r="302">
      <c r="A302" s="11" t="n"/>
      <c r="B302" s="11" t="n"/>
      <c r="C302" s="12">
        <f>IF(A302="","",$B$9*TAN(RADIANS(A302)))</f>
        <v/>
      </c>
      <c r="D302" s="12">
        <f>IF(C302="","",C302*(1+B302/100))</f>
        <v/>
      </c>
      <c r="E302" s="12">
        <f>IF(A302="","",$B$10*TAN(RADIANS(A302)))</f>
        <v/>
      </c>
      <c r="G302" s="8" t="n">
        <v>284</v>
      </c>
      <c r="H302" s="8">
        <f>$K$11</f>
        <v/>
      </c>
      <c r="I302" s="7" t="inlineStr">
        <is>
          <t>橫</t>
        </is>
      </c>
      <c r="J302" s="8" t="n">
        <v>1</v>
      </c>
      <c r="K302" s="7" t="inlineStr">
        <is>
          <t>左下</t>
        </is>
      </c>
      <c r="L302" s="8">
        <f>$O$11-($M$11+$L$11)/2+(-1)*$M$11/2</f>
        <v/>
      </c>
      <c r="M302" s="8">
        <f>$P$11-$M$11/2+$L$11/2+0*2*$L$11+(1)*$L$11/2</f>
        <v/>
      </c>
      <c r="N302" s="8">
        <f>L302-$B$7/2</f>
        <v/>
      </c>
      <c r="O302" s="8">
        <f>M302-$B$8/2</f>
        <v/>
      </c>
      <c r="P302" s="8">
        <f>SQRT(N302^2+O302^2)</f>
        <v/>
      </c>
      <c r="Q302" s="8">
        <f>IF(OR($H$7&lt;&gt;"OK",P302=""),"",IF(P302&lt;=$D$19,$A$19,IF(P302&gt;=INDEX($D$19:$D$2018,$H$6),INDEX($A$19:$A$2018,$H$6),INDEX($A$19:$A$2018,MATCH(P302,$D$19:INDEX($D$19:$D$2018,$H$6),1))+(P302-INDEX($D$19:$D$2018,MATCH(P302,$D$19:INDEX($D$19:$D$2018,$H$6),1)))*(INDEX($A$19:$A$2018,MATCH(P302,$D$19:INDEX($D$19:$D$2018,$H$6),1)+1)-INDEX($A$19:$A$2018,MATCH(P302,$D$19:INDEX($D$19:$D$2018,$H$6),1)))/(INDEX($D$19:$D$2018,MATCH(P302,$D$19:INDEX($D$19:$D$2018,$H$6),1)+1)-INDEX($D$19:$D$2018,MATCH(P302,$D$19:INDEX($D$19:$D$2018,$H$6),1))))))</f>
        <v/>
      </c>
      <c r="R302" s="8">
        <f>IF(P302=0,0,-Y302*N302/P302)</f>
        <v/>
      </c>
      <c r="S302" s="8">
        <f>IF(P302=0,0,Y302*O302/P302)</f>
        <v/>
      </c>
      <c r="T302" s="8">
        <f>IF(Y302=0,$B$7/2,$B$7/2-Z302*R302/Y302)</f>
        <v/>
      </c>
      <c r="U302" s="8">
        <f>IF(Y302=0,$B$8/2,$B$8/2+Z302*S302/Y302)</f>
        <v/>
      </c>
      <c r="V302" s="8">
        <f>SQRT((T302-L302)^2+(U302-M302)^2)</f>
        <v/>
      </c>
      <c r="Y302">
        <f>$B$10*TAN(RADIANS(Q302))</f>
        <v/>
      </c>
      <c r="Z302">
        <f>IF(OR($H$7&lt;&gt;"OK",Q302=""),"",IF(Q302&lt;=$A$19,$D$19,IF(Q302&gt;=INDEX($A$19:$A$2018,$H$6),INDEX($D$19:$D$2018,$H$6),INDEX($D$19:$D$2018,MATCH(Q302,$A$19:INDEX($A$19:$A$2018,$H$6),1))+(Q302-INDEX($A$19:$A$2018,MATCH(Q302,$A$19:INDEX($A$19:$A$2018,$H$6),1)))*(INDEX($D$19:$D$2018,MATCH(Q302,$A$19:INDEX($A$19:$A$2018,$H$6),1)+1)-INDEX($D$19:$D$2018,MATCH(Q302,$A$19:INDEX($A$19:$A$2018,$H$6),1)))/(INDEX($A$19:$A$2018,MATCH(Q302,$A$19:INDEX($A$19:$A$2018,$H$6),1)+1)-INDEX($A$19:$A$2018,MATCH(Q302,$A$19:INDEX($A$19:$A$2018,$H$6),1))))))</f>
        <v/>
      </c>
    </row>
    <row r="303">
      <c r="A303" s="11" t="n"/>
      <c r="B303" s="11" t="n"/>
      <c r="C303" s="12">
        <f>IF(A303="","",$B$9*TAN(RADIANS(A303)))</f>
        <v/>
      </c>
      <c r="D303" s="12">
        <f>IF(C303="","",C303*(1+B303/100))</f>
        <v/>
      </c>
      <c r="E303" s="12">
        <f>IF(A303="","",$B$10*TAN(RADIANS(A303)))</f>
        <v/>
      </c>
      <c r="G303" s="8" t="n">
        <v>285</v>
      </c>
      <c r="H303" s="8">
        <f>$K$11</f>
        <v/>
      </c>
      <c r="I303" s="7" t="inlineStr">
        <is>
          <t>橫</t>
        </is>
      </c>
      <c r="J303" s="8" t="n">
        <v>2</v>
      </c>
      <c r="K303" s="7" t="inlineStr">
        <is>
          <t>左上</t>
        </is>
      </c>
      <c r="L303" s="8">
        <f>$O$11-($M$11+$L$11)/2+(-1)*$M$11/2</f>
        <v/>
      </c>
      <c r="M303" s="8">
        <f>$P$11-$M$11/2+$L$11/2+1*2*$L$11+(-1)*$L$11/2</f>
        <v/>
      </c>
      <c r="N303" s="8">
        <f>L303-$B$7/2</f>
        <v/>
      </c>
      <c r="O303" s="8">
        <f>M303-$B$8/2</f>
        <v/>
      </c>
      <c r="P303" s="8">
        <f>SQRT(N303^2+O303^2)</f>
        <v/>
      </c>
      <c r="Q303" s="8">
        <f>IF(OR($H$7&lt;&gt;"OK",P303=""),"",IF(P303&lt;=$D$19,$A$19,IF(P303&gt;=INDEX($D$19:$D$2018,$H$6),INDEX($A$19:$A$2018,$H$6),INDEX($A$19:$A$2018,MATCH(P303,$D$19:INDEX($D$19:$D$2018,$H$6),1))+(P303-INDEX($D$19:$D$2018,MATCH(P303,$D$19:INDEX($D$19:$D$2018,$H$6),1)))*(INDEX($A$19:$A$2018,MATCH(P303,$D$19:INDEX($D$19:$D$2018,$H$6),1)+1)-INDEX($A$19:$A$2018,MATCH(P303,$D$19:INDEX($D$19:$D$2018,$H$6),1)))/(INDEX($D$19:$D$2018,MATCH(P303,$D$19:INDEX($D$19:$D$2018,$H$6),1)+1)-INDEX($D$19:$D$2018,MATCH(P303,$D$19:INDEX($D$19:$D$2018,$H$6),1))))))</f>
        <v/>
      </c>
      <c r="R303" s="8">
        <f>IF(P303=0,0,-Y303*N303/P303)</f>
        <v/>
      </c>
      <c r="S303" s="8">
        <f>IF(P303=0,0,Y303*O303/P303)</f>
        <v/>
      </c>
      <c r="T303" s="8">
        <f>IF(Y303=0,$B$7/2,$B$7/2-Z303*R303/Y303)</f>
        <v/>
      </c>
      <c r="U303" s="8">
        <f>IF(Y303=0,$B$8/2,$B$8/2+Z303*S303/Y303)</f>
        <v/>
      </c>
      <c r="V303" s="8">
        <f>SQRT((T303-L303)^2+(U303-M303)^2)</f>
        <v/>
      </c>
      <c r="Y303">
        <f>$B$10*TAN(RADIANS(Q303))</f>
        <v/>
      </c>
      <c r="Z303">
        <f>IF(OR($H$7&lt;&gt;"OK",Q303=""),"",IF(Q303&lt;=$A$19,$D$19,IF(Q303&gt;=INDEX($A$19:$A$2018,$H$6),INDEX($D$19:$D$2018,$H$6),INDEX($D$19:$D$2018,MATCH(Q303,$A$19:INDEX($A$19:$A$2018,$H$6),1))+(Q303-INDEX($A$19:$A$2018,MATCH(Q303,$A$19:INDEX($A$19:$A$2018,$H$6),1)))*(INDEX($D$19:$D$2018,MATCH(Q303,$A$19:INDEX($A$19:$A$2018,$H$6),1)+1)-INDEX($D$19:$D$2018,MATCH(Q303,$A$19:INDEX($A$19:$A$2018,$H$6),1)))/(INDEX($A$19:$A$2018,MATCH(Q303,$A$19:INDEX($A$19:$A$2018,$H$6),1)+1)-INDEX($A$19:$A$2018,MATCH(Q303,$A$19:INDEX($A$19:$A$2018,$H$6),1))))))</f>
        <v/>
      </c>
    </row>
    <row r="304">
      <c r="A304" s="11" t="n"/>
      <c r="B304" s="11" t="n"/>
      <c r="C304" s="12">
        <f>IF(A304="","",$B$9*TAN(RADIANS(A304)))</f>
        <v/>
      </c>
      <c r="D304" s="12">
        <f>IF(C304="","",C304*(1+B304/100))</f>
        <v/>
      </c>
      <c r="E304" s="12">
        <f>IF(A304="","",$B$10*TAN(RADIANS(A304)))</f>
        <v/>
      </c>
      <c r="G304" s="8" t="n">
        <v>286</v>
      </c>
      <c r="H304" s="8">
        <f>$K$11</f>
        <v/>
      </c>
      <c r="I304" s="7" t="inlineStr">
        <is>
          <t>橫</t>
        </is>
      </c>
      <c r="J304" s="8" t="n">
        <v>2</v>
      </c>
      <c r="K304" s="7" t="inlineStr">
        <is>
          <t>右上</t>
        </is>
      </c>
      <c r="L304" s="8">
        <f>$O$11-($M$11+$L$11)/2+(1)*$M$11/2</f>
        <v/>
      </c>
      <c r="M304" s="8">
        <f>$P$11-$M$11/2+$L$11/2+1*2*$L$11+(-1)*$L$11/2</f>
        <v/>
      </c>
      <c r="N304" s="8">
        <f>L304-$B$7/2</f>
        <v/>
      </c>
      <c r="O304" s="8">
        <f>M304-$B$8/2</f>
        <v/>
      </c>
      <c r="P304" s="8">
        <f>SQRT(N304^2+O304^2)</f>
        <v/>
      </c>
      <c r="Q304" s="8">
        <f>IF(OR($H$7&lt;&gt;"OK",P304=""),"",IF(P304&lt;=$D$19,$A$19,IF(P304&gt;=INDEX($D$19:$D$2018,$H$6),INDEX($A$19:$A$2018,$H$6),INDEX($A$19:$A$2018,MATCH(P304,$D$19:INDEX($D$19:$D$2018,$H$6),1))+(P304-INDEX($D$19:$D$2018,MATCH(P304,$D$19:INDEX($D$19:$D$2018,$H$6),1)))*(INDEX($A$19:$A$2018,MATCH(P304,$D$19:INDEX($D$19:$D$2018,$H$6),1)+1)-INDEX($A$19:$A$2018,MATCH(P304,$D$19:INDEX($D$19:$D$2018,$H$6),1)))/(INDEX($D$19:$D$2018,MATCH(P304,$D$19:INDEX($D$19:$D$2018,$H$6),1)+1)-INDEX($D$19:$D$2018,MATCH(P304,$D$19:INDEX($D$19:$D$2018,$H$6),1))))))</f>
        <v/>
      </c>
      <c r="R304" s="8">
        <f>IF(P304=0,0,-Y304*N304/P304)</f>
        <v/>
      </c>
      <c r="S304" s="8">
        <f>IF(P304=0,0,Y304*O304/P304)</f>
        <v/>
      </c>
      <c r="T304" s="8">
        <f>IF(Y304=0,$B$7/2,$B$7/2-Z304*R304/Y304)</f>
        <v/>
      </c>
      <c r="U304" s="8">
        <f>IF(Y304=0,$B$8/2,$B$8/2+Z304*S304/Y304)</f>
        <v/>
      </c>
      <c r="V304" s="8">
        <f>SQRT((T304-L304)^2+(U304-M304)^2)</f>
        <v/>
      </c>
      <c r="Y304">
        <f>$B$10*TAN(RADIANS(Q304))</f>
        <v/>
      </c>
      <c r="Z304">
        <f>IF(OR($H$7&lt;&gt;"OK",Q304=""),"",IF(Q304&lt;=$A$19,$D$19,IF(Q304&gt;=INDEX($A$19:$A$2018,$H$6),INDEX($D$19:$D$2018,$H$6),INDEX($D$19:$D$2018,MATCH(Q304,$A$19:INDEX($A$19:$A$2018,$H$6),1))+(Q304-INDEX($A$19:$A$2018,MATCH(Q304,$A$19:INDEX($A$19:$A$2018,$H$6),1)))*(INDEX($D$19:$D$2018,MATCH(Q304,$A$19:INDEX($A$19:$A$2018,$H$6),1)+1)-INDEX($D$19:$D$2018,MATCH(Q304,$A$19:INDEX($A$19:$A$2018,$H$6),1)))/(INDEX($A$19:$A$2018,MATCH(Q304,$A$19:INDEX($A$19:$A$2018,$H$6),1)+1)-INDEX($A$19:$A$2018,MATCH(Q304,$A$19:INDEX($A$19:$A$2018,$H$6),1))))))</f>
        <v/>
      </c>
    </row>
    <row r="305">
      <c r="A305" s="11" t="n"/>
      <c r="B305" s="11" t="n"/>
      <c r="C305" s="12">
        <f>IF(A305="","",$B$9*TAN(RADIANS(A305)))</f>
        <v/>
      </c>
      <c r="D305" s="12">
        <f>IF(C305="","",C305*(1+B305/100))</f>
        <v/>
      </c>
      <c r="E305" s="12">
        <f>IF(A305="","",$B$10*TAN(RADIANS(A305)))</f>
        <v/>
      </c>
      <c r="G305" s="8" t="n">
        <v>287</v>
      </c>
      <c r="H305" s="8">
        <f>$K$11</f>
        <v/>
      </c>
      <c r="I305" s="7" t="inlineStr">
        <is>
          <t>橫</t>
        </is>
      </c>
      <c r="J305" s="8" t="n">
        <v>2</v>
      </c>
      <c r="K305" s="7" t="inlineStr">
        <is>
          <t>右下</t>
        </is>
      </c>
      <c r="L305" s="8">
        <f>$O$11-($M$11+$L$11)/2+(1)*$M$11/2</f>
        <v/>
      </c>
      <c r="M305" s="8">
        <f>$P$11-$M$11/2+$L$11/2+1*2*$L$11+(1)*$L$11/2</f>
        <v/>
      </c>
      <c r="N305" s="8">
        <f>L305-$B$7/2</f>
        <v/>
      </c>
      <c r="O305" s="8">
        <f>M305-$B$8/2</f>
        <v/>
      </c>
      <c r="P305" s="8">
        <f>SQRT(N305^2+O305^2)</f>
        <v/>
      </c>
      <c r="Q305" s="8">
        <f>IF(OR($H$7&lt;&gt;"OK",P305=""),"",IF(P305&lt;=$D$19,$A$19,IF(P305&gt;=INDEX($D$19:$D$2018,$H$6),INDEX($A$19:$A$2018,$H$6),INDEX($A$19:$A$2018,MATCH(P305,$D$19:INDEX($D$19:$D$2018,$H$6),1))+(P305-INDEX($D$19:$D$2018,MATCH(P305,$D$19:INDEX($D$19:$D$2018,$H$6),1)))*(INDEX($A$19:$A$2018,MATCH(P305,$D$19:INDEX($D$19:$D$2018,$H$6),1)+1)-INDEX($A$19:$A$2018,MATCH(P305,$D$19:INDEX($D$19:$D$2018,$H$6),1)))/(INDEX($D$19:$D$2018,MATCH(P305,$D$19:INDEX($D$19:$D$2018,$H$6),1)+1)-INDEX($D$19:$D$2018,MATCH(P305,$D$19:INDEX($D$19:$D$2018,$H$6),1))))))</f>
        <v/>
      </c>
      <c r="R305" s="8">
        <f>IF(P305=0,0,-Y305*N305/P305)</f>
        <v/>
      </c>
      <c r="S305" s="8">
        <f>IF(P305=0,0,Y305*O305/P305)</f>
        <v/>
      </c>
      <c r="T305" s="8">
        <f>IF(Y305=0,$B$7/2,$B$7/2-Z305*R305/Y305)</f>
        <v/>
      </c>
      <c r="U305" s="8">
        <f>IF(Y305=0,$B$8/2,$B$8/2+Z305*S305/Y305)</f>
        <v/>
      </c>
      <c r="V305" s="8">
        <f>SQRT((T305-L305)^2+(U305-M305)^2)</f>
        <v/>
      </c>
      <c r="Y305">
        <f>$B$10*TAN(RADIANS(Q305))</f>
        <v/>
      </c>
      <c r="Z305">
        <f>IF(OR($H$7&lt;&gt;"OK",Q305=""),"",IF(Q305&lt;=$A$19,$D$19,IF(Q305&gt;=INDEX($A$19:$A$2018,$H$6),INDEX($D$19:$D$2018,$H$6),INDEX($D$19:$D$2018,MATCH(Q305,$A$19:INDEX($A$19:$A$2018,$H$6),1))+(Q305-INDEX($A$19:$A$2018,MATCH(Q305,$A$19:INDEX($A$19:$A$2018,$H$6),1)))*(INDEX($D$19:$D$2018,MATCH(Q305,$A$19:INDEX($A$19:$A$2018,$H$6),1)+1)-INDEX($D$19:$D$2018,MATCH(Q305,$A$19:INDEX($A$19:$A$2018,$H$6),1)))/(INDEX($A$19:$A$2018,MATCH(Q305,$A$19:INDEX($A$19:$A$2018,$H$6),1)+1)-INDEX($A$19:$A$2018,MATCH(Q305,$A$19:INDEX($A$19:$A$2018,$H$6),1))))))</f>
        <v/>
      </c>
    </row>
    <row r="306">
      <c r="A306" s="11" t="n"/>
      <c r="B306" s="11" t="n"/>
      <c r="C306" s="12">
        <f>IF(A306="","",$B$9*TAN(RADIANS(A306)))</f>
        <v/>
      </c>
      <c r="D306" s="12">
        <f>IF(C306="","",C306*(1+B306/100))</f>
        <v/>
      </c>
      <c r="E306" s="12">
        <f>IF(A306="","",$B$10*TAN(RADIANS(A306)))</f>
        <v/>
      </c>
      <c r="G306" s="8" t="n">
        <v>288</v>
      </c>
      <c r="H306" s="8">
        <f>$K$11</f>
        <v/>
      </c>
      <c r="I306" s="7" t="inlineStr">
        <is>
          <t>橫</t>
        </is>
      </c>
      <c r="J306" s="8" t="n">
        <v>2</v>
      </c>
      <c r="K306" s="7" t="inlineStr">
        <is>
          <t>左下</t>
        </is>
      </c>
      <c r="L306" s="8">
        <f>$O$11-($M$11+$L$11)/2+(-1)*$M$11/2</f>
        <v/>
      </c>
      <c r="M306" s="8">
        <f>$P$11-$M$11/2+$L$11/2+1*2*$L$11+(1)*$L$11/2</f>
        <v/>
      </c>
      <c r="N306" s="8">
        <f>L306-$B$7/2</f>
        <v/>
      </c>
      <c r="O306" s="8">
        <f>M306-$B$8/2</f>
        <v/>
      </c>
      <c r="P306" s="8">
        <f>SQRT(N306^2+O306^2)</f>
        <v/>
      </c>
      <c r="Q306" s="8">
        <f>IF(OR($H$7&lt;&gt;"OK",P306=""),"",IF(P306&lt;=$D$19,$A$19,IF(P306&gt;=INDEX($D$19:$D$2018,$H$6),INDEX($A$19:$A$2018,$H$6),INDEX($A$19:$A$2018,MATCH(P306,$D$19:INDEX($D$19:$D$2018,$H$6),1))+(P306-INDEX($D$19:$D$2018,MATCH(P306,$D$19:INDEX($D$19:$D$2018,$H$6),1)))*(INDEX($A$19:$A$2018,MATCH(P306,$D$19:INDEX($D$19:$D$2018,$H$6),1)+1)-INDEX($A$19:$A$2018,MATCH(P306,$D$19:INDEX($D$19:$D$2018,$H$6),1)))/(INDEX($D$19:$D$2018,MATCH(P306,$D$19:INDEX($D$19:$D$2018,$H$6),1)+1)-INDEX($D$19:$D$2018,MATCH(P306,$D$19:INDEX($D$19:$D$2018,$H$6),1))))))</f>
        <v/>
      </c>
      <c r="R306" s="8">
        <f>IF(P306=0,0,-Y306*N306/P306)</f>
        <v/>
      </c>
      <c r="S306" s="8">
        <f>IF(P306=0,0,Y306*O306/P306)</f>
        <v/>
      </c>
      <c r="T306" s="8">
        <f>IF(Y306=0,$B$7/2,$B$7/2-Z306*R306/Y306)</f>
        <v/>
      </c>
      <c r="U306" s="8">
        <f>IF(Y306=0,$B$8/2,$B$8/2+Z306*S306/Y306)</f>
        <v/>
      </c>
      <c r="V306" s="8">
        <f>SQRT((T306-L306)^2+(U306-M306)^2)</f>
        <v/>
      </c>
      <c r="Y306">
        <f>$B$10*TAN(RADIANS(Q306))</f>
        <v/>
      </c>
      <c r="Z306">
        <f>IF(OR($H$7&lt;&gt;"OK",Q306=""),"",IF(Q306&lt;=$A$19,$D$19,IF(Q306&gt;=INDEX($A$19:$A$2018,$H$6),INDEX($D$19:$D$2018,$H$6),INDEX($D$19:$D$2018,MATCH(Q306,$A$19:INDEX($A$19:$A$2018,$H$6),1))+(Q306-INDEX($A$19:$A$2018,MATCH(Q306,$A$19:INDEX($A$19:$A$2018,$H$6),1)))*(INDEX($D$19:$D$2018,MATCH(Q306,$A$19:INDEX($A$19:$A$2018,$H$6),1)+1)-INDEX($D$19:$D$2018,MATCH(Q306,$A$19:INDEX($A$19:$A$2018,$H$6),1)))/(INDEX($A$19:$A$2018,MATCH(Q306,$A$19:INDEX($A$19:$A$2018,$H$6),1)+1)-INDEX($A$19:$A$2018,MATCH(Q306,$A$19:INDEX($A$19:$A$2018,$H$6),1))))))</f>
        <v/>
      </c>
    </row>
    <row r="307">
      <c r="A307" s="11" t="n"/>
      <c r="B307" s="11" t="n"/>
      <c r="C307" s="12">
        <f>IF(A307="","",$B$9*TAN(RADIANS(A307)))</f>
        <v/>
      </c>
      <c r="D307" s="12">
        <f>IF(C307="","",C307*(1+B307/100))</f>
        <v/>
      </c>
      <c r="E307" s="12">
        <f>IF(A307="","",$B$10*TAN(RADIANS(A307)))</f>
        <v/>
      </c>
      <c r="G307" s="8" t="n">
        <v>289</v>
      </c>
      <c r="H307" s="8">
        <f>$K$11</f>
        <v/>
      </c>
      <c r="I307" s="7" t="inlineStr">
        <is>
          <t>橫</t>
        </is>
      </c>
      <c r="J307" s="8" t="n">
        <v>3</v>
      </c>
      <c r="K307" s="7" t="inlineStr">
        <is>
          <t>左上</t>
        </is>
      </c>
      <c r="L307" s="8">
        <f>$O$11-($M$11+$L$11)/2+(-1)*$M$11/2</f>
        <v/>
      </c>
      <c r="M307" s="8">
        <f>$P$11-$M$11/2+$L$11/2+2*2*$L$11+(-1)*$L$11/2</f>
        <v/>
      </c>
      <c r="N307" s="8">
        <f>L307-$B$7/2</f>
        <v/>
      </c>
      <c r="O307" s="8">
        <f>M307-$B$8/2</f>
        <v/>
      </c>
      <c r="P307" s="8">
        <f>SQRT(N307^2+O307^2)</f>
        <v/>
      </c>
      <c r="Q307" s="8">
        <f>IF(OR($H$7&lt;&gt;"OK",P307=""),"",IF(P307&lt;=$D$19,$A$19,IF(P307&gt;=INDEX($D$19:$D$2018,$H$6),INDEX($A$19:$A$2018,$H$6),INDEX($A$19:$A$2018,MATCH(P307,$D$19:INDEX($D$19:$D$2018,$H$6),1))+(P307-INDEX($D$19:$D$2018,MATCH(P307,$D$19:INDEX($D$19:$D$2018,$H$6),1)))*(INDEX($A$19:$A$2018,MATCH(P307,$D$19:INDEX($D$19:$D$2018,$H$6),1)+1)-INDEX($A$19:$A$2018,MATCH(P307,$D$19:INDEX($D$19:$D$2018,$H$6),1)))/(INDEX($D$19:$D$2018,MATCH(P307,$D$19:INDEX($D$19:$D$2018,$H$6),1)+1)-INDEX($D$19:$D$2018,MATCH(P307,$D$19:INDEX($D$19:$D$2018,$H$6),1))))))</f>
        <v/>
      </c>
      <c r="R307" s="8">
        <f>IF(P307=0,0,-Y307*N307/P307)</f>
        <v/>
      </c>
      <c r="S307" s="8">
        <f>IF(P307=0,0,Y307*O307/P307)</f>
        <v/>
      </c>
      <c r="T307" s="8">
        <f>IF(Y307=0,$B$7/2,$B$7/2-Z307*R307/Y307)</f>
        <v/>
      </c>
      <c r="U307" s="8">
        <f>IF(Y307=0,$B$8/2,$B$8/2+Z307*S307/Y307)</f>
        <v/>
      </c>
      <c r="V307" s="8">
        <f>SQRT((T307-L307)^2+(U307-M307)^2)</f>
        <v/>
      </c>
      <c r="Y307">
        <f>$B$10*TAN(RADIANS(Q307))</f>
        <v/>
      </c>
      <c r="Z307">
        <f>IF(OR($H$7&lt;&gt;"OK",Q307=""),"",IF(Q307&lt;=$A$19,$D$19,IF(Q307&gt;=INDEX($A$19:$A$2018,$H$6),INDEX($D$19:$D$2018,$H$6),INDEX($D$19:$D$2018,MATCH(Q307,$A$19:INDEX($A$19:$A$2018,$H$6),1))+(Q307-INDEX($A$19:$A$2018,MATCH(Q307,$A$19:INDEX($A$19:$A$2018,$H$6),1)))*(INDEX($D$19:$D$2018,MATCH(Q307,$A$19:INDEX($A$19:$A$2018,$H$6),1)+1)-INDEX($D$19:$D$2018,MATCH(Q307,$A$19:INDEX($A$19:$A$2018,$H$6),1)))/(INDEX($A$19:$A$2018,MATCH(Q307,$A$19:INDEX($A$19:$A$2018,$H$6),1)+1)-INDEX($A$19:$A$2018,MATCH(Q307,$A$19:INDEX($A$19:$A$2018,$H$6),1))))))</f>
        <v/>
      </c>
    </row>
    <row r="308">
      <c r="A308" s="11" t="n"/>
      <c r="B308" s="11" t="n"/>
      <c r="C308" s="12">
        <f>IF(A308="","",$B$9*TAN(RADIANS(A308)))</f>
        <v/>
      </c>
      <c r="D308" s="12">
        <f>IF(C308="","",C308*(1+B308/100))</f>
        <v/>
      </c>
      <c r="E308" s="12">
        <f>IF(A308="","",$B$10*TAN(RADIANS(A308)))</f>
        <v/>
      </c>
      <c r="G308" s="8" t="n">
        <v>290</v>
      </c>
      <c r="H308" s="8">
        <f>$K$11</f>
        <v/>
      </c>
      <c r="I308" s="7" t="inlineStr">
        <is>
          <t>橫</t>
        </is>
      </c>
      <c r="J308" s="8" t="n">
        <v>3</v>
      </c>
      <c r="K308" s="7" t="inlineStr">
        <is>
          <t>右上</t>
        </is>
      </c>
      <c r="L308" s="8">
        <f>$O$11-($M$11+$L$11)/2+(1)*$M$11/2</f>
        <v/>
      </c>
      <c r="M308" s="8">
        <f>$P$11-$M$11/2+$L$11/2+2*2*$L$11+(-1)*$L$11/2</f>
        <v/>
      </c>
      <c r="N308" s="8">
        <f>L308-$B$7/2</f>
        <v/>
      </c>
      <c r="O308" s="8">
        <f>M308-$B$8/2</f>
        <v/>
      </c>
      <c r="P308" s="8">
        <f>SQRT(N308^2+O308^2)</f>
        <v/>
      </c>
      <c r="Q308" s="8">
        <f>IF(OR($H$7&lt;&gt;"OK",P308=""),"",IF(P308&lt;=$D$19,$A$19,IF(P308&gt;=INDEX($D$19:$D$2018,$H$6),INDEX($A$19:$A$2018,$H$6),INDEX($A$19:$A$2018,MATCH(P308,$D$19:INDEX($D$19:$D$2018,$H$6),1))+(P308-INDEX($D$19:$D$2018,MATCH(P308,$D$19:INDEX($D$19:$D$2018,$H$6),1)))*(INDEX($A$19:$A$2018,MATCH(P308,$D$19:INDEX($D$19:$D$2018,$H$6),1)+1)-INDEX($A$19:$A$2018,MATCH(P308,$D$19:INDEX($D$19:$D$2018,$H$6),1)))/(INDEX($D$19:$D$2018,MATCH(P308,$D$19:INDEX($D$19:$D$2018,$H$6),1)+1)-INDEX($D$19:$D$2018,MATCH(P308,$D$19:INDEX($D$19:$D$2018,$H$6),1))))))</f>
        <v/>
      </c>
      <c r="R308" s="8">
        <f>IF(P308=0,0,-Y308*N308/P308)</f>
        <v/>
      </c>
      <c r="S308" s="8">
        <f>IF(P308=0,0,Y308*O308/P308)</f>
        <v/>
      </c>
      <c r="T308" s="8">
        <f>IF(Y308=0,$B$7/2,$B$7/2-Z308*R308/Y308)</f>
        <v/>
      </c>
      <c r="U308" s="8">
        <f>IF(Y308=0,$B$8/2,$B$8/2+Z308*S308/Y308)</f>
        <v/>
      </c>
      <c r="V308" s="8">
        <f>SQRT((T308-L308)^2+(U308-M308)^2)</f>
        <v/>
      </c>
      <c r="Y308">
        <f>$B$10*TAN(RADIANS(Q308))</f>
        <v/>
      </c>
      <c r="Z308">
        <f>IF(OR($H$7&lt;&gt;"OK",Q308=""),"",IF(Q308&lt;=$A$19,$D$19,IF(Q308&gt;=INDEX($A$19:$A$2018,$H$6),INDEX($D$19:$D$2018,$H$6),INDEX($D$19:$D$2018,MATCH(Q308,$A$19:INDEX($A$19:$A$2018,$H$6),1))+(Q308-INDEX($A$19:$A$2018,MATCH(Q308,$A$19:INDEX($A$19:$A$2018,$H$6),1)))*(INDEX($D$19:$D$2018,MATCH(Q308,$A$19:INDEX($A$19:$A$2018,$H$6),1)+1)-INDEX($D$19:$D$2018,MATCH(Q308,$A$19:INDEX($A$19:$A$2018,$H$6),1)))/(INDEX($A$19:$A$2018,MATCH(Q308,$A$19:INDEX($A$19:$A$2018,$H$6),1)+1)-INDEX($A$19:$A$2018,MATCH(Q308,$A$19:INDEX($A$19:$A$2018,$H$6),1))))))</f>
        <v/>
      </c>
    </row>
    <row r="309">
      <c r="A309" s="11" t="n"/>
      <c r="B309" s="11" t="n"/>
      <c r="C309" s="12">
        <f>IF(A309="","",$B$9*TAN(RADIANS(A309)))</f>
        <v/>
      </c>
      <c r="D309" s="12">
        <f>IF(C309="","",C309*(1+B309/100))</f>
        <v/>
      </c>
      <c r="E309" s="12">
        <f>IF(A309="","",$B$10*TAN(RADIANS(A309)))</f>
        <v/>
      </c>
      <c r="G309" s="8" t="n">
        <v>291</v>
      </c>
      <c r="H309" s="8">
        <f>$K$11</f>
        <v/>
      </c>
      <c r="I309" s="7" t="inlineStr">
        <is>
          <t>橫</t>
        </is>
      </c>
      <c r="J309" s="8" t="n">
        <v>3</v>
      </c>
      <c r="K309" s="7" t="inlineStr">
        <is>
          <t>右下</t>
        </is>
      </c>
      <c r="L309" s="8">
        <f>$O$11-($M$11+$L$11)/2+(1)*$M$11/2</f>
        <v/>
      </c>
      <c r="M309" s="8">
        <f>$P$11-$M$11/2+$L$11/2+2*2*$L$11+(1)*$L$11/2</f>
        <v/>
      </c>
      <c r="N309" s="8">
        <f>L309-$B$7/2</f>
        <v/>
      </c>
      <c r="O309" s="8">
        <f>M309-$B$8/2</f>
        <v/>
      </c>
      <c r="P309" s="8">
        <f>SQRT(N309^2+O309^2)</f>
        <v/>
      </c>
      <c r="Q309" s="8">
        <f>IF(OR($H$7&lt;&gt;"OK",P309=""),"",IF(P309&lt;=$D$19,$A$19,IF(P309&gt;=INDEX($D$19:$D$2018,$H$6),INDEX($A$19:$A$2018,$H$6),INDEX($A$19:$A$2018,MATCH(P309,$D$19:INDEX($D$19:$D$2018,$H$6),1))+(P309-INDEX($D$19:$D$2018,MATCH(P309,$D$19:INDEX($D$19:$D$2018,$H$6),1)))*(INDEX($A$19:$A$2018,MATCH(P309,$D$19:INDEX($D$19:$D$2018,$H$6),1)+1)-INDEX($A$19:$A$2018,MATCH(P309,$D$19:INDEX($D$19:$D$2018,$H$6),1)))/(INDEX($D$19:$D$2018,MATCH(P309,$D$19:INDEX($D$19:$D$2018,$H$6),1)+1)-INDEX($D$19:$D$2018,MATCH(P309,$D$19:INDEX($D$19:$D$2018,$H$6),1))))))</f>
        <v/>
      </c>
      <c r="R309" s="8">
        <f>IF(P309=0,0,-Y309*N309/P309)</f>
        <v/>
      </c>
      <c r="S309" s="8">
        <f>IF(P309=0,0,Y309*O309/P309)</f>
        <v/>
      </c>
      <c r="T309" s="8">
        <f>IF(Y309=0,$B$7/2,$B$7/2-Z309*R309/Y309)</f>
        <v/>
      </c>
      <c r="U309" s="8">
        <f>IF(Y309=0,$B$8/2,$B$8/2+Z309*S309/Y309)</f>
        <v/>
      </c>
      <c r="V309" s="8">
        <f>SQRT((T309-L309)^2+(U309-M309)^2)</f>
        <v/>
      </c>
      <c r="Y309">
        <f>$B$10*TAN(RADIANS(Q309))</f>
        <v/>
      </c>
      <c r="Z309">
        <f>IF(OR($H$7&lt;&gt;"OK",Q309=""),"",IF(Q309&lt;=$A$19,$D$19,IF(Q309&gt;=INDEX($A$19:$A$2018,$H$6),INDEX($D$19:$D$2018,$H$6),INDEX($D$19:$D$2018,MATCH(Q309,$A$19:INDEX($A$19:$A$2018,$H$6),1))+(Q309-INDEX($A$19:$A$2018,MATCH(Q309,$A$19:INDEX($A$19:$A$2018,$H$6),1)))*(INDEX($D$19:$D$2018,MATCH(Q309,$A$19:INDEX($A$19:$A$2018,$H$6),1)+1)-INDEX($D$19:$D$2018,MATCH(Q309,$A$19:INDEX($A$19:$A$2018,$H$6),1)))/(INDEX($A$19:$A$2018,MATCH(Q309,$A$19:INDEX($A$19:$A$2018,$H$6),1)+1)-INDEX($A$19:$A$2018,MATCH(Q309,$A$19:INDEX($A$19:$A$2018,$H$6),1))))))</f>
        <v/>
      </c>
    </row>
    <row r="310">
      <c r="A310" s="11" t="n"/>
      <c r="B310" s="11" t="n"/>
      <c r="C310" s="12">
        <f>IF(A310="","",$B$9*TAN(RADIANS(A310)))</f>
        <v/>
      </c>
      <c r="D310" s="12">
        <f>IF(C310="","",C310*(1+B310/100))</f>
        <v/>
      </c>
      <c r="E310" s="12">
        <f>IF(A310="","",$B$10*TAN(RADIANS(A310)))</f>
        <v/>
      </c>
      <c r="G310" s="8" t="n">
        <v>292</v>
      </c>
      <c r="H310" s="8">
        <f>$K$11</f>
        <v/>
      </c>
      <c r="I310" s="7" t="inlineStr">
        <is>
          <t>橫</t>
        </is>
      </c>
      <c r="J310" s="8" t="n">
        <v>3</v>
      </c>
      <c r="K310" s="7" t="inlineStr">
        <is>
          <t>左下</t>
        </is>
      </c>
      <c r="L310" s="8">
        <f>$O$11-($M$11+$L$11)/2+(-1)*$M$11/2</f>
        <v/>
      </c>
      <c r="M310" s="8">
        <f>$P$11-$M$11/2+$L$11/2+2*2*$L$11+(1)*$L$11/2</f>
        <v/>
      </c>
      <c r="N310" s="8">
        <f>L310-$B$7/2</f>
        <v/>
      </c>
      <c r="O310" s="8">
        <f>M310-$B$8/2</f>
        <v/>
      </c>
      <c r="P310" s="8">
        <f>SQRT(N310^2+O310^2)</f>
        <v/>
      </c>
      <c r="Q310" s="8">
        <f>IF(OR($H$7&lt;&gt;"OK",P310=""),"",IF(P310&lt;=$D$19,$A$19,IF(P310&gt;=INDEX($D$19:$D$2018,$H$6),INDEX($A$19:$A$2018,$H$6),INDEX($A$19:$A$2018,MATCH(P310,$D$19:INDEX($D$19:$D$2018,$H$6),1))+(P310-INDEX($D$19:$D$2018,MATCH(P310,$D$19:INDEX($D$19:$D$2018,$H$6),1)))*(INDEX($A$19:$A$2018,MATCH(P310,$D$19:INDEX($D$19:$D$2018,$H$6),1)+1)-INDEX($A$19:$A$2018,MATCH(P310,$D$19:INDEX($D$19:$D$2018,$H$6),1)))/(INDEX($D$19:$D$2018,MATCH(P310,$D$19:INDEX($D$19:$D$2018,$H$6),1)+1)-INDEX($D$19:$D$2018,MATCH(P310,$D$19:INDEX($D$19:$D$2018,$H$6),1))))))</f>
        <v/>
      </c>
      <c r="R310" s="8">
        <f>IF(P310=0,0,-Y310*N310/P310)</f>
        <v/>
      </c>
      <c r="S310" s="8">
        <f>IF(P310=0,0,Y310*O310/P310)</f>
        <v/>
      </c>
      <c r="T310" s="8">
        <f>IF(Y310=0,$B$7/2,$B$7/2-Z310*R310/Y310)</f>
        <v/>
      </c>
      <c r="U310" s="8">
        <f>IF(Y310=0,$B$8/2,$B$8/2+Z310*S310/Y310)</f>
        <v/>
      </c>
      <c r="V310" s="8">
        <f>SQRT((T310-L310)^2+(U310-M310)^2)</f>
        <v/>
      </c>
      <c r="Y310">
        <f>$B$10*TAN(RADIANS(Q310))</f>
        <v/>
      </c>
      <c r="Z310">
        <f>IF(OR($H$7&lt;&gt;"OK",Q310=""),"",IF(Q310&lt;=$A$19,$D$19,IF(Q310&gt;=INDEX($A$19:$A$2018,$H$6),INDEX($D$19:$D$2018,$H$6),INDEX($D$19:$D$2018,MATCH(Q310,$A$19:INDEX($A$19:$A$2018,$H$6),1))+(Q310-INDEX($A$19:$A$2018,MATCH(Q310,$A$19:INDEX($A$19:$A$2018,$H$6),1)))*(INDEX($D$19:$D$2018,MATCH(Q310,$A$19:INDEX($A$19:$A$2018,$H$6),1)+1)-INDEX($D$19:$D$2018,MATCH(Q310,$A$19:INDEX($A$19:$A$2018,$H$6),1)))/(INDEX($A$19:$A$2018,MATCH(Q310,$A$19:INDEX($A$19:$A$2018,$H$6),1)+1)-INDEX($A$19:$A$2018,MATCH(Q310,$A$19:INDEX($A$19:$A$2018,$H$6),1))))))</f>
        <v/>
      </c>
    </row>
    <row r="311">
      <c r="A311" s="11" t="n"/>
      <c r="B311" s="11" t="n"/>
      <c r="C311" s="12">
        <f>IF(A311="","",$B$9*TAN(RADIANS(A311)))</f>
        <v/>
      </c>
      <c r="D311" s="12">
        <f>IF(C311="","",C311*(1+B311/100))</f>
        <v/>
      </c>
      <c r="E311" s="12">
        <f>IF(A311="","",$B$10*TAN(RADIANS(A311)))</f>
        <v/>
      </c>
      <c r="G311" s="8" t="n">
        <v>293</v>
      </c>
      <c r="H311" s="8">
        <f>$K$11</f>
        <v/>
      </c>
      <c r="I311" s="7" t="inlineStr">
        <is>
          <t>橫</t>
        </is>
      </c>
      <c r="J311" s="8" t="n">
        <v>4</v>
      </c>
      <c r="K311" s="7" t="inlineStr">
        <is>
          <t>左上</t>
        </is>
      </c>
      <c r="L311" s="8">
        <f>$O$11-($M$11+$L$11)/2+(-1)*$M$11/2</f>
        <v/>
      </c>
      <c r="M311" s="8">
        <f>$P$11-$M$11/2+$L$11/2+3*2*$L$11+(-1)*$L$11/2</f>
        <v/>
      </c>
      <c r="N311" s="8">
        <f>L311-$B$7/2</f>
        <v/>
      </c>
      <c r="O311" s="8">
        <f>M311-$B$8/2</f>
        <v/>
      </c>
      <c r="P311" s="8">
        <f>SQRT(N311^2+O311^2)</f>
        <v/>
      </c>
      <c r="Q311" s="8">
        <f>IF(OR($H$7&lt;&gt;"OK",P311=""),"",IF(P311&lt;=$D$19,$A$19,IF(P311&gt;=INDEX($D$19:$D$2018,$H$6),INDEX($A$19:$A$2018,$H$6),INDEX($A$19:$A$2018,MATCH(P311,$D$19:INDEX($D$19:$D$2018,$H$6),1))+(P311-INDEX($D$19:$D$2018,MATCH(P311,$D$19:INDEX($D$19:$D$2018,$H$6),1)))*(INDEX($A$19:$A$2018,MATCH(P311,$D$19:INDEX($D$19:$D$2018,$H$6),1)+1)-INDEX($A$19:$A$2018,MATCH(P311,$D$19:INDEX($D$19:$D$2018,$H$6),1)))/(INDEX($D$19:$D$2018,MATCH(P311,$D$19:INDEX($D$19:$D$2018,$H$6),1)+1)-INDEX($D$19:$D$2018,MATCH(P311,$D$19:INDEX($D$19:$D$2018,$H$6),1))))))</f>
        <v/>
      </c>
      <c r="R311" s="8">
        <f>IF(P311=0,0,-Y311*N311/P311)</f>
        <v/>
      </c>
      <c r="S311" s="8">
        <f>IF(P311=0,0,Y311*O311/P311)</f>
        <v/>
      </c>
      <c r="T311" s="8">
        <f>IF(Y311=0,$B$7/2,$B$7/2-Z311*R311/Y311)</f>
        <v/>
      </c>
      <c r="U311" s="8">
        <f>IF(Y311=0,$B$8/2,$B$8/2+Z311*S311/Y311)</f>
        <v/>
      </c>
      <c r="V311" s="8">
        <f>SQRT((T311-L311)^2+(U311-M311)^2)</f>
        <v/>
      </c>
      <c r="Y311">
        <f>$B$10*TAN(RADIANS(Q311))</f>
        <v/>
      </c>
      <c r="Z311">
        <f>IF(OR($H$7&lt;&gt;"OK",Q311=""),"",IF(Q311&lt;=$A$19,$D$19,IF(Q311&gt;=INDEX($A$19:$A$2018,$H$6),INDEX($D$19:$D$2018,$H$6),INDEX($D$19:$D$2018,MATCH(Q311,$A$19:INDEX($A$19:$A$2018,$H$6),1))+(Q311-INDEX($A$19:$A$2018,MATCH(Q311,$A$19:INDEX($A$19:$A$2018,$H$6),1)))*(INDEX($D$19:$D$2018,MATCH(Q311,$A$19:INDEX($A$19:$A$2018,$H$6),1)+1)-INDEX($D$19:$D$2018,MATCH(Q311,$A$19:INDEX($A$19:$A$2018,$H$6),1)))/(INDEX($A$19:$A$2018,MATCH(Q311,$A$19:INDEX($A$19:$A$2018,$H$6),1)+1)-INDEX($A$19:$A$2018,MATCH(Q311,$A$19:INDEX($A$19:$A$2018,$H$6),1))))))</f>
        <v/>
      </c>
    </row>
    <row r="312">
      <c r="A312" s="11" t="n"/>
      <c r="B312" s="11" t="n"/>
      <c r="C312" s="12">
        <f>IF(A312="","",$B$9*TAN(RADIANS(A312)))</f>
        <v/>
      </c>
      <c r="D312" s="12">
        <f>IF(C312="","",C312*(1+B312/100))</f>
        <v/>
      </c>
      <c r="E312" s="12">
        <f>IF(A312="","",$B$10*TAN(RADIANS(A312)))</f>
        <v/>
      </c>
      <c r="G312" s="8" t="n">
        <v>294</v>
      </c>
      <c r="H312" s="8">
        <f>$K$11</f>
        <v/>
      </c>
      <c r="I312" s="7" t="inlineStr">
        <is>
          <t>橫</t>
        </is>
      </c>
      <c r="J312" s="8" t="n">
        <v>4</v>
      </c>
      <c r="K312" s="7" t="inlineStr">
        <is>
          <t>右上</t>
        </is>
      </c>
      <c r="L312" s="8">
        <f>$O$11-($M$11+$L$11)/2+(1)*$M$11/2</f>
        <v/>
      </c>
      <c r="M312" s="8">
        <f>$P$11-$M$11/2+$L$11/2+3*2*$L$11+(-1)*$L$11/2</f>
        <v/>
      </c>
      <c r="N312" s="8">
        <f>L312-$B$7/2</f>
        <v/>
      </c>
      <c r="O312" s="8">
        <f>M312-$B$8/2</f>
        <v/>
      </c>
      <c r="P312" s="8">
        <f>SQRT(N312^2+O312^2)</f>
        <v/>
      </c>
      <c r="Q312" s="8">
        <f>IF(OR($H$7&lt;&gt;"OK",P312=""),"",IF(P312&lt;=$D$19,$A$19,IF(P312&gt;=INDEX($D$19:$D$2018,$H$6),INDEX($A$19:$A$2018,$H$6),INDEX($A$19:$A$2018,MATCH(P312,$D$19:INDEX($D$19:$D$2018,$H$6),1))+(P312-INDEX($D$19:$D$2018,MATCH(P312,$D$19:INDEX($D$19:$D$2018,$H$6),1)))*(INDEX($A$19:$A$2018,MATCH(P312,$D$19:INDEX($D$19:$D$2018,$H$6),1)+1)-INDEX($A$19:$A$2018,MATCH(P312,$D$19:INDEX($D$19:$D$2018,$H$6),1)))/(INDEX($D$19:$D$2018,MATCH(P312,$D$19:INDEX($D$19:$D$2018,$H$6),1)+1)-INDEX($D$19:$D$2018,MATCH(P312,$D$19:INDEX($D$19:$D$2018,$H$6),1))))))</f>
        <v/>
      </c>
      <c r="R312" s="8">
        <f>IF(P312=0,0,-Y312*N312/P312)</f>
        <v/>
      </c>
      <c r="S312" s="8">
        <f>IF(P312=0,0,Y312*O312/P312)</f>
        <v/>
      </c>
      <c r="T312" s="8">
        <f>IF(Y312=0,$B$7/2,$B$7/2-Z312*R312/Y312)</f>
        <v/>
      </c>
      <c r="U312" s="8">
        <f>IF(Y312=0,$B$8/2,$B$8/2+Z312*S312/Y312)</f>
        <v/>
      </c>
      <c r="V312" s="8">
        <f>SQRT((T312-L312)^2+(U312-M312)^2)</f>
        <v/>
      </c>
      <c r="Y312">
        <f>$B$10*TAN(RADIANS(Q312))</f>
        <v/>
      </c>
      <c r="Z312">
        <f>IF(OR($H$7&lt;&gt;"OK",Q312=""),"",IF(Q312&lt;=$A$19,$D$19,IF(Q312&gt;=INDEX($A$19:$A$2018,$H$6),INDEX($D$19:$D$2018,$H$6),INDEX($D$19:$D$2018,MATCH(Q312,$A$19:INDEX($A$19:$A$2018,$H$6),1))+(Q312-INDEX($A$19:$A$2018,MATCH(Q312,$A$19:INDEX($A$19:$A$2018,$H$6),1)))*(INDEX($D$19:$D$2018,MATCH(Q312,$A$19:INDEX($A$19:$A$2018,$H$6),1)+1)-INDEX($D$19:$D$2018,MATCH(Q312,$A$19:INDEX($A$19:$A$2018,$H$6),1)))/(INDEX($A$19:$A$2018,MATCH(Q312,$A$19:INDEX($A$19:$A$2018,$H$6),1)+1)-INDEX($A$19:$A$2018,MATCH(Q312,$A$19:INDEX($A$19:$A$2018,$H$6),1))))))</f>
        <v/>
      </c>
    </row>
    <row r="313">
      <c r="A313" s="11" t="n"/>
      <c r="B313" s="11" t="n"/>
      <c r="C313" s="12">
        <f>IF(A313="","",$B$9*TAN(RADIANS(A313)))</f>
        <v/>
      </c>
      <c r="D313" s="12">
        <f>IF(C313="","",C313*(1+B313/100))</f>
        <v/>
      </c>
      <c r="E313" s="12">
        <f>IF(A313="","",$B$10*TAN(RADIANS(A313)))</f>
        <v/>
      </c>
      <c r="G313" s="8" t="n">
        <v>295</v>
      </c>
      <c r="H313" s="8">
        <f>$K$11</f>
        <v/>
      </c>
      <c r="I313" s="7" t="inlineStr">
        <is>
          <t>橫</t>
        </is>
      </c>
      <c r="J313" s="8" t="n">
        <v>4</v>
      </c>
      <c r="K313" s="7" t="inlineStr">
        <is>
          <t>右下</t>
        </is>
      </c>
      <c r="L313" s="8">
        <f>$O$11-($M$11+$L$11)/2+(1)*$M$11/2</f>
        <v/>
      </c>
      <c r="M313" s="8">
        <f>$P$11-$M$11/2+$L$11/2+3*2*$L$11+(1)*$L$11/2</f>
        <v/>
      </c>
      <c r="N313" s="8">
        <f>L313-$B$7/2</f>
        <v/>
      </c>
      <c r="O313" s="8">
        <f>M313-$B$8/2</f>
        <v/>
      </c>
      <c r="P313" s="8">
        <f>SQRT(N313^2+O313^2)</f>
        <v/>
      </c>
      <c r="Q313" s="8">
        <f>IF(OR($H$7&lt;&gt;"OK",P313=""),"",IF(P313&lt;=$D$19,$A$19,IF(P313&gt;=INDEX($D$19:$D$2018,$H$6),INDEX($A$19:$A$2018,$H$6),INDEX($A$19:$A$2018,MATCH(P313,$D$19:INDEX($D$19:$D$2018,$H$6),1))+(P313-INDEX($D$19:$D$2018,MATCH(P313,$D$19:INDEX($D$19:$D$2018,$H$6),1)))*(INDEX($A$19:$A$2018,MATCH(P313,$D$19:INDEX($D$19:$D$2018,$H$6),1)+1)-INDEX($A$19:$A$2018,MATCH(P313,$D$19:INDEX($D$19:$D$2018,$H$6),1)))/(INDEX($D$19:$D$2018,MATCH(P313,$D$19:INDEX($D$19:$D$2018,$H$6),1)+1)-INDEX($D$19:$D$2018,MATCH(P313,$D$19:INDEX($D$19:$D$2018,$H$6),1))))))</f>
        <v/>
      </c>
      <c r="R313" s="8">
        <f>IF(P313=0,0,-Y313*N313/P313)</f>
        <v/>
      </c>
      <c r="S313" s="8">
        <f>IF(P313=0,0,Y313*O313/P313)</f>
        <v/>
      </c>
      <c r="T313" s="8">
        <f>IF(Y313=0,$B$7/2,$B$7/2-Z313*R313/Y313)</f>
        <v/>
      </c>
      <c r="U313" s="8">
        <f>IF(Y313=0,$B$8/2,$B$8/2+Z313*S313/Y313)</f>
        <v/>
      </c>
      <c r="V313" s="8">
        <f>SQRT((T313-L313)^2+(U313-M313)^2)</f>
        <v/>
      </c>
      <c r="Y313">
        <f>$B$10*TAN(RADIANS(Q313))</f>
        <v/>
      </c>
      <c r="Z313">
        <f>IF(OR($H$7&lt;&gt;"OK",Q313=""),"",IF(Q313&lt;=$A$19,$D$19,IF(Q313&gt;=INDEX($A$19:$A$2018,$H$6),INDEX($D$19:$D$2018,$H$6),INDEX($D$19:$D$2018,MATCH(Q313,$A$19:INDEX($A$19:$A$2018,$H$6),1))+(Q313-INDEX($A$19:$A$2018,MATCH(Q313,$A$19:INDEX($A$19:$A$2018,$H$6),1)))*(INDEX($D$19:$D$2018,MATCH(Q313,$A$19:INDEX($A$19:$A$2018,$H$6),1)+1)-INDEX($D$19:$D$2018,MATCH(Q313,$A$19:INDEX($A$19:$A$2018,$H$6),1)))/(INDEX($A$19:$A$2018,MATCH(Q313,$A$19:INDEX($A$19:$A$2018,$H$6),1)+1)-INDEX($A$19:$A$2018,MATCH(Q313,$A$19:INDEX($A$19:$A$2018,$H$6),1))))))</f>
        <v/>
      </c>
    </row>
    <row r="314">
      <c r="A314" s="11" t="n"/>
      <c r="B314" s="11" t="n"/>
      <c r="C314" s="12">
        <f>IF(A314="","",$B$9*TAN(RADIANS(A314)))</f>
        <v/>
      </c>
      <c r="D314" s="12">
        <f>IF(C314="","",C314*(1+B314/100))</f>
        <v/>
      </c>
      <c r="E314" s="12">
        <f>IF(A314="","",$B$10*TAN(RADIANS(A314)))</f>
        <v/>
      </c>
      <c r="G314" s="8" t="n">
        <v>296</v>
      </c>
      <c r="H314" s="8">
        <f>$K$11</f>
        <v/>
      </c>
      <c r="I314" s="7" t="inlineStr">
        <is>
          <t>橫</t>
        </is>
      </c>
      <c r="J314" s="8" t="n">
        <v>4</v>
      </c>
      <c r="K314" s="7" t="inlineStr">
        <is>
          <t>左下</t>
        </is>
      </c>
      <c r="L314" s="8">
        <f>$O$11-($M$11+$L$11)/2+(-1)*$M$11/2</f>
        <v/>
      </c>
      <c r="M314" s="8">
        <f>$P$11-$M$11/2+$L$11/2+3*2*$L$11+(1)*$L$11/2</f>
        <v/>
      </c>
      <c r="N314" s="8">
        <f>L314-$B$7/2</f>
        <v/>
      </c>
      <c r="O314" s="8">
        <f>M314-$B$8/2</f>
        <v/>
      </c>
      <c r="P314" s="8">
        <f>SQRT(N314^2+O314^2)</f>
        <v/>
      </c>
      <c r="Q314" s="8">
        <f>IF(OR($H$7&lt;&gt;"OK",P314=""),"",IF(P314&lt;=$D$19,$A$19,IF(P314&gt;=INDEX($D$19:$D$2018,$H$6),INDEX($A$19:$A$2018,$H$6),INDEX($A$19:$A$2018,MATCH(P314,$D$19:INDEX($D$19:$D$2018,$H$6),1))+(P314-INDEX($D$19:$D$2018,MATCH(P314,$D$19:INDEX($D$19:$D$2018,$H$6),1)))*(INDEX($A$19:$A$2018,MATCH(P314,$D$19:INDEX($D$19:$D$2018,$H$6),1)+1)-INDEX($A$19:$A$2018,MATCH(P314,$D$19:INDEX($D$19:$D$2018,$H$6),1)))/(INDEX($D$19:$D$2018,MATCH(P314,$D$19:INDEX($D$19:$D$2018,$H$6),1)+1)-INDEX($D$19:$D$2018,MATCH(P314,$D$19:INDEX($D$19:$D$2018,$H$6),1))))))</f>
        <v/>
      </c>
      <c r="R314" s="8">
        <f>IF(P314=0,0,-Y314*N314/P314)</f>
        <v/>
      </c>
      <c r="S314" s="8">
        <f>IF(P314=0,0,Y314*O314/P314)</f>
        <v/>
      </c>
      <c r="T314" s="8">
        <f>IF(Y314=0,$B$7/2,$B$7/2-Z314*R314/Y314)</f>
        <v/>
      </c>
      <c r="U314" s="8">
        <f>IF(Y314=0,$B$8/2,$B$8/2+Z314*S314/Y314)</f>
        <v/>
      </c>
      <c r="V314" s="8">
        <f>SQRT((T314-L314)^2+(U314-M314)^2)</f>
        <v/>
      </c>
      <c r="Y314">
        <f>$B$10*TAN(RADIANS(Q314))</f>
        <v/>
      </c>
      <c r="Z314">
        <f>IF(OR($H$7&lt;&gt;"OK",Q314=""),"",IF(Q314&lt;=$A$19,$D$19,IF(Q314&gt;=INDEX($A$19:$A$2018,$H$6),INDEX($D$19:$D$2018,$H$6),INDEX($D$19:$D$2018,MATCH(Q314,$A$19:INDEX($A$19:$A$2018,$H$6),1))+(Q314-INDEX($A$19:$A$2018,MATCH(Q314,$A$19:INDEX($A$19:$A$2018,$H$6),1)))*(INDEX($D$19:$D$2018,MATCH(Q314,$A$19:INDEX($A$19:$A$2018,$H$6),1)+1)-INDEX($D$19:$D$2018,MATCH(Q314,$A$19:INDEX($A$19:$A$2018,$H$6),1)))/(INDEX($A$19:$A$2018,MATCH(Q314,$A$19:INDEX($A$19:$A$2018,$H$6),1)+1)-INDEX($A$19:$A$2018,MATCH(Q314,$A$19:INDEX($A$19:$A$2018,$H$6),1))))))</f>
        <v/>
      </c>
    </row>
    <row r="315">
      <c r="A315" s="11" t="n"/>
      <c r="B315" s="11" t="n"/>
      <c r="C315" s="12">
        <f>IF(A315="","",$B$9*TAN(RADIANS(A315)))</f>
        <v/>
      </c>
      <c r="D315" s="12">
        <f>IF(C315="","",C315*(1+B315/100))</f>
        <v/>
      </c>
      <c r="E315" s="12">
        <f>IF(A315="","",$B$10*TAN(RADIANS(A315)))</f>
        <v/>
      </c>
      <c r="G315" s="8" t="n">
        <v>297</v>
      </c>
      <c r="H315" s="8">
        <f>$K$11</f>
        <v/>
      </c>
      <c r="I315" s="7" t="inlineStr">
        <is>
          <t>橫</t>
        </is>
      </c>
      <c r="J315" s="8" t="n">
        <v>5</v>
      </c>
      <c r="K315" s="7" t="inlineStr">
        <is>
          <t>左上</t>
        </is>
      </c>
      <c r="L315" s="8">
        <f>$O$11-($M$11+$L$11)/2+(-1)*$M$11/2</f>
        <v/>
      </c>
      <c r="M315" s="8">
        <f>$P$11-$M$11/2+$L$11/2+4*2*$L$11+(-1)*$L$11/2</f>
        <v/>
      </c>
      <c r="N315" s="8">
        <f>L315-$B$7/2</f>
        <v/>
      </c>
      <c r="O315" s="8">
        <f>M315-$B$8/2</f>
        <v/>
      </c>
      <c r="P315" s="8">
        <f>SQRT(N315^2+O315^2)</f>
        <v/>
      </c>
      <c r="Q315" s="8">
        <f>IF(OR($H$7&lt;&gt;"OK",P315=""),"",IF(P315&lt;=$D$19,$A$19,IF(P315&gt;=INDEX($D$19:$D$2018,$H$6),INDEX($A$19:$A$2018,$H$6),INDEX($A$19:$A$2018,MATCH(P315,$D$19:INDEX($D$19:$D$2018,$H$6),1))+(P315-INDEX($D$19:$D$2018,MATCH(P315,$D$19:INDEX($D$19:$D$2018,$H$6),1)))*(INDEX($A$19:$A$2018,MATCH(P315,$D$19:INDEX($D$19:$D$2018,$H$6),1)+1)-INDEX($A$19:$A$2018,MATCH(P315,$D$19:INDEX($D$19:$D$2018,$H$6),1)))/(INDEX($D$19:$D$2018,MATCH(P315,$D$19:INDEX($D$19:$D$2018,$H$6),1)+1)-INDEX($D$19:$D$2018,MATCH(P315,$D$19:INDEX($D$19:$D$2018,$H$6),1))))))</f>
        <v/>
      </c>
      <c r="R315" s="8">
        <f>IF(P315=0,0,-Y315*N315/P315)</f>
        <v/>
      </c>
      <c r="S315" s="8">
        <f>IF(P315=0,0,Y315*O315/P315)</f>
        <v/>
      </c>
      <c r="T315" s="8">
        <f>IF(Y315=0,$B$7/2,$B$7/2-Z315*R315/Y315)</f>
        <v/>
      </c>
      <c r="U315" s="8">
        <f>IF(Y315=0,$B$8/2,$B$8/2+Z315*S315/Y315)</f>
        <v/>
      </c>
      <c r="V315" s="8">
        <f>SQRT((T315-L315)^2+(U315-M315)^2)</f>
        <v/>
      </c>
      <c r="Y315">
        <f>$B$10*TAN(RADIANS(Q315))</f>
        <v/>
      </c>
      <c r="Z315">
        <f>IF(OR($H$7&lt;&gt;"OK",Q315=""),"",IF(Q315&lt;=$A$19,$D$19,IF(Q315&gt;=INDEX($A$19:$A$2018,$H$6),INDEX($D$19:$D$2018,$H$6),INDEX($D$19:$D$2018,MATCH(Q315,$A$19:INDEX($A$19:$A$2018,$H$6),1))+(Q315-INDEX($A$19:$A$2018,MATCH(Q315,$A$19:INDEX($A$19:$A$2018,$H$6),1)))*(INDEX($D$19:$D$2018,MATCH(Q315,$A$19:INDEX($A$19:$A$2018,$H$6),1)+1)-INDEX($D$19:$D$2018,MATCH(Q315,$A$19:INDEX($A$19:$A$2018,$H$6),1)))/(INDEX($A$19:$A$2018,MATCH(Q315,$A$19:INDEX($A$19:$A$2018,$H$6),1)+1)-INDEX($A$19:$A$2018,MATCH(Q315,$A$19:INDEX($A$19:$A$2018,$H$6),1))))))</f>
        <v/>
      </c>
    </row>
    <row r="316">
      <c r="A316" s="11" t="n"/>
      <c r="B316" s="11" t="n"/>
      <c r="C316" s="12">
        <f>IF(A316="","",$B$9*TAN(RADIANS(A316)))</f>
        <v/>
      </c>
      <c r="D316" s="12">
        <f>IF(C316="","",C316*(1+B316/100))</f>
        <v/>
      </c>
      <c r="E316" s="12">
        <f>IF(A316="","",$B$10*TAN(RADIANS(A316)))</f>
        <v/>
      </c>
      <c r="G316" s="8" t="n">
        <v>298</v>
      </c>
      <c r="H316" s="8">
        <f>$K$11</f>
        <v/>
      </c>
      <c r="I316" s="7" t="inlineStr">
        <is>
          <t>橫</t>
        </is>
      </c>
      <c r="J316" s="8" t="n">
        <v>5</v>
      </c>
      <c r="K316" s="7" t="inlineStr">
        <is>
          <t>右上</t>
        </is>
      </c>
      <c r="L316" s="8">
        <f>$O$11-($M$11+$L$11)/2+(1)*$M$11/2</f>
        <v/>
      </c>
      <c r="M316" s="8">
        <f>$P$11-$M$11/2+$L$11/2+4*2*$L$11+(-1)*$L$11/2</f>
        <v/>
      </c>
      <c r="N316" s="8">
        <f>L316-$B$7/2</f>
        <v/>
      </c>
      <c r="O316" s="8">
        <f>M316-$B$8/2</f>
        <v/>
      </c>
      <c r="P316" s="8">
        <f>SQRT(N316^2+O316^2)</f>
        <v/>
      </c>
      <c r="Q316" s="8">
        <f>IF(OR($H$7&lt;&gt;"OK",P316=""),"",IF(P316&lt;=$D$19,$A$19,IF(P316&gt;=INDEX($D$19:$D$2018,$H$6),INDEX($A$19:$A$2018,$H$6),INDEX($A$19:$A$2018,MATCH(P316,$D$19:INDEX($D$19:$D$2018,$H$6),1))+(P316-INDEX($D$19:$D$2018,MATCH(P316,$D$19:INDEX($D$19:$D$2018,$H$6),1)))*(INDEX($A$19:$A$2018,MATCH(P316,$D$19:INDEX($D$19:$D$2018,$H$6),1)+1)-INDEX($A$19:$A$2018,MATCH(P316,$D$19:INDEX($D$19:$D$2018,$H$6),1)))/(INDEX($D$19:$D$2018,MATCH(P316,$D$19:INDEX($D$19:$D$2018,$H$6),1)+1)-INDEX($D$19:$D$2018,MATCH(P316,$D$19:INDEX($D$19:$D$2018,$H$6),1))))))</f>
        <v/>
      </c>
      <c r="R316" s="8">
        <f>IF(P316=0,0,-Y316*N316/P316)</f>
        <v/>
      </c>
      <c r="S316" s="8">
        <f>IF(P316=0,0,Y316*O316/P316)</f>
        <v/>
      </c>
      <c r="T316" s="8">
        <f>IF(Y316=0,$B$7/2,$B$7/2-Z316*R316/Y316)</f>
        <v/>
      </c>
      <c r="U316" s="8">
        <f>IF(Y316=0,$B$8/2,$B$8/2+Z316*S316/Y316)</f>
        <v/>
      </c>
      <c r="V316" s="8">
        <f>SQRT((T316-L316)^2+(U316-M316)^2)</f>
        <v/>
      </c>
      <c r="Y316">
        <f>$B$10*TAN(RADIANS(Q316))</f>
        <v/>
      </c>
      <c r="Z316">
        <f>IF(OR($H$7&lt;&gt;"OK",Q316=""),"",IF(Q316&lt;=$A$19,$D$19,IF(Q316&gt;=INDEX($A$19:$A$2018,$H$6),INDEX($D$19:$D$2018,$H$6),INDEX($D$19:$D$2018,MATCH(Q316,$A$19:INDEX($A$19:$A$2018,$H$6),1))+(Q316-INDEX($A$19:$A$2018,MATCH(Q316,$A$19:INDEX($A$19:$A$2018,$H$6),1)))*(INDEX($D$19:$D$2018,MATCH(Q316,$A$19:INDEX($A$19:$A$2018,$H$6),1)+1)-INDEX($D$19:$D$2018,MATCH(Q316,$A$19:INDEX($A$19:$A$2018,$H$6),1)))/(INDEX($A$19:$A$2018,MATCH(Q316,$A$19:INDEX($A$19:$A$2018,$H$6),1)+1)-INDEX($A$19:$A$2018,MATCH(Q316,$A$19:INDEX($A$19:$A$2018,$H$6),1))))))</f>
        <v/>
      </c>
    </row>
    <row r="317">
      <c r="A317" s="11" t="n"/>
      <c r="B317" s="11" t="n"/>
      <c r="C317" s="12">
        <f>IF(A317="","",$B$9*TAN(RADIANS(A317)))</f>
        <v/>
      </c>
      <c r="D317" s="12">
        <f>IF(C317="","",C317*(1+B317/100))</f>
        <v/>
      </c>
      <c r="E317" s="12">
        <f>IF(A317="","",$B$10*TAN(RADIANS(A317)))</f>
        <v/>
      </c>
      <c r="G317" s="8" t="n">
        <v>299</v>
      </c>
      <c r="H317" s="8">
        <f>$K$11</f>
        <v/>
      </c>
      <c r="I317" s="7" t="inlineStr">
        <is>
          <t>橫</t>
        </is>
      </c>
      <c r="J317" s="8" t="n">
        <v>5</v>
      </c>
      <c r="K317" s="7" t="inlineStr">
        <is>
          <t>右下</t>
        </is>
      </c>
      <c r="L317" s="8">
        <f>$O$11-($M$11+$L$11)/2+(1)*$M$11/2</f>
        <v/>
      </c>
      <c r="M317" s="8">
        <f>$P$11-$M$11/2+$L$11/2+4*2*$L$11+(1)*$L$11/2</f>
        <v/>
      </c>
      <c r="N317" s="8">
        <f>L317-$B$7/2</f>
        <v/>
      </c>
      <c r="O317" s="8">
        <f>M317-$B$8/2</f>
        <v/>
      </c>
      <c r="P317" s="8">
        <f>SQRT(N317^2+O317^2)</f>
        <v/>
      </c>
      <c r="Q317" s="8">
        <f>IF(OR($H$7&lt;&gt;"OK",P317=""),"",IF(P317&lt;=$D$19,$A$19,IF(P317&gt;=INDEX($D$19:$D$2018,$H$6),INDEX($A$19:$A$2018,$H$6),INDEX($A$19:$A$2018,MATCH(P317,$D$19:INDEX($D$19:$D$2018,$H$6),1))+(P317-INDEX($D$19:$D$2018,MATCH(P317,$D$19:INDEX($D$19:$D$2018,$H$6),1)))*(INDEX($A$19:$A$2018,MATCH(P317,$D$19:INDEX($D$19:$D$2018,$H$6),1)+1)-INDEX($A$19:$A$2018,MATCH(P317,$D$19:INDEX($D$19:$D$2018,$H$6),1)))/(INDEX($D$19:$D$2018,MATCH(P317,$D$19:INDEX($D$19:$D$2018,$H$6),1)+1)-INDEX($D$19:$D$2018,MATCH(P317,$D$19:INDEX($D$19:$D$2018,$H$6),1))))))</f>
        <v/>
      </c>
      <c r="R317" s="8">
        <f>IF(P317=0,0,-Y317*N317/P317)</f>
        <v/>
      </c>
      <c r="S317" s="8">
        <f>IF(P317=0,0,Y317*O317/P317)</f>
        <v/>
      </c>
      <c r="T317" s="8">
        <f>IF(Y317=0,$B$7/2,$B$7/2-Z317*R317/Y317)</f>
        <v/>
      </c>
      <c r="U317" s="8">
        <f>IF(Y317=0,$B$8/2,$B$8/2+Z317*S317/Y317)</f>
        <v/>
      </c>
      <c r="V317" s="8">
        <f>SQRT((T317-L317)^2+(U317-M317)^2)</f>
        <v/>
      </c>
      <c r="Y317">
        <f>$B$10*TAN(RADIANS(Q317))</f>
        <v/>
      </c>
      <c r="Z317">
        <f>IF(OR($H$7&lt;&gt;"OK",Q317=""),"",IF(Q317&lt;=$A$19,$D$19,IF(Q317&gt;=INDEX($A$19:$A$2018,$H$6),INDEX($D$19:$D$2018,$H$6),INDEX($D$19:$D$2018,MATCH(Q317,$A$19:INDEX($A$19:$A$2018,$H$6),1))+(Q317-INDEX($A$19:$A$2018,MATCH(Q317,$A$19:INDEX($A$19:$A$2018,$H$6),1)))*(INDEX($D$19:$D$2018,MATCH(Q317,$A$19:INDEX($A$19:$A$2018,$H$6),1)+1)-INDEX($D$19:$D$2018,MATCH(Q317,$A$19:INDEX($A$19:$A$2018,$H$6),1)))/(INDEX($A$19:$A$2018,MATCH(Q317,$A$19:INDEX($A$19:$A$2018,$H$6),1)+1)-INDEX($A$19:$A$2018,MATCH(Q317,$A$19:INDEX($A$19:$A$2018,$H$6),1))))))</f>
        <v/>
      </c>
    </row>
    <row r="318">
      <c r="A318" s="11" t="n"/>
      <c r="B318" s="11" t="n"/>
      <c r="C318" s="12">
        <f>IF(A318="","",$B$9*TAN(RADIANS(A318)))</f>
        <v/>
      </c>
      <c r="D318" s="12">
        <f>IF(C318="","",C318*(1+B318/100))</f>
        <v/>
      </c>
      <c r="E318" s="12">
        <f>IF(A318="","",$B$10*TAN(RADIANS(A318)))</f>
        <v/>
      </c>
      <c r="G318" s="8" t="n">
        <v>300</v>
      </c>
      <c r="H318" s="8">
        <f>$K$11</f>
        <v/>
      </c>
      <c r="I318" s="7" t="inlineStr">
        <is>
          <t>橫</t>
        </is>
      </c>
      <c r="J318" s="8" t="n">
        <v>5</v>
      </c>
      <c r="K318" s="7" t="inlineStr">
        <is>
          <t>左下</t>
        </is>
      </c>
      <c r="L318" s="8">
        <f>$O$11-($M$11+$L$11)/2+(-1)*$M$11/2</f>
        <v/>
      </c>
      <c r="M318" s="8">
        <f>$P$11-$M$11/2+$L$11/2+4*2*$L$11+(1)*$L$11/2</f>
        <v/>
      </c>
      <c r="N318" s="8">
        <f>L318-$B$7/2</f>
        <v/>
      </c>
      <c r="O318" s="8">
        <f>M318-$B$8/2</f>
        <v/>
      </c>
      <c r="P318" s="8">
        <f>SQRT(N318^2+O318^2)</f>
        <v/>
      </c>
      <c r="Q318" s="8">
        <f>IF(OR($H$7&lt;&gt;"OK",P318=""),"",IF(P318&lt;=$D$19,$A$19,IF(P318&gt;=INDEX($D$19:$D$2018,$H$6),INDEX($A$19:$A$2018,$H$6),INDEX($A$19:$A$2018,MATCH(P318,$D$19:INDEX($D$19:$D$2018,$H$6),1))+(P318-INDEX($D$19:$D$2018,MATCH(P318,$D$19:INDEX($D$19:$D$2018,$H$6),1)))*(INDEX($A$19:$A$2018,MATCH(P318,$D$19:INDEX($D$19:$D$2018,$H$6),1)+1)-INDEX($A$19:$A$2018,MATCH(P318,$D$19:INDEX($D$19:$D$2018,$H$6),1)))/(INDEX($D$19:$D$2018,MATCH(P318,$D$19:INDEX($D$19:$D$2018,$H$6),1)+1)-INDEX($D$19:$D$2018,MATCH(P318,$D$19:INDEX($D$19:$D$2018,$H$6),1))))))</f>
        <v/>
      </c>
      <c r="R318" s="8">
        <f>IF(P318=0,0,-Y318*N318/P318)</f>
        <v/>
      </c>
      <c r="S318" s="8">
        <f>IF(P318=0,0,Y318*O318/P318)</f>
        <v/>
      </c>
      <c r="T318" s="8">
        <f>IF(Y318=0,$B$7/2,$B$7/2-Z318*R318/Y318)</f>
        <v/>
      </c>
      <c r="U318" s="8">
        <f>IF(Y318=0,$B$8/2,$B$8/2+Z318*S318/Y318)</f>
        <v/>
      </c>
      <c r="V318" s="8">
        <f>SQRT((T318-L318)^2+(U318-M318)^2)</f>
        <v/>
      </c>
      <c r="Y318">
        <f>$B$10*TAN(RADIANS(Q318))</f>
        <v/>
      </c>
      <c r="Z318">
        <f>IF(OR($H$7&lt;&gt;"OK",Q318=""),"",IF(Q318&lt;=$A$19,$D$19,IF(Q318&gt;=INDEX($A$19:$A$2018,$H$6),INDEX($D$19:$D$2018,$H$6),INDEX($D$19:$D$2018,MATCH(Q318,$A$19:INDEX($A$19:$A$2018,$H$6),1))+(Q318-INDEX($A$19:$A$2018,MATCH(Q318,$A$19:INDEX($A$19:$A$2018,$H$6),1)))*(INDEX($D$19:$D$2018,MATCH(Q318,$A$19:INDEX($A$19:$A$2018,$H$6),1)+1)-INDEX($D$19:$D$2018,MATCH(Q318,$A$19:INDEX($A$19:$A$2018,$H$6),1)))/(INDEX($A$19:$A$2018,MATCH(Q318,$A$19:INDEX($A$19:$A$2018,$H$6),1)+1)-INDEX($A$19:$A$2018,MATCH(Q318,$A$19:INDEX($A$19:$A$2018,$H$6),1))))))</f>
        <v/>
      </c>
    </row>
    <row r="319">
      <c r="A319" s="11" t="n"/>
      <c r="B319" s="11" t="n"/>
      <c r="C319" s="12">
        <f>IF(A319="","",$B$9*TAN(RADIANS(A319)))</f>
        <v/>
      </c>
      <c r="D319" s="12">
        <f>IF(C319="","",C319*(1+B319/100))</f>
        <v/>
      </c>
      <c r="E319" s="12">
        <f>IF(A319="","",$B$10*TAN(RADIANS(A319)))</f>
        <v/>
      </c>
      <c r="G319" s="8" t="n">
        <v>301</v>
      </c>
      <c r="H319" s="8">
        <f>$K$11</f>
        <v/>
      </c>
      <c r="I319" s="7" t="inlineStr">
        <is>
          <t>豎</t>
        </is>
      </c>
      <c r="J319" s="8" t="n">
        <v>1</v>
      </c>
      <c r="K319" s="7" t="inlineStr">
        <is>
          <t>左上</t>
        </is>
      </c>
      <c r="L319" s="8">
        <f>$O$11+($M$11+$L$11)/2-$M$11/2+$L$11/2+0*2*$L$11+(-1)*$L$11/2</f>
        <v/>
      </c>
      <c r="M319" s="8">
        <f>$P$11+(-1)*$M$11/2</f>
        <v/>
      </c>
      <c r="N319" s="8">
        <f>L319-$B$7/2</f>
        <v/>
      </c>
      <c r="O319" s="8">
        <f>M319-$B$8/2</f>
        <v/>
      </c>
      <c r="P319" s="8">
        <f>SQRT(N319^2+O319^2)</f>
        <v/>
      </c>
      <c r="Q319" s="8">
        <f>IF(OR($H$7&lt;&gt;"OK",P319=""),"",IF(P319&lt;=$D$19,$A$19,IF(P319&gt;=INDEX($D$19:$D$2018,$H$6),INDEX($A$19:$A$2018,$H$6),INDEX($A$19:$A$2018,MATCH(P319,$D$19:INDEX($D$19:$D$2018,$H$6),1))+(P319-INDEX($D$19:$D$2018,MATCH(P319,$D$19:INDEX($D$19:$D$2018,$H$6),1)))*(INDEX($A$19:$A$2018,MATCH(P319,$D$19:INDEX($D$19:$D$2018,$H$6),1)+1)-INDEX($A$19:$A$2018,MATCH(P319,$D$19:INDEX($D$19:$D$2018,$H$6),1)))/(INDEX($D$19:$D$2018,MATCH(P319,$D$19:INDEX($D$19:$D$2018,$H$6),1)+1)-INDEX($D$19:$D$2018,MATCH(P319,$D$19:INDEX($D$19:$D$2018,$H$6),1))))))</f>
        <v/>
      </c>
      <c r="R319" s="8">
        <f>IF(P319=0,0,-Y319*N319/P319)</f>
        <v/>
      </c>
      <c r="S319" s="8">
        <f>IF(P319=0,0,Y319*O319/P319)</f>
        <v/>
      </c>
      <c r="T319" s="8">
        <f>IF(Y319=0,$B$7/2,$B$7/2-Z319*R319/Y319)</f>
        <v/>
      </c>
      <c r="U319" s="8">
        <f>IF(Y319=0,$B$8/2,$B$8/2+Z319*S319/Y319)</f>
        <v/>
      </c>
      <c r="V319" s="8">
        <f>SQRT((T319-L319)^2+(U319-M319)^2)</f>
        <v/>
      </c>
      <c r="Y319">
        <f>$B$10*TAN(RADIANS(Q319))</f>
        <v/>
      </c>
      <c r="Z319">
        <f>IF(OR($H$7&lt;&gt;"OK",Q319=""),"",IF(Q319&lt;=$A$19,$D$19,IF(Q319&gt;=INDEX($A$19:$A$2018,$H$6),INDEX($D$19:$D$2018,$H$6),INDEX($D$19:$D$2018,MATCH(Q319,$A$19:INDEX($A$19:$A$2018,$H$6),1))+(Q319-INDEX($A$19:$A$2018,MATCH(Q319,$A$19:INDEX($A$19:$A$2018,$H$6),1)))*(INDEX($D$19:$D$2018,MATCH(Q319,$A$19:INDEX($A$19:$A$2018,$H$6),1)+1)-INDEX($D$19:$D$2018,MATCH(Q319,$A$19:INDEX($A$19:$A$2018,$H$6),1)))/(INDEX($A$19:$A$2018,MATCH(Q319,$A$19:INDEX($A$19:$A$2018,$H$6),1)+1)-INDEX($A$19:$A$2018,MATCH(Q319,$A$19:INDEX($A$19:$A$2018,$H$6),1))))))</f>
        <v/>
      </c>
    </row>
    <row r="320">
      <c r="A320" s="11" t="n"/>
      <c r="B320" s="11" t="n"/>
      <c r="C320" s="12">
        <f>IF(A320="","",$B$9*TAN(RADIANS(A320)))</f>
        <v/>
      </c>
      <c r="D320" s="12">
        <f>IF(C320="","",C320*(1+B320/100))</f>
        <v/>
      </c>
      <c r="E320" s="12">
        <f>IF(A320="","",$B$10*TAN(RADIANS(A320)))</f>
        <v/>
      </c>
      <c r="G320" s="8" t="n">
        <v>302</v>
      </c>
      <c r="H320" s="8">
        <f>$K$11</f>
        <v/>
      </c>
      <c r="I320" s="7" t="inlineStr">
        <is>
          <t>豎</t>
        </is>
      </c>
      <c r="J320" s="8" t="n">
        <v>1</v>
      </c>
      <c r="K320" s="7" t="inlineStr">
        <is>
          <t>右上</t>
        </is>
      </c>
      <c r="L320" s="8">
        <f>$O$11+($M$11+$L$11)/2-$M$11/2+$L$11/2+0*2*$L$11+(1)*$L$11/2</f>
        <v/>
      </c>
      <c r="M320" s="8">
        <f>$P$11+(-1)*$M$11/2</f>
        <v/>
      </c>
      <c r="N320" s="8">
        <f>L320-$B$7/2</f>
        <v/>
      </c>
      <c r="O320" s="8">
        <f>M320-$B$8/2</f>
        <v/>
      </c>
      <c r="P320" s="8">
        <f>SQRT(N320^2+O320^2)</f>
        <v/>
      </c>
      <c r="Q320" s="8">
        <f>IF(OR($H$7&lt;&gt;"OK",P320=""),"",IF(P320&lt;=$D$19,$A$19,IF(P320&gt;=INDEX($D$19:$D$2018,$H$6),INDEX($A$19:$A$2018,$H$6),INDEX($A$19:$A$2018,MATCH(P320,$D$19:INDEX($D$19:$D$2018,$H$6),1))+(P320-INDEX($D$19:$D$2018,MATCH(P320,$D$19:INDEX($D$19:$D$2018,$H$6),1)))*(INDEX($A$19:$A$2018,MATCH(P320,$D$19:INDEX($D$19:$D$2018,$H$6),1)+1)-INDEX($A$19:$A$2018,MATCH(P320,$D$19:INDEX($D$19:$D$2018,$H$6),1)))/(INDEX($D$19:$D$2018,MATCH(P320,$D$19:INDEX($D$19:$D$2018,$H$6),1)+1)-INDEX($D$19:$D$2018,MATCH(P320,$D$19:INDEX($D$19:$D$2018,$H$6),1))))))</f>
        <v/>
      </c>
      <c r="R320" s="8">
        <f>IF(P320=0,0,-Y320*N320/P320)</f>
        <v/>
      </c>
      <c r="S320" s="8">
        <f>IF(P320=0,0,Y320*O320/P320)</f>
        <v/>
      </c>
      <c r="T320" s="8">
        <f>IF(Y320=0,$B$7/2,$B$7/2-Z320*R320/Y320)</f>
        <v/>
      </c>
      <c r="U320" s="8">
        <f>IF(Y320=0,$B$8/2,$B$8/2+Z320*S320/Y320)</f>
        <v/>
      </c>
      <c r="V320" s="8">
        <f>SQRT((T320-L320)^2+(U320-M320)^2)</f>
        <v/>
      </c>
      <c r="Y320">
        <f>$B$10*TAN(RADIANS(Q320))</f>
        <v/>
      </c>
      <c r="Z320">
        <f>IF(OR($H$7&lt;&gt;"OK",Q320=""),"",IF(Q320&lt;=$A$19,$D$19,IF(Q320&gt;=INDEX($A$19:$A$2018,$H$6),INDEX($D$19:$D$2018,$H$6),INDEX($D$19:$D$2018,MATCH(Q320,$A$19:INDEX($A$19:$A$2018,$H$6),1))+(Q320-INDEX($A$19:$A$2018,MATCH(Q320,$A$19:INDEX($A$19:$A$2018,$H$6),1)))*(INDEX($D$19:$D$2018,MATCH(Q320,$A$19:INDEX($A$19:$A$2018,$H$6),1)+1)-INDEX($D$19:$D$2018,MATCH(Q320,$A$19:INDEX($A$19:$A$2018,$H$6),1)))/(INDEX($A$19:$A$2018,MATCH(Q320,$A$19:INDEX($A$19:$A$2018,$H$6),1)+1)-INDEX($A$19:$A$2018,MATCH(Q320,$A$19:INDEX($A$19:$A$2018,$H$6),1))))))</f>
        <v/>
      </c>
    </row>
    <row r="321">
      <c r="A321" s="11" t="n"/>
      <c r="B321" s="11" t="n"/>
      <c r="C321" s="12">
        <f>IF(A321="","",$B$9*TAN(RADIANS(A321)))</f>
        <v/>
      </c>
      <c r="D321" s="12">
        <f>IF(C321="","",C321*(1+B321/100))</f>
        <v/>
      </c>
      <c r="E321" s="12">
        <f>IF(A321="","",$B$10*TAN(RADIANS(A321)))</f>
        <v/>
      </c>
      <c r="G321" s="8" t="n">
        <v>303</v>
      </c>
      <c r="H321" s="8">
        <f>$K$11</f>
        <v/>
      </c>
      <c r="I321" s="7" t="inlineStr">
        <is>
          <t>豎</t>
        </is>
      </c>
      <c r="J321" s="8" t="n">
        <v>1</v>
      </c>
      <c r="K321" s="7" t="inlineStr">
        <is>
          <t>右下</t>
        </is>
      </c>
      <c r="L321" s="8">
        <f>$O$11+($M$11+$L$11)/2-$M$11/2+$L$11/2+0*2*$L$11+(1)*$L$11/2</f>
        <v/>
      </c>
      <c r="M321" s="8">
        <f>$P$11+(1)*$M$11/2</f>
        <v/>
      </c>
      <c r="N321" s="8">
        <f>L321-$B$7/2</f>
        <v/>
      </c>
      <c r="O321" s="8">
        <f>M321-$B$8/2</f>
        <v/>
      </c>
      <c r="P321" s="8">
        <f>SQRT(N321^2+O321^2)</f>
        <v/>
      </c>
      <c r="Q321" s="8">
        <f>IF(OR($H$7&lt;&gt;"OK",P321=""),"",IF(P321&lt;=$D$19,$A$19,IF(P321&gt;=INDEX($D$19:$D$2018,$H$6),INDEX($A$19:$A$2018,$H$6),INDEX($A$19:$A$2018,MATCH(P321,$D$19:INDEX($D$19:$D$2018,$H$6),1))+(P321-INDEX($D$19:$D$2018,MATCH(P321,$D$19:INDEX($D$19:$D$2018,$H$6),1)))*(INDEX($A$19:$A$2018,MATCH(P321,$D$19:INDEX($D$19:$D$2018,$H$6),1)+1)-INDEX($A$19:$A$2018,MATCH(P321,$D$19:INDEX($D$19:$D$2018,$H$6),1)))/(INDEX($D$19:$D$2018,MATCH(P321,$D$19:INDEX($D$19:$D$2018,$H$6),1)+1)-INDEX($D$19:$D$2018,MATCH(P321,$D$19:INDEX($D$19:$D$2018,$H$6),1))))))</f>
        <v/>
      </c>
      <c r="R321" s="8">
        <f>IF(P321=0,0,-Y321*N321/P321)</f>
        <v/>
      </c>
      <c r="S321" s="8">
        <f>IF(P321=0,0,Y321*O321/P321)</f>
        <v/>
      </c>
      <c r="T321" s="8">
        <f>IF(Y321=0,$B$7/2,$B$7/2-Z321*R321/Y321)</f>
        <v/>
      </c>
      <c r="U321" s="8">
        <f>IF(Y321=0,$B$8/2,$B$8/2+Z321*S321/Y321)</f>
        <v/>
      </c>
      <c r="V321" s="8">
        <f>SQRT((T321-L321)^2+(U321-M321)^2)</f>
        <v/>
      </c>
      <c r="Y321">
        <f>$B$10*TAN(RADIANS(Q321))</f>
        <v/>
      </c>
      <c r="Z321">
        <f>IF(OR($H$7&lt;&gt;"OK",Q321=""),"",IF(Q321&lt;=$A$19,$D$19,IF(Q321&gt;=INDEX($A$19:$A$2018,$H$6),INDEX($D$19:$D$2018,$H$6),INDEX($D$19:$D$2018,MATCH(Q321,$A$19:INDEX($A$19:$A$2018,$H$6),1))+(Q321-INDEX($A$19:$A$2018,MATCH(Q321,$A$19:INDEX($A$19:$A$2018,$H$6),1)))*(INDEX($D$19:$D$2018,MATCH(Q321,$A$19:INDEX($A$19:$A$2018,$H$6),1)+1)-INDEX($D$19:$D$2018,MATCH(Q321,$A$19:INDEX($A$19:$A$2018,$H$6),1)))/(INDEX($A$19:$A$2018,MATCH(Q321,$A$19:INDEX($A$19:$A$2018,$H$6),1)+1)-INDEX($A$19:$A$2018,MATCH(Q321,$A$19:INDEX($A$19:$A$2018,$H$6),1))))))</f>
        <v/>
      </c>
    </row>
    <row r="322">
      <c r="A322" s="11" t="n"/>
      <c r="B322" s="11" t="n"/>
      <c r="C322" s="12">
        <f>IF(A322="","",$B$9*TAN(RADIANS(A322)))</f>
        <v/>
      </c>
      <c r="D322" s="12">
        <f>IF(C322="","",C322*(1+B322/100))</f>
        <v/>
      </c>
      <c r="E322" s="12">
        <f>IF(A322="","",$B$10*TAN(RADIANS(A322)))</f>
        <v/>
      </c>
      <c r="G322" s="8" t="n">
        <v>304</v>
      </c>
      <c r="H322" s="8">
        <f>$K$11</f>
        <v/>
      </c>
      <c r="I322" s="7" t="inlineStr">
        <is>
          <t>豎</t>
        </is>
      </c>
      <c r="J322" s="8" t="n">
        <v>1</v>
      </c>
      <c r="K322" s="7" t="inlineStr">
        <is>
          <t>左下</t>
        </is>
      </c>
      <c r="L322" s="8">
        <f>$O$11+($M$11+$L$11)/2-$M$11/2+$L$11/2+0*2*$L$11+(-1)*$L$11/2</f>
        <v/>
      </c>
      <c r="M322" s="8">
        <f>$P$11+(1)*$M$11/2</f>
        <v/>
      </c>
      <c r="N322" s="8">
        <f>L322-$B$7/2</f>
        <v/>
      </c>
      <c r="O322" s="8">
        <f>M322-$B$8/2</f>
        <v/>
      </c>
      <c r="P322" s="8">
        <f>SQRT(N322^2+O322^2)</f>
        <v/>
      </c>
      <c r="Q322" s="8">
        <f>IF(OR($H$7&lt;&gt;"OK",P322=""),"",IF(P322&lt;=$D$19,$A$19,IF(P322&gt;=INDEX($D$19:$D$2018,$H$6),INDEX($A$19:$A$2018,$H$6),INDEX($A$19:$A$2018,MATCH(P322,$D$19:INDEX($D$19:$D$2018,$H$6),1))+(P322-INDEX($D$19:$D$2018,MATCH(P322,$D$19:INDEX($D$19:$D$2018,$H$6),1)))*(INDEX($A$19:$A$2018,MATCH(P322,$D$19:INDEX($D$19:$D$2018,$H$6),1)+1)-INDEX($A$19:$A$2018,MATCH(P322,$D$19:INDEX($D$19:$D$2018,$H$6),1)))/(INDEX($D$19:$D$2018,MATCH(P322,$D$19:INDEX($D$19:$D$2018,$H$6),1)+1)-INDEX($D$19:$D$2018,MATCH(P322,$D$19:INDEX($D$19:$D$2018,$H$6),1))))))</f>
        <v/>
      </c>
      <c r="R322" s="8">
        <f>IF(P322=0,0,-Y322*N322/P322)</f>
        <v/>
      </c>
      <c r="S322" s="8">
        <f>IF(P322=0,0,Y322*O322/P322)</f>
        <v/>
      </c>
      <c r="T322" s="8">
        <f>IF(Y322=0,$B$7/2,$B$7/2-Z322*R322/Y322)</f>
        <v/>
      </c>
      <c r="U322" s="8">
        <f>IF(Y322=0,$B$8/2,$B$8/2+Z322*S322/Y322)</f>
        <v/>
      </c>
      <c r="V322" s="8">
        <f>SQRT((T322-L322)^2+(U322-M322)^2)</f>
        <v/>
      </c>
      <c r="Y322">
        <f>$B$10*TAN(RADIANS(Q322))</f>
        <v/>
      </c>
      <c r="Z322">
        <f>IF(OR($H$7&lt;&gt;"OK",Q322=""),"",IF(Q322&lt;=$A$19,$D$19,IF(Q322&gt;=INDEX($A$19:$A$2018,$H$6),INDEX($D$19:$D$2018,$H$6),INDEX($D$19:$D$2018,MATCH(Q322,$A$19:INDEX($A$19:$A$2018,$H$6),1))+(Q322-INDEX($A$19:$A$2018,MATCH(Q322,$A$19:INDEX($A$19:$A$2018,$H$6),1)))*(INDEX($D$19:$D$2018,MATCH(Q322,$A$19:INDEX($A$19:$A$2018,$H$6),1)+1)-INDEX($D$19:$D$2018,MATCH(Q322,$A$19:INDEX($A$19:$A$2018,$H$6),1)))/(INDEX($A$19:$A$2018,MATCH(Q322,$A$19:INDEX($A$19:$A$2018,$H$6),1)+1)-INDEX($A$19:$A$2018,MATCH(Q322,$A$19:INDEX($A$19:$A$2018,$H$6),1))))))</f>
        <v/>
      </c>
    </row>
    <row r="323">
      <c r="A323" s="11" t="n"/>
      <c r="B323" s="11" t="n"/>
      <c r="C323" s="12">
        <f>IF(A323="","",$B$9*TAN(RADIANS(A323)))</f>
        <v/>
      </c>
      <c r="D323" s="12">
        <f>IF(C323="","",C323*(1+B323/100))</f>
        <v/>
      </c>
      <c r="E323" s="12">
        <f>IF(A323="","",$B$10*TAN(RADIANS(A323)))</f>
        <v/>
      </c>
      <c r="G323" s="8" t="n">
        <v>305</v>
      </c>
      <c r="H323" s="8">
        <f>$K$11</f>
        <v/>
      </c>
      <c r="I323" s="7" t="inlineStr">
        <is>
          <t>豎</t>
        </is>
      </c>
      <c r="J323" s="8" t="n">
        <v>2</v>
      </c>
      <c r="K323" s="7" t="inlineStr">
        <is>
          <t>左上</t>
        </is>
      </c>
      <c r="L323" s="8">
        <f>$O$11+($M$11+$L$11)/2-$M$11/2+$L$11/2+1*2*$L$11+(-1)*$L$11/2</f>
        <v/>
      </c>
      <c r="M323" s="8">
        <f>$P$11+(-1)*$M$11/2</f>
        <v/>
      </c>
      <c r="N323" s="8">
        <f>L323-$B$7/2</f>
        <v/>
      </c>
      <c r="O323" s="8">
        <f>M323-$B$8/2</f>
        <v/>
      </c>
      <c r="P323" s="8">
        <f>SQRT(N323^2+O323^2)</f>
        <v/>
      </c>
      <c r="Q323" s="8">
        <f>IF(OR($H$7&lt;&gt;"OK",P323=""),"",IF(P323&lt;=$D$19,$A$19,IF(P323&gt;=INDEX($D$19:$D$2018,$H$6),INDEX($A$19:$A$2018,$H$6),INDEX($A$19:$A$2018,MATCH(P323,$D$19:INDEX($D$19:$D$2018,$H$6),1))+(P323-INDEX($D$19:$D$2018,MATCH(P323,$D$19:INDEX($D$19:$D$2018,$H$6),1)))*(INDEX($A$19:$A$2018,MATCH(P323,$D$19:INDEX($D$19:$D$2018,$H$6),1)+1)-INDEX($A$19:$A$2018,MATCH(P323,$D$19:INDEX($D$19:$D$2018,$H$6),1)))/(INDEX($D$19:$D$2018,MATCH(P323,$D$19:INDEX($D$19:$D$2018,$H$6),1)+1)-INDEX($D$19:$D$2018,MATCH(P323,$D$19:INDEX($D$19:$D$2018,$H$6),1))))))</f>
        <v/>
      </c>
      <c r="R323" s="8">
        <f>IF(P323=0,0,-Y323*N323/P323)</f>
        <v/>
      </c>
      <c r="S323" s="8">
        <f>IF(P323=0,0,Y323*O323/P323)</f>
        <v/>
      </c>
      <c r="T323" s="8">
        <f>IF(Y323=0,$B$7/2,$B$7/2-Z323*R323/Y323)</f>
        <v/>
      </c>
      <c r="U323" s="8">
        <f>IF(Y323=0,$B$8/2,$B$8/2+Z323*S323/Y323)</f>
        <v/>
      </c>
      <c r="V323" s="8">
        <f>SQRT((T323-L323)^2+(U323-M323)^2)</f>
        <v/>
      </c>
      <c r="Y323">
        <f>$B$10*TAN(RADIANS(Q323))</f>
        <v/>
      </c>
      <c r="Z323">
        <f>IF(OR($H$7&lt;&gt;"OK",Q323=""),"",IF(Q323&lt;=$A$19,$D$19,IF(Q323&gt;=INDEX($A$19:$A$2018,$H$6),INDEX($D$19:$D$2018,$H$6),INDEX($D$19:$D$2018,MATCH(Q323,$A$19:INDEX($A$19:$A$2018,$H$6),1))+(Q323-INDEX($A$19:$A$2018,MATCH(Q323,$A$19:INDEX($A$19:$A$2018,$H$6),1)))*(INDEX($D$19:$D$2018,MATCH(Q323,$A$19:INDEX($A$19:$A$2018,$H$6),1)+1)-INDEX($D$19:$D$2018,MATCH(Q323,$A$19:INDEX($A$19:$A$2018,$H$6),1)))/(INDEX($A$19:$A$2018,MATCH(Q323,$A$19:INDEX($A$19:$A$2018,$H$6),1)+1)-INDEX($A$19:$A$2018,MATCH(Q323,$A$19:INDEX($A$19:$A$2018,$H$6),1))))))</f>
        <v/>
      </c>
    </row>
    <row r="324">
      <c r="A324" s="11" t="n"/>
      <c r="B324" s="11" t="n"/>
      <c r="C324" s="12">
        <f>IF(A324="","",$B$9*TAN(RADIANS(A324)))</f>
        <v/>
      </c>
      <c r="D324" s="12">
        <f>IF(C324="","",C324*(1+B324/100))</f>
        <v/>
      </c>
      <c r="E324" s="12">
        <f>IF(A324="","",$B$10*TAN(RADIANS(A324)))</f>
        <v/>
      </c>
      <c r="G324" s="8" t="n">
        <v>306</v>
      </c>
      <c r="H324" s="8">
        <f>$K$11</f>
        <v/>
      </c>
      <c r="I324" s="7" t="inlineStr">
        <is>
          <t>豎</t>
        </is>
      </c>
      <c r="J324" s="8" t="n">
        <v>2</v>
      </c>
      <c r="K324" s="7" t="inlineStr">
        <is>
          <t>右上</t>
        </is>
      </c>
      <c r="L324" s="8">
        <f>$O$11+($M$11+$L$11)/2-$M$11/2+$L$11/2+1*2*$L$11+(1)*$L$11/2</f>
        <v/>
      </c>
      <c r="M324" s="8">
        <f>$P$11+(-1)*$M$11/2</f>
        <v/>
      </c>
      <c r="N324" s="8">
        <f>L324-$B$7/2</f>
        <v/>
      </c>
      <c r="O324" s="8">
        <f>M324-$B$8/2</f>
        <v/>
      </c>
      <c r="P324" s="8">
        <f>SQRT(N324^2+O324^2)</f>
        <v/>
      </c>
      <c r="Q324" s="8">
        <f>IF(OR($H$7&lt;&gt;"OK",P324=""),"",IF(P324&lt;=$D$19,$A$19,IF(P324&gt;=INDEX($D$19:$D$2018,$H$6),INDEX($A$19:$A$2018,$H$6),INDEX($A$19:$A$2018,MATCH(P324,$D$19:INDEX($D$19:$D$2018,$H$6),1))+(P324-INDEX($D$19:$D$2018,MATCH(P324,$D$19:INDEX($D$19:$D$2018,$H$6),1)))*(INDEX($A$19:$A$2018,MATCH(P324,$D$19:INDEX($D$19:$D$2018,$H$6),1)+1)-INDEX($A$19:$A$2018,MATCH(P324,$D$19:INDEX($D$19:$D$2018,$H$6),1)))/(INDEX($D$19:$D$2018,MATCH(P324,$D$19:INDEX($D$19:$D$2018,$H$6),1)+1)-INDEX($D$19:$D$2018,MATCH(P324,$D$19:INDEX($D$19:$D$2018,$H$6),1))))))</f>
        <v/>
      </c>
      <c r="R324" s="8">
        <f>IF(P324=0,0,-Y324*N324/P324)</f>
        <v/>
      </c>
      <c r="S324" s="8">
        <f>IF(P324=0,0,Y324*O324/P324)</f>
        <v/>
      </c>
      <c r="T324" s="8">
        <f>IF(Y324=0,$B$7/2,$B$7/2-Z324*R324/Y324)</f>
        <v/>
      </c>
      <c r="U324" s="8">
        <f>IF(Y324=0,$B$8/2,$B$8/2+Z324*S324/Y324)</f>
        <v/>
      </c>
      <c r="V324" s="8">
        <f>SQRT((T324-L324)^2+(U324-M324)^2)</f>
        <v/>
      </c>
      <c r="Y324">
        <f>$B$10*TAN(RADIANS(Q324))</f>
        <v/>
      </c>
      <c r="Z324">
        <f>IF(OR($H$7&lt;&gt;"OK",Q324=""),"",IF(Q324&lt;=$A$19,$D$19,IF(Q324&gt;=INDEX($A$19:$A$2018,$H$6),INDEX($D$19:$D$2018,$H$6),INDEX($D$19:$D$2018,MATCH(Q324,$A$19:INDEX($A$19:$A$2018,$H$6),1))+(Q324-INDEX($A$19:$A$2018,MATCH(Q324,$A$19:INDEX($A$19:$A$2018,$H$6),1)))*(INDEX($D$19:$D$2018,MATCH(Q324,$A$19:INDEX($A$19:$A$2018,$H$6),1)+1)-INDEX($D$19:$D$2018,MATCH(Q324,$A$19:INDEX($A$19:$A$2018,$H$6),1)))/(INDEX($A$19:$A$2018,MATCH(Q324,$A$19:INDEX($A$19:$A$2018,$H$6),1)+1)-INDEX($A$19:$A$2018,MATCH(Q324,$A$19:INDEX($A$19:$A$2018,$H$6),1))))))</f>
        <v/>
      </c>
    </row>
    <row r="325">
      <c r="A325" s="11" t="n"/>
      <c r="B325" s="11" t="n"/>
      <c r="C325" s="12">
        <f>IF(A325="","",$B$9*TAN(RADIANS(A325)))</f>
        <v/>
      </c>
      <c r="D325" s="12">
        <f>IF(C325="","",C325*(1+B325/100))</f>
        <v/>
      </c>
      <c r="E325" s="12">
        <f>IF(A325="","",$B$10*TAN(RADIANS(A325)))</f>
        <v/>
      </c>
      <c r="G325" s="8" t="n">
        <v>307</v>
      </c>
      <c r="H325" s="8">
        <f>$K$11</f>
        <v/>
      </c>
      <c r="I325" s="7" t="inlineStr">
        <is>
          <t>豎</t>
        </is>
      </c>
      <c r="J325" s="8" t="n">
        <v>2</v>
      </c>
      <c r="K325" s="7" t="inlineStr">
        <is>
          <t>右下</t>
        </is>
      </c>
      <c r="L325" s="8">
        <f>$O$11+($M$11+$L$11)/2-$M$11/2+$L$11/2+1*2*$L$11+(1)*$L$11/2</f>
        <v/>
      </c>
      <c r="M325" s="8">
        <f>$P$11+(1)*$M$11/2</f>
        <v/>
      </c>
      <c r="N325" s="8">
        <f>L325-$B$7/2</f>
        <v/>
      </c>
      <c r="O325" s="8">
        <f>M325-$B$8/2</f>
        <v/>
      </c>
      <c r="P325" s="8">
        <f>SQRT(N325^2+O325^2)</f>
        <v/>
      </c>
      <c r="Q325" s="8">
        <f>IF(OR($H$7&lt;&gt;"OK",P325=""),"",IF(P325&lt;=$D$19,$A$19,IF(P325&gt;=INDEX($D$19:$D$2018,$H$6),INDEX($A$19:$A$2018,$H$6),INDEX($A$19:$A$2018,MATCH(P325,$D$19:INDEX($D$19:$D$2018,$H$6),1))+(P325-INDEX($D$19:$D$2018,MATCH(P325,$D$19:INDEX($D$19:$D$2018,$H$6),1)))*(INDEX($A$19:$A$2018,MATCH(P325,$D$19:INDEX($D$19:$D$2018,$H$6),1)+1)-INDEX($A$19:$A$2018,MATCH(P325,$D$19:INDEX($D$19:$D$2018,$H$6),1)))/(INDEX($D$19:$D$2018,MATCH(P325,$D$19:INDEX($D$19:$D$2018,$H$6),1)+1)-INDEX($D$19:$D$2018,MATCH(P325,$D$19:INDEX($D$19:$D$2018,$H$6),1))))))</f>
        <v/>
      </c>
      <c r="R325" s="8">
        <f>IF(P325=0,0,-Y325*N325/P325)</f>
        <v/>
      </c>
      <c r="S325" s="8">
        <f>IF(P325=0,0,Y325*O325/P325)</f>
        <v/>
      </c>
      <c r="T325" s="8">
        <f>IF(Y325=0,$B$7/2,$B$7/2-Z325*R325/Y325)</f>
        <v/>
      </c>
      <c r="U325" s="8">
        <f>IF(Y325=0,$B$8/2,$B$8/2+Z325*S325/Y325)</f>
        <v/>
      </c>
      <c r="V325" s="8">
        <f>SQRT((T325-L325)^2+(U325-M325)^2)</f>
        <v/>
      </c>
      <c r="Y325">
        <f>$B$10*TAN(RADIANS(Q325))</f>
        <v/>
      </c>
      <c r="Z325">
        <f>IF(OR($H$7&lt;&gt;"OK",Q325=""),"",IF(Q325&lt;=$A$19,$D$19,IF(Q325&gt;=INDEX($A$19:$A$2018,$H$6),INDEX($D$19:$D$2018,$H$6),INDEX($D$19:$D$2018,MATCH(Q325,$A$19:INDEX($A$19:$A$2018,$H$6),1))+(Q325-INDEX($A$19:$A$2018,MATCH(Q325,$A$19:INDEX($A$19:$A$2018,$H$6),1)))*(INDEX($D$19:$D$2018,MATCH(Q325,$A$19:INDEX($A$19:$A$2018,$H$6),1)+1)-INDEX($D$19:$D$2018,MATCH(Q325,$A$19:INDEX($A$19:$A$2018,$H$6),1)))/(INDEX($A$19:$A$2018,MATCH(Q325,$A$19:INDEX($A$19:$A$2018,$H$6),1)+1)-INDEX($A$19:$A$2018,MATCH(Q325,$A$19:INDEX($A$19:$A$2018,$H$6),1))))))</f>
        <v/>
      </c>
    </row>
    <row r="326">
      <c r="A326" s="11" t="n"/>
      <c r="B326" s="11" t="n"/>
      <c r="C326" s="12">
        <f>IF(A326="","",$B$9*TAN(RADIANS(A326)))</f>
        <v/>
      </c>
      <c r="D326" s="12">
        <f>IF(C326="","",C326*(1+B326/100))</f>
        <v/>
      </c>
      <c r="E326" s="12">
        <f>IF(A326="","",$B$10*TAN(RADIANS(A326)))</f>
        <v/>
      </c>
      <c r="G326" s="8" t="n">
        <v>308</v>
      </c>
      <c r="H326" s="8">
        <f>$K$11</f>
        <v/>
      </c>
      <c r="I326" s="7" t="inlineStr">
        <is>
          <t>豎</t>
        </is>
      </c>
      <c r="J326" s="8" t="n">
        <v>2</v>
      </c>
      <c r="K326" s="7" t="inlineStr">
        <is>
          <t>左下</t>
        </is>
      </c>
      <c r="L326" s="8">
        <f>$O$11+($M$11+$L$11)/2-$M$11/2+$L$11/2+1*2*$L$11+(-1)*$L$11/2</f>
        <v/>
      </c>
      <c r="M326" s="8">
        <f>$P$11+(1)*$M$11/2</f>
        <v/>
      </c>
      <c r="N326" s="8">
        <f>L326-$B$7/2</f>
        <v/>
      </c>
      <c r="O326" s="8">
        <f>M326-$B$8/2</f>
        <v/>
      </c>
      <c r="P326" s="8">
        <f>SQRT(N326^2+O326^2)</f>
        <v/>
      </c>
      <c r="Q326" s="8">
        <f>IF(OR($H$7&lt;&gt;"OK",P326=""),"",IF(P326&lt;=$D$19,$A$19,IF(P326&gt;=INDEX($D$19:$D$2018,$H$6),INDEX($A$19:$A$2018,$H$6),INDEX($A$19:$A$2018,MATCH(P326,$D$19:INDEX($D$19:$D$2018,$H$6),1))+(P326-INDEX($D$19:$D$2018,MATCH(P326,$D$19:INDEX($D$19:$D$2018,$H$6),1)))*(INDEX($A$19:$A$2018,MATCH(P326,$D$19:INDEX($D$19:$D$2018,$H$6),1)+1)-INDEX($A$19:$A$2018,MATCH(P326,$D$19:INDEX($D$19:$D$2018,$H$6),1)))/(INDEX($D$19:$D$2018,MATCH(P326,$D$19:INDEX($D$19:$D$2018,$H$6),1)+1)-INDEX($D$19:$D$2018,MATCH(P326,$D$19:INDEX($D$19:$D$2018,$H$6),1))))))</f>
        <v/>
      </c>
      <c r="R326" s="8">
        <f>IF(P326=0,0,-Y326*N326/P326)</f>
        <v/>
      </c>
      <c r="S326" s="8">
        <f>IF(P326=0,0,Y326*O326/P326)</f>
        <v/>
      </c>
      <c r="T326" s="8">
        <f>IF(Y326=0,$B$7/2,$B$7/2-Z326*R326/Y326)</f>
        <v/>
      </c>
      <c r="U326" s="8">
        <f>IF(Y326=0,$B$8/2,$B$8/2+Z326*S326/Y326)</f>
        <v/>
      </c>
      <c r="V326" s="8">
        <f>SQRT((T326-L326)^2+(U326-M326)^2)</f>
        <v/>
      </c>
      <c r="Y326">
        <f>$B$10*TAN(RADIANS(Q326))</f>
        <v/>
      </c>
      <c r="Z326">
        <f>IF(OR($H$7&lt;&gt;"OK",Q326=""),"",IF(Q326&lt;=$A$19,$D$19,IF(Q326&gt;=INDEX($A$19:$A$2018,$H$6),INDEX($D$19:$D$2018,$H$6),INDEX($D$19:$D$2018,MATCH(Q326,$A$19:INDEX($A$19:$A$2018,$H$6),1))+(Q326-INDEX($A$19:$A$2018,MATCH(Q326,$A$19:INDEX($A$19:$A$2018,$H$6),1)))*(INDEX($D$19:$D$2018,MATCH(Q326,$A$19:INDEX($A$19:$A$2018,$H$6),1)+1)-INDEX($D$19:$D$2018,MATCH(Q326,$A$19:INDEX($A$19:$A$2018,$H$6),1)))/(INDEX($A$19:$A$2018,MATCH(Q326,$A$19:INDEX($A$19:$A$2018,$H$6),1)+1)-INDEX($A$19:$A$2018,MATCH(Q326,$A$19:INDEX($A$19:$A$2018,$H$6),1))))))</f>
        <v/>
      </c>
    </row>
    <row r="327">
      <c r="A327" s="11" t="n"/>
      <c r="B327" s="11" t="n"/>
      <c r="C327" s="12">
        <f>IF(A327="","",$B$9*TAN(RADIANS(A327)))</f>
        <v/>
      </c>
      <c r="D327" s="12">
        <f>IF(C327="","",C327*(1+B327/100))</f>
        <v/>
      </c>
      <c r="E327" s="12">
        <f>IF(A327="","",$B$10*TAN(RADIANS(A327)))</f>
        <v/>
      </c>
      <c r="G327" s="8" t="n">
        <v>309</v>
      </c>
      <c r="H327" s="8">
        <f>$K$11</f>
        <v/>
      </c>
      <c r="I327" s="7" t="inlineStr">
        <is>
          <t>豎</t>
        </is>
      </c>
      <c r="J327" s="8" t="n">
        <v>3</v>
      </c>
      <c r="K327" s="7" t="inlineStr">
        <is>
          <t>左上</t>
        </is>
      </c>
      <c r="L327" s="8">
        <f>$O$11+($M$11+$L$11)/2-$M$11/2+$L$11/2+2*2*$L$11+(-1)*$L$11/2</f>
        <v/>
      </c>
      <c r="M327" s="8">
        <f>$P$11+(-1)*$M$11/2</f>
        <v/>
      </c>
      <c r="N327" s="8">
        <f>L327-$B$7/2</f>
        <v/>
      </c>
      <c r="O327" s="8">
        <f>M327-$B$8/2</f>
        <v/>
      </c>
      <c r="P327" s="8">
        <f>SQRT(N327^2+O327^2)</f>
        <v/>
      </c>
      <c r="Q327" s="8">
        <f>IF(OR($H$7&lt;&gt;"OK",P327=""),"",IF(P327&lt;=$D$19,$A$19,IF(P327&gt;=INDEX($D$19:$D$2018,$H$6),INDEX($A$19:$A$2018,$H$6),INDEX($A$19:$A$2018,MATCH(P327,$D$19:INDEX($D$19:$D$2018,$H$6),1))+(P327-INDEX($D$19:$D$2018,MATCH(P327,$D$19:INDEX($D$19:$D$2018,$H$6),1)))*(INDEX($A$19:$A$2018,MATCH(P327,$D$19:INDEX($D$19:$D$2018,$H$6),1)+1)-INDEX($A$19:$A$2018,MATCH(P327,$D$19:INDEX($D$19:$D$2018,$H$6),1)))/(INDEX($D$19:$D$2018,MATCH(P327,$D$19:INDEX($D$19:$D$2018,$H$6),1)+1)-INDEX($D$19:$D$2018,MATCH(P327,$D$19:INDEX($D$19:$D$2018,$H$6),1))))))</f>
        <v/>
      </c>
      <c r="R327" s="8">
        <f>IF(P327=0,0,-Y327*N327/P327)</f>
        <v/>
      </c>
      <c r="S327" s="8">
        <f>IF(P327=0,0,Y327*O327/P327)</f>
        <v/>
      </c>
      <c r="T327" s="8">
        <f>IF(Y327=0,$B$7/2,$B$7/2-Z327*R327/Y327)</f>
        <v/>
      </c>
      <c r="U327" s="8">
        <f>IF(Y327=0,$B$8/2,$B$8/2+Z327*S327/Y327)</f>
        <v/>
      </c>
      <c r="V327" s="8">
        <f>SQRT((T327-L327)^2+(U327-M327)^2)</f>
        <v/>
      </c>
      <c r="Y327">
        <f>$B$10*TAN(RADIANS(Q327))</f>
        <v/>
      </c>
      <c r="Z327">
        <f>IF(OR($H$7&lt;&gt;"OK",Q327=""),"",IF(Q327&lt;=$A$19,$D$19,IF(Q327&gt;=INDEX($A$19:$A$2018,$H$6),INDEX($D$19:$D$2018,$H$6),INDEX($D$19:$D$2018,MATCH(Q327,$A$19:INDEX($A$19:$A$2018,$H$6),1))+(Q327-INDEX($A$19:$A$2018,MATCH(Q327,$A$19:INDEX($A$19:$A$2018,$H$6),1)))*(INDEX($D$19:$D$2018,MATCH(Q327,$A$19:INDEX($A$19:$A$2018,$H$6),1)+1)-INDEX($D$19:$D$2018,MATCH(Q327,$A$19:INDEX($A$19:$A$2018,$H$6),1)))/(INDEX($A$19:$A$2018,MATCH(Q327,$A$19:INDEX($A$19:$A$2018,$H$6),1)+1)-INDEX($A$19:$A$2018,MATCH(Q327,$A$19:INDEX($A$19:$A$2018,$H$6),1))))))</f>
        <v/>
      </c>
    </row>
    <row r="328">
      <c r="A328" s="11" t="n"/>
      <c r="B328" s="11" t="n"/>
      <c r="C328" s="12">
        <f>IF(A328="","",$B$9*TAN(RADIANS(A328)))</f>
        <v/>
      </c>
      <c r="D328" s="12">
        <f>IF(C328="","",C328*(1+B328/100))</f>
        <v/>
      </c>
      <c r="E328" s="12">
        <f>IF(A328="","",$B$10*TAN(RADIANS(A328)))</f>
        <v/>
      </c>
      <c r="G328" s="8" t="n">
        <v>310</v>
      </c>
      <c r="H328" s="8">
        <f>$K$11</f>
        <v/>
      </c>
      <c r="I328" s="7" t="inlineStr">
        <is>
          <t>豎</t>
        </is>
      </c>
      <c r="J328" s="8" t="n">
        <v>3</v>
      </c>
      <c r="K328" s="7" t="inlineStr">
        <is>
          <t>右上</t>
        </is>
      </c>
      <c r="L328" s="8">
        <f>$O$11+($M$11+$L$11)/2-$M$11/2+$L$11/2+2*2*$L$11+(1)*$L$11/2</f>
        <v/>
      </c>
      <c r="M328" s="8">
        <f>$P$11+(-1)*$M$11/2</f>
        <v/>
      </c>
      <c r="N328" s="8">
        <f>L328-$B$7/2</f>
        <v/>
      </c>
      <c r="O328" s="8">
        <f>M328-$B$8/2</f>
        <v/>
      </c>
      <c r="P328" s="8">
        <f>SQRT(N328^2+O328^2)</f>
        <v/>
      </c>
      <c r="Q328" s="8">
        <f>IF(OR($H$7&lt;&gt;"OK",P328=""),"",IF(P328&lt;=$D$19,$A$19,IF(P328&gt;=INDEX($D$19:$D$2018,$H$6),INDEX($A$19:$A$2018,$H$6),INDEX($A$19:$A$2018,MATCH(P328,$D$19:INDEX($D$19:$D$2018,$H$6),1))+(P328-INDEX($D$19:$D$2018,MATCH(P328,$D$19:INDEX($D$19:$D$2018,$H$6),1)))*(INDEX($A$19:$A$2018,MATCH(P328,$D$19:INDEX($D$19:$D$2018,$H$6),1)+1)-INDEX($A$19:$A$2018,MATCH(P328,$D$19:INDEX($D$19:$D$2018,$H$6),1)))/(INDEX($D$19:$D$2018,MATCH(P328,$D$19:INDEX($D$19:$D$2018,$H$6),1)+1)-INDEX($D$19:$D$2018,MATCH(P328,$D$19:INDEX($D$19:$D$2018,$H$6),1))))))</f>
        <v/>
      </c>
      <c r="R328" s="8">
        <f>IF(P328=0,0,-Y328*N328/P328)</f>
        <v/>
      </c>
      <c r="S328" s="8">
        <f>IF(P328=0,0,Y328*O328/P328)</f>
        <v/>
      </c>
      <c r="T328" s="8">
        <f>IF(Y328=0,$B$7/2,$B$7/2-Z328*R328/Y328)</f>
        <v/>
      </c>
      <c r="U328" s="8">
        <f>IF(Y328=0,$B$8/2,$B$8/2+Z328*S328/Y328)</f>
        <v/>
      </c>
      <c r="V328" s="8">
        <f>SQRT((T328-L328)^2+(U328-M328)^2)</f>
        <v/>
      </c>
      <c r="Y328">
        <f>$B$10*TAN(RADIANS(Q328))</f>
        <v/>
      </c>
      <c r="Z328">
        <f>IF(OR($H$7&lt;&gt;"OK",Q328=""),"",IF(Q328&lt;=$A$19,$D$19,IF(Q328&gt;=INDEX($A$19:$A$2018,$H$6),INDEX($D$19:$D$2018,$H$6),INDEX($D$19:$D$2018,MATCH(Q328,$A$19:INDEX($A$19:$A$2018,$H$6),1))+(Q328-INDEX($A$19:$A$2018,MATCH(Q328,$A$19:INDEX($A$19:$A$2018,$H$6),1)))*(INDEX($D$19:$D$2018,MATCH(Q328,$A$19:INDEX($A$19:$A$2018,$H$6),1)+1)-INDEX($D$19:$D$2018,MATCH(Q328,$A$19:INDEX($A$19:$A$2018,$H$6),1)))/(INDEX($A$19:$A$2018,MATCH(Q328,$A$19:INDEX($A$19:$A$2018,$H$6),1)+1)-INDEX($A$19:$A$2018,MATCH(Q328,$A$19:INDEX($A$19:$A$2018,$H$6),1))))))</f>
        <v/>
      </c>
    </row>
    <row r="329">
      <c r="A329" s="11" t="n"/>
      <c r="B329" s="11" t="n"/>
      <c r="C329" s="12">
        <f>IF(A329="","",$B$9*TAN(RADIANS(A329)))</f>
        <v/>
      </c>
      <c r="D329" s="12">
        <f>IF(C329="","",C329*(1+B329/100))</f>
        <v/>
      </c>
      <c r="E329" s="12">
        <f>IF(A329="","",$B$10*TAN(RADIANS(A329)))</f>
        <v/>
      </c>
      <c r="G329" s="8" t="n">
        <v>311</v>
      </c>
      <c r="H329" s="8">
        <f>$K$11</f>
        <v/>
      </c>
      <c r="I329" s="7" t="inlineStr">
        <is>
          <t>豎</t>
        </is>
      </c>
      <c r="J329" s="8" t="n">
        <v>3</v>
      </c>
      <c r="K329" s="7" t="inlineStr">
        <is>
          <t>右下</t>
        </is>
      </c>
      <c r="L329" s="8">
        <f>$O$11+($M$11+$L$11)/2-$M$11/2+$L$11/2+2*2*$L$11+(1)*$L$11/2</f>
        <v/>
      </c>
      <c r="M329" s="8">
        <f>$P$11+(1)*$M$11/2</f>
        <v/>
      </c>
      <c r="N329" s="8">
        <f>L329-$B$7/2</f>
        <v/>
      </c>
      <c r="O329" s="8">
        <f>M329-$B$8/2</f>
        <v/>
      </c>
      <c r="P329" s="8">
        <f>SQRT(N329^2+O329^2)</f>
        <v/>
      </c>
      <c r="Q329" s="8">
        <f>IF(OR($H$7&lt;&gt;"OK",P329=""),"",IF(P329&lt;=$D$19,$A$19,IF(P329&gt;=INDEX($D$19:$D$2018,$H$6),INDEX($A$19:$A$2018,$H$6),INDEX($A$19:$A$2018,MATCH(P329,$D$19:INDEX($D$19:$D$2018,$H$6),1))+(P329-INDEX($D$19:$D$2018,MATCH(P329,$D$19:INDEX($D$19:$D$2018,$H$6),1)))*(INDEX($A$19:$A$2018,MATCH(P329,$D$19:INDEX($D$19:$D$2018,$H$6),1)+1)-INDEX($A$19:$A$2018,MATCH(P329,$D$19:INDEX($D$19:$D$2018,$H$6),1)))/(INDEX($D$19:$D$2018,MATCH(P329,$D$19:INDEX($D$19:$D$2018,$H$6),1)+1)-INDEX($D$19:$D$2018,MATCH(P329,$D$19:INDEX($D$19:$D$2018,$H$6),1))))))</f>
        <v/>
      </c>
      <c r="R329" s="8">
        <f>IF(P329=0,0,-Y329*N329/P329)</f>
        <v/>
      </c>
      <c r="S329" s="8">
        <f>IF(P329=0,0,Y329*O329/P329)</f>
        <v/>
      </c>
      <c r="T329" s="8">
        <f>IF(Y329=0,$B$7/2,$B$7/2-Z329*R329/Y329)</f>
        <v/>
      </c>
      <c r="U329" s="8">
        <f>IF(Y329=0,$B$8/2,$B$8/2+Z329*S329/Y329)</f>
        <v/>
      </c>
      <c r="V329" s="8">
        <f>SQRT((T329-L329)^2+(U329-M329)^2)</f>
        <v/>
      </c>
      <c r="Y329">
        <f>$B$10*TAN(RADIANS(Q329))</f>
        <v/>
      </c>
      <c r="Z329">
        <f>IF(OR($H$7&lt;&gt;"OK",Q329=""),"",IF(Q329&lt;=$A$19,$D$19,IF(Q329&gt;=INDEX($A$19:$A$2018,$H$6),INDEX($D$19:$D$2018,$H$6),INDEX($D$19:$D$2018,MATCH(Q329,$A$19:INDEX($A$19:$A$2018,$H$6),1))+(Q329-INDEX($A$19:$A$2018,MATCH(Q329,$A$19:INDEX($A$19:$A$2018,$H$6),1)))*(INDEX($D$19:$D$2018,MATCH(Q329,$A$19:INDEX($A$19:$A$2018,$H$6),1)+1)-INDEX($D$19:$D$2018,MATCH(Q329,$A$19:INDEX($A$19:$A$2018,$H$6),1)))/(INDEX($A$19:$A$2018,MATCH(Q329,$A$19:INDEX($A$19:$A$2018,$H$6),1)+1)-INDEX($A$19:$A$2018,MATCH(Q329,$A$19:INDEX($A$19:$A$2018,$H$6),1))))))</f>
        <v/>
      </c>
    </row>
    <row r="330">
      <c r="A330" s="11" t="n"/>
      <c r="B330" s="11" t="n"/>
      <c r="C330" s="12">
        <f>IF(A330="","",$B$9*TAN(RADIANS(A330)))</f>
        <v/>
      </c>
      <c r="D330" s="12">
        <f>IF(C330="","",C330*(1+B330/100))</f>
        <v/>
      </c>
      <c r="E330" s="12">
        <f>IF(A330="","",$B$10*TAN(RADIANS(A330)))</f>
        <v/>
      </c>
      <c r="G330" s="8" t="n">
        <v>312</v>
      </c>
      <c r="H330" s="8">
        <f>$K$11</f>
        <v/>
      </c>
      <c r="I330" s="7" t="inlineStr">
        <is>
          <t>豎</t>
        </is>
      </c>
      <c r="J330" s="8" t="n">
        <v>3</v>
      </c>
      <c r="K330" s="7" t="inlineStr">
        <is>
          <t>左下</t>
        </is>
      </c>
      <c r="L330" s="8">
        <f>$O$11+($M$11+$L$11)/2-$M$11/2+$L$11/2+2*2*$L$11+(-1)*$L$11/2</f>
        <v/>
      </c>
      <c r="M330" s="8">
        <f>$P$11+(1)*$M$11/2</f>
        <v/>
      </c>
      <c r="N330" s="8">
        <f>L330-$B$7/2</f>
        <v/>
      </c>
      <c r="O330" s="8">
        <f>M330-$B$8/2</f>
        <v/>
      </c>
      <c r="P330" s="8">
        <f>SQRT(N330^2+O330^2)</f>
        <v/>
      </c>
      <c r="Q330" s="8">
        <f>IF(OR($H$7&lt;&gt;"OK",P330=""),"",IF(P330&lt;=$D$19,$A$19,IF(P330&gt;=INDEX($D$19:$D$2018,$H$6),INDEX($A$19:$A$2018,$H$6),INDEX($A$19:$A$2018,MATCH(P330,$D$19:INDEX($D$19:$D$2018,$H$6),1))+(P330-INDEX($D$19:$D$2018,MATCH(P330,$D$19:INDEX($D$19:$D$2018,$H$6),1)))*(INDEX($A$19:$A$2018,MATCH(P330,$D$19:INDEX($D$19:$D$2018,$H$6),1)+1)-INDEX($A$19:$A$2018,MATCH(P330,$D$19:INDEX($D$19:$D$2018,$H$6),1)))/(INDEX($D$19:$D$2018,MATCH(P330,$D$19:INDEX($D$19:$D$2018,$H$6),1)+1)-INDEX($D$19:$D$2018,MATCH(P330,$D$19:INDEX($D$19:$D$2018,$H$6),1))))))</f>
        <v/>
      </c>
      <c r="R330" s="8">
        <f>IF(P330=0,0,-Y330*N330/P330)</f>
        <v/>
      </c>
      <c r="S330" s="8">
        <f>IF(P330=0,0,Y330*O330/P330)</f>
        <v/>
      </c>
      <c r="T330" s="8">
        <f>IF(Y330=0,$B$7/2,$B$7/2-Z330*R330/Y330)</f>
        <v/>
      </c>
      <c r="U330" s="8">
        <f>IF(Y330=0,$B$8/2,$B$8/2+Z330*S330/Y330)</f>
        <v/>
      </c>
      <c r="V330" s="8">
        <f>SQRT((T330-L330)^2+(U330-M330)^2)</f>
        <v/>
      </c>
      <c r="Y330">
        <f>$B$10*TAN(RADIANS(Q330))</f>
        <v/>
      </c>
      <c r="Z330">
        <f>IF(OR($H$7&lt;&gt;"OK",Q330=""),"",IF(Q330&lt;=$A$19,$D$19,IF(Q330&gt;=INDEX($A$19:$A$2018,$H$6),INDEX($D$19:$D$2018,$H$6),INDEX($D$19:$D$2018,MATCH(Q330,$A$19:INDEX($A$19:$A$2018,$H$6),1))+(Q330-INDEX($A$19:$A$2018,MATCH(Q330,$A$19:INDEX($A$19:$A$2018,$H$6),1)))*(INDEX($D$19:$D$2018,MATCH(Q330,$A$19:INDEX($A$19:$A$2018,$H$6),1)+1)-INDEX($D$19:$D$2018,MATCH(Q330,$A$19:INDEX($A$19:$A$2018,$H$6),1)))/(INDEX($A$19:$A$2018,MATCH(Q330,$A$19:INDEX($A$19:$A$2018,$H$6),1)+1)-INDEX($A$19:$A$2018,MATCH(Q330,$A$19:INDEX($A$19:$A$2018,$H$6),1))))))</f>
        <v/>
      </c>
    </row>
    <row r="331">
      <c r="A331" s="11" t="n"/>
      <c r="B331" s="11" t="n"/>
      <c r="C331" s="12">
        <f>IF(A331="","",$B$9*TAN(RADIANS(A331)))</f>
        <v/>
      </c>
      <c r="D331" s="12">
        <f>IF(C331="","",C331*(1+B331/100))</f>
        <v/>
      </c>
      <c r="E331" s="12">
        <f>IF(A331="","",$B$10*TAN(RADIANS(A331)))</f>
        <v/>
      </c>
      <c r="G331" s="8" t="n">
        <v>313</v>
      </c>
      <c r="H331" s="8">
        <f>$K$11</f>
        <v/>
      </c>
      <c r="I331" s="7" t="inlineStr">
        <is>
          <t>豎</t>
        </is>
      </c>
      <c r="J331" s="8" t="n">
        <v>4</v>
      </c>
      <c r="K331" s="7" t="inlineStr">
        <is>
          <t>左上</t>
        </is>
      </c>
      <c r="L331" s="8">
        <f>$O$11+($M$11+$L$11)/2-$M$11/2+$L$11/2+3*2*$L$11+(-1)*$L$11/2</f>
        <v/>
      </c>
      <c r="M331" s="8">
        <f>$P$11+(-1)*$M$11/2</f>
        <v/>
      </c>
      <c r="N331" s="8">
        <f>L331-$B$7/2</f>
        <v/>
      </c>
      <c r="O331" s="8">
        <f>M331-$B$8/2</f>
        <v/>
      </c>
      <c r="P331" s="8">
        <f>SQRT(N331^2+O331^2)</f>
        <v/>
      </c>
      <c r="Q331" s="8">
        <f>IF(OR($H$7&lt;&gt;"OK",P331=""),"",IF(P331&lt;=$D$19,$A$19,IF(P331&gt;=INDEX($D$19:$D$2018,$H$6),INDEX($A$19:$A$2018,$H$6),INDEX($A$19:$A$2018,MATCH(P331,$D$19:INDEX($D$19:$D$2018,$H$6),1))+(P331-INDEX($D$19:$D$2018,MATCH(P331,$D$19:INDEX($D$19:$D$2018,$H$6),1)))*(INDEX($A$19:$A$2018,MATCH(P331,$D$19:INDEX($D$19:$D$2018,$H$6),1)+1)-INDEX($A$19:$A$2018,MATCH(P331,$D$19:INDEX($D$19:$D$2018,$H$6),1)))/(INDEX($D$19:$D$2018,MATCH(P331,$D$19:INDEX($D$19:$D$2018,$H$6),1)+1)-INDEX($D$19:$D$2018,MATCH(P331,$D$19:INDEX($D$19:$D$2018,$H$6),1))))))</f>
        <v/>
      </c>
      <c r="R331" s="8">
        <f>IF(P331=0,0,-Y331*N331/P331)</f>
        <v/>
      </c>
      <c r="S331" s="8">
        <f>IF(P331=0,0,Y331*O331/P331)</f>
        <v/>
      </c>
      <c r="T331" s="8">
        <f>IF(Y331=0,$B$7/2,$B$7/2-Z331*R331/Y331)</f>
        <v/>
      </c>
      <c r="U331" s="8">
        <f>IF(Y331=0,$B$8/2,$B$8/2+Z331*S331/Y331)</f>
        <v/>
      </c>
      <c r="V331" s="8">
        <f>SQRT((T331-L331)^2+(U331-M331)^2)</f>
        <v/>
      </c>
      <c r="Y331">
        <f>$B$10*TAN(RADIANS(Q331))</f>
        <v/>
      </c>
      <c r="Z331">
        <f>IF(OR($H$7&lt;&gt;"OK",Q331=""),"",IF(Q331&lt;=$A$19,$D$19,IF(Q331&gt;=INDEX($A$19:$A$2018,$H$6),INDEX($D$19:$D$2018,$H$6),INDEX($D$19:$D$2018,MATCH(Q331,$A$19:INDEX($A$19:$A$2018,$H$6),1))+(Q331-INDEX($A$19:$A$2018,MATCH(Q331,$A$19:INDEX($A$19:$A$2018,$H$6),1)))*(INDEX($D$19:$D$2018,MATCH(Q331,$A$19:INDEX($A$19:$A$2018,$H$6),1)+1)-INDEX($D$19:$D$2018,MATCH(Q331,$A$19:INDEX($A$19:$A$2018,$H$6),1)))/(INDEX($A$19:$A$2018,MATCH(Q331,$A$19:INDEX($A$19:$A$2018,$H$6),1)+1)-INDEX($A$19:$A$2018,MATCH(Q331,$A$19:INDEX($A$19:$A$2018,$H$6),1))))))</f>
        <v/>
      </c>
    </row>
    <row r="332">
      <c r="A332" s="11" t="n"/>
      <c r="B332" s="11" t="n"/>
      <c r="C332" s="12">
        <f>IF(A332="","",$B$9*TAN(RADIANS(A332)))</f>
        <v/>
      </c>
      <c r="D332" s="12">
        <f>IF(C332="","",C332*(1+B332/100))</f>
        <v/>
      </c>
      <c r="E332" s="12">
        <f>IF(A332="","",$B$10*TAN(RADIANS(A332)))</f>
        <v/>
      </c>
      <c r="G332" s="8" t="n">
        <v>314</v>
      </c>
      <c r="H332" s="8">
        <f>$K$11</f>
        <v/>
      </c>
      <c r="I332" s="7" t="inlineStr">
        <is>
          <t>豎</t>
        </is>
      </c>
      <c r="J332" s="8" t="n">
        <v>4</v>
      </c>
      <c r="K332" s="7" t="inlineStr">
        <is>
          <t>右上</t>
        </is>
      </c>
      <c r="L332" s="8">
        <f>$O$11+($M$11+$L$11)/2-$M$11/2+$L$11/2+3*2*$L$11+(1)*$L$11/2</f>
        <v/>
      </c>
      <c r="M332" s="8">
        <f>$P$11+(-1)*$M$11/2</f>
        <v/>
      </c>
      <c r="N332" s="8">
        <f>L332-$B$7/2</f>
        <v/>
      </c>
      <c r="O332" s="8">
        <f>M332-$B$8/2</f>
        <v/>
      </c>
      <c r="P332" s="8">
        <f>SQRT(N332^2+O332^2)</f>
        <v/>
      </c>
      <c r="Q332" s="8">
        <f>IF(OR($H$7&lt;&gt;"OK",P332=""),"",IF(P332&lt;=$D$19,$A$19,IF(P332&gt;=INDEX($D$19:$D$2018,$H$6),INDEX($A$19:$A$2018,$H$6),INDEX($A$19:$A$2018,MATCH(P332,$D$19:INDEX($D$19:$D$2018,$H$6),1))+(P332-INDEX($D$19:$D$2018,MATCH(P332,$D$19:INDEX($D$19:$D$2018,$H$6),1)))*(INDEX($A$19:$A$2018,MATCH(P332,$D$19:INDEX($D$19:$D$2018,$H$6),1)+1)-INDEX($A$19:$A$2018,MATCH(P332,$D$19:INDEX($D$19:$D$2018,$H$6),1)))/(INDEX($D$19:$D$2018,MATCH(P332,$D$19:INDEX($D$19:$D$2018,$H$6),1)+1)-INDEX($D$19:$D$2018,MATCH(P332,$D$19:INDEX($D$19:$D$2018,$H$6),1))))))</f>
        <v/>
      </c>
      <c r="R332" s="8">
        <f>IF(P332=0,0,-Y332*N332/P332)</f>
        <v/>
      </c>
      <c r="S332" s="8">
        <f>IF(P332=0,0,Y332*O332/P332)</f>
        <v/>
      </c>
      <c r="T332" s="8">
        <f>IF(Y332=0,$B$7/2,$B$7/2-Z332*R332/Y332)</f>
        <v/>
      </c>
      <c r="U332" s="8">
        <f>IF(Y332=0,$B$8/2,$B$8/2+Z332*S332/Y332)</f>
        <v/>
      </c>
      <c r="V332" s="8">
        <f>SQRT((T332-L332)^2+(U332-M332)^2)</f>
        <v/>
      </c>
      <c r="Y332">
        <f>$B$10*TAN(RADIANS(Q332))</f>
        <v/>
      </c>
      <c r="Z332">
        <f>IF(OR($H$7&lt;&gt;"OK",Q332=""),"",IF(Q332&lt;=$A$19,$D$19,IF(Q332&gt;=INDEX($A$19:$A$2018,$H$6),INDEX($D$19:$D$2018,$H$6),INDEX($D$19:$D$2018,MATCH(Q332,$A$19:INDEX($A$19:$A$2018,$H$6),1))+(Q332-INDEX($A$19:$A$2018,MATCH(Q332,$A$19:INDEX($A$19:$A$2018,$H$6),1)))*(INDEX($D$19:$D$2018,MATCH(Q332,$A$19:INDEX($A$19:$A$2018,$H$6),1)+1)-INDEX($D$19:$D$2018,MATCH(Q332,$A$19:INDEX($A$19:$A$2018,$H$6),1)))/(INDEX($A$19:$A$2018,MATCH(Q332,$A$19:INDEX($A$19:$A$2018,$H$6),1)+1)-INDEX($A$19:$A$2018,MATCH(Q332,$A$19:INDEX($A$19:$A$2018,$H$6),1))))))</f>
        <v/>
      </c>
    </row>
    <row r="333">
      <c r="A333" s="11" t="n"/>
      <c r="B333" s="11" t="n"/>
      <c r="C333" s="12">
        <f>IF(A333="","",$B$9*TAN(RADIANS(A333)))</f>
        <v/>
      </c>
      <c r="D333" s="12">
        <f>IF(C333="","",C333*(1+B333/100))</f>
        <v/>
      </c>
      <c r="E333" s="12">
        <f>IF(A333="","",$B$10*TAN(RADIANS(A333)))</f>
        <v/>
      </c>
      <c r="G333" s="8" t="n">
        <v>315</v>
      </c>
      <c r="H333" s="8">
        <f>$K$11</f>
        <v/>
      </c>
      <c r="I333" s="7" t="inlineStr">
        <is>
          <t>豎</t>
        </is>
      </c>
      <c r="J333" s="8" t="n">
        <v>4</v>
      </c>
      <c r="K333" s="7" t="inlineStr">
        <is>
          <t>右下</t>
        </is>
      </c>
      <c r="L333" s="8">
        <f>$O$11+($M$11+$L$11)/2-$M$11/2+$L$11/2+3*2*$L$11+(1)*$L$11/2</f>
        <v/>
      </c>
      <c r="M333" s="8">
        <f>$P$11+(1)*$M$11/2</f>
        <v/>
      </c>
      <c r="N333" s="8">
        <f>L333-$B$7/2</f>
        <v/>
      </c>
      <c r="O333" s="8">
        <f>M333-$B$8/2</f>
        <v/>
      </c>
      <c r="P333" s="8">
        <f>SQRT(N333^2+O333^2)</f>
        <v/>
      </c>
      <c r="Q333" s="8">
        <f>IF(OR($H$7&lt;&gt;"OK",P333=""),"",IF(P333&lt;=$D$19,$A$19,IF(P333&gt;=INDEX($D$19:$D$2018,$H$6),INDEX($A$19:$A$2018,$H$6),INDEX($A$19:$A$2018,MATCH(P333,$D$19:INDEX($D$19:$D$2018,$H$6),1))+(P333-INDEX($D$19:$D$2018,MATCH(P333,$D$19:INDEX($D$19:$D$2018,$H$6),1)))*(INDEX($A$19:$A$2018,MATCH(P333,$D$19:INDEX($D$19:$D$2018,$H$6),1)+1)-INDEX($A$19:$A$2018,MATCH(P333,$D$19:INDEX($D$19:$D$2018,$H$6),1)))/(INDEX($D$19:$D$2018,MATCH(P333,$D$19:INDEX($D$19:$D$2018,$H$6),1)+1)-INDEX($D$19:$D$2018,MATCH(P333,$D$19:INDEX($D$19:$D$2018,$H$6),1))))))</f>
        <v/>
      </c>
      <c r="R333" s="8">
        <f>IF(P333=0,0,-Y333*N333/P333)</f>
        <v/>
      </c>
      <c r="S333" s="8">
        <f>IF(P333=0,0,Y333*O333/P333)</f>
        <v/>
      </c>
      <c r="T333" s="8">
        <f>IF(Y333=0,$B$7/2,$B$7/2-Z333*R333/Y333)</f>
        <v/>
      </c>
      <c r="U333" s="8">
        <f>IF(Y333=0,$B$8/2,$B$8/2+Z333*S333/Y333)</f>
        <v/>
      </c>
      <c r="V333" s="8">
        <f>SQRT((T333-L333)^2+(U333-M333)^2)</f>
        <v/>
      </c>
      <c r="Y333">
        <f>$B$10*TAN(RADIANS(Q333))</f>
        <v/>
      </c>
      <c r="Z333">
        <f>IF(OR($H$7&lt;&gt;"OK",Q333=""),"",IF(Q333&lt;=$A$19,$D$19,IF(Q333&gt;=INDEX($A$19:$A$2018,$H$6),INDEX($D$19:$D$2018,$H$6),INDEX($D$19:$D$2018,MATCH(Q333,$A$19:INDEX($A$19:$A$2018,$H$6),1))+(Q333-INDEX($A$19:$A$2018,MATCH(Q333,$A$19:INDEX($A$19:$A$2018,$H$6),1)))*(INDEX($D$19:$D$2018,MATCH(Q333,$A$19:INDEX($A$19:$A$2018,$H$6),1)+1)-INDEX($D$19:$D$2018,MATCH(Q333,$A$19:INDEX($A$19:$A$2018,$H$6),1)))/(INDEX($A$19:$A$2018,MATCH(Q333,$A$19:INDEX($A$19:$A$2018,$H$6),1)+1)-INDEX($A$19:$A$2018,MATCH(Q333,$A$19:INDEX($A$19:$A$2018,$H$6),1))))))</f>
        <v/>
      </c>
    </row>
    <row r="334">
      <c r="A334" s="11" t="n"/>
      <c r="B334" s="11" t="n"/>
      <c r="C334" s="12">
        <f>IF(A334="","",$B$9*TAN(RADIANS(A334)))</f>
        <v/>
      </c>
      <c r="D334" s="12">
        <f>IF(C334="","",C334*(1+B334/100))</f>
        <v/>
      </c>
      <c r="E334" s="12">
        <f>IF(A334="","",$B$10*TAN(RADIANS(A334)))</f>
        <v/>
      </c>
      <c r="G334" s="8" t="n">
        <v>316</v>
      </c>
      <c r="H334" s="8">
        <f>$K$11</f>
        <v/>
      </c>
      <c r="I334" s="7" t="inlineStr">
        <is>
          <t>豎</t>
        </is>
      </c>
      <c r="J334" s="8" t="n">
        <v>4</v>
      </c>
      <c r="K334" s="7" t="inlineStr">
        <is>
          <t>左下</t>
        </is>
      </c>
      <c r="L334" s="8">
        <f>$O$11+($M$11+$L$11)/2-$M$11/2+$L$11/2+3*2*$L$11+(-1)*$L$11/2</f>
        <v/>
      </c>
      <c r="M334" s="8">
        <f>$P$11+(1)*$M$11/2</f>
        <v/>
      </c>
      <c r="N334" s="8">
        <f>L334-$B$7/2</f>
        <v/>
      </c>
      <c r="O334" s="8">
        <f>M334-$B$8/2</f>
        <v/>
      </c>
      <c r="P334" s="8">
        <f>SQRT(N334^2+O334^2)</f>
        <v/>
      </c>
      <c r="Q334" s="8">
        <f>IF(OR($H$7&lt;&gt;"OK",P334=""),"",IF(P334&lt;=$D$19,$A$19,IF(P334&gt;=INDEX($D$19:$D$2018,$H$6),INDEX($A$19:$A$2018,$H$6),INDEX($A$19:$A$2018,MATCH(P334,$D$19:INDEX($D$19:$D$2018,$H$6),1))+(P334-INDEX($D$19:$D$2018,MATCH(P334,$D$19:INDEX($D$19:$D$2018,$H$6),1)))*(INDEX($A$19:$A$2018,MATCH(P334,$D$19:INDEX($D$19:$D$2018,$H$6),1)+1)-INDEX($A$19:$A$2018,MATCH(P334,$D$19:INDEX($D$19:$D$2018,$H$6),1)))/(INDEX($D$19:$D$2018,MATCH(P334,$D$19:INDEX($D$19:$D$2018,$H$6),1)+1)-INDEX($D$19:$D$2018,MATCH(P334,$D$19:INDEX($D$19:$D$2018,$H$6),1))))))</f>
        <v/>
      </c>
      <c r="R334" s="8">
        <f>IF(P334=0,0,-Y334*N334/P334)</f>
        <v/>
      </c>
      <c r="S334" s="8">
        <f>IF(P334=0,0,Y334*O334/P334)</f>
        <v/>
      </c>
      <c r="T334" s="8">
        <f>IF(Y334=0,$B$7/2,$B$7/2-Z334*R334/Y334)</f>
        <v/>
      </c>
      <c r="U334" s="8">
        <f>IF(Y334=0,$B$8/2,$B$8/2+Z334*S334/Y334)</f>
        <v/>
      </c>
      <c r="V334" s="8">
        <f>SQRT((T334-L334)^2+(U334-M334)^2)</f>
        <v/>
      </c>
      <c r="Y334">
        <f>$B$10*TAN(RADIANS(Q334))</f>
        <v/>
      </c>
      <c r="Z334">
        <f>IF(OR($H$7&lt;&gt;"OK",Q334=""),"",IF(Q334&lt;=$A$19,$D$19,IF(Q334&gt;=INDEX($A$19:$A$2018,$H$6),INDEX($D$19:$D$2018,$H$6),INDEX($D$19:$D$2018,MATCH(Q334,$A$19:INDEX($A$19:$A$2018,$H$6),1))+(Q334-INDEX($A$19:$A$2018,MATCH(Q334,$A$19:INDEX($A$19:$A$2018,$H$6),1)))*(INDEX($D$19:$D$2018,MATCH(Q334,$A$19:INDEX($A$19:$A$2018,$H$6),1)+1)-INDEX($D$19:$D$2018,MATCH(Q334,$A$19:INDEX($A$19:$A$2018,$H$6),1)))/(INDEX($A$19:$A$2018,MATCH(Q334,$A$19:INDEX($A$19:$A$2018,$H$6),1)+1)-INDEX($A$19:$A$2018,MATCH(Q334,$A$19:INDEX($A$19:$A$2018,$H$6),1))))))</f>
        <v/>
      </c>
    </row>
    <row r="335">
      <c r="A335" s="11" t="n"/>
      <c r="B335" s="11" t="n"/>
      <c r="C335" s="12">
        <f>IF(A335="","",$B$9*TAN(RADIANS(A335)))</f>
        <v/>
      </c>
      <c r="D335" s="12">
        <f>IF(C335="","",C335*(1+B335/100))</f>
        <v/>
      </c>
      <c r="E335" s="12">
        <f>IF(A335="","",$B$10*TAN(RADIANS(A335)))</f>
        <v/>
      </c>
      <c r="G335" s="8" t="n">
        <v>317</v>
      </c>
      <c r="H335" s="8">
        <f>$K$11</f>
        <v/>
      </c>
      <c r="I335" s="7" t="inlineStr">
        <is>
          <t>豎</t>
        </is>
      </c>
      <c r="J335" s="8" t="n">
        <v>5</v>
      </c>
      <c r="K335" s="7" t="inlineStr">
        <is>
          <t>左上</t>
        </is>
      </c>
      <c r="L335" s="8">
        <f>$O$11+($M$11+$L$11)/2-$M$11/2+$L$11/2+4*2*$L$11+(-1)*$L$11/2</f>
        <v/>
      </c>
      <c r="M335" s="8">
        <f>$P$11+(-1)*$M$11/2</f>
        <v/>
      </c>
      <c r="N335" s="8">
        <f>L335-$B$7/2</f>
        <v/>
      </c>
      <c r="O335" s="8">
        <f>M335-$B$8/2</f>
        <v/>
      </c>
      <c r="P335" s="8">
        <f>SQRT(N335^2+O335^2)</f>
        <v/>
      </c>
      <c r="Q335" s="8">
        <f>IF(OR($H$7&lt;&gt;"OK",P335=""),"",IF(P335&lt;=$D$19,$A$19,IF(P335&gt;=INDEX($D$19:$D$2018,$H$6),INDEX($A$19:$A$2018,$H$6),INDEX($A$19:$A$2018,MATCH(P335,$D$19:INDEX($D$19:$D$2018,$H$6),1))+(P335-INDEX($D$19:$D$2018,MATCH(P335,$D$19:INDEX($D$19:$D$2018,$H$6),1)))*(INDEX($A$19:$A$2018,MATCH(P335,$D$19:INDEX($D$19:$D$2018,$H$6),1)+1)-INDEX($A$19:$A$2018,MATCH(P335,$D$19:INDEX($D$19:$D$2018,$H$6),1)))/(INDEX($D$19:$D$2018,MATCH(P335,$D$19:INDEX($D$19:$D$2018,$H$6),1)+1)-INDEX($D$19:$D$2018,MATCH(P335,$D$19:INDEX($D$19:$D$2018,$H$6),1))))))</f>
        <v/>
      </c>
      <c r="R335" s="8">
        <f>IF(P335=0,0,-Y335*N335/P335)</f>
        <v/>
      </c>
      <c r="S335" s="8">
        <f>IF(P335=0,0,Y335*O335/P335)</f>
        <v/>
      </c>
      <c r="T335" s="8">
        <f>IF(Y335=0,$B$7/2,$B$7/2-Z335*R335/Y335)</f>
        <v/>
      </c>
      <c r="U335" s="8">
        <f>IF(Y335=0,$B$8/2,$B$8/2+Z335*S335/Y335)</f>
        <v/>
      </c>
      <c r="V335" s="8">
        <f>SQRT((T335-L335)^2+(U335-M335)^2)</f>
        <v/>
      </c>
      <c r="Y335">
        <f>$B$10*TAN(RADIANS(Q335))</f>
        <v/>
      </c>
      <c r="Z335">
        <f>IF(OR($H$7&lt;&gt;"OK",Q335=""),"",IF(Q335&lt;=$A$19,$D$19,IF(Q335&gt;=INDEX($A$19:$A$2018,$H$6),INDEX($D$19:$D$2018,$H$6),INDEX($D$19:$D$2018,MATCH(Q335,$A$19:INDEX($A$19:$A$2018,$H$6),1))+(Q335-INDEX($A$19:$A$2018,MATCH(Q335,$A$19:INDEX($A$19:$A$2018,$H$6),1)))*(INDEX($D$19:$D$2018,MATCH(Q335,$A$19:INDEX($A$19:$A$2018,$H$6),1)+1)-INDEX($D$19:$D$2018,MATCH(Q335,$A$19:INDEX($A$19:$A$2018,$H$6),1)))/(INDEX($A$19:$A$2018,MATCH(Q335,$A$19:INDEX($A$19:$A$2018,$H$6),1)+1)-INDEX($A$19:$A$2018,MATCH(Q335,$A$19:INDEX($A$19:$A$2018,$H$6),1))))))</f>
        <v/>
      </c>
    </row>
    <row r="336">
      <c r="A336" s="11" t="n"/>
      <c r="B336" s="11" t="n"/>
      <c r="C336" s="12">
        <f>IF(A336="","",$B$9*TAN(RADIANS(A336)))</f>
        <v/>
      </c>
      <c r="D336" s="12">
        <f>IF(C336="","",C336*(1+B336/100))</f>
        <v/>
      </c>
      <c r="E336" s="12">
        <f>IF(A336="","",$B$10*TAN(RADIANS(A336)))</f>
        <v/>
      </c>
      <c r="G336" s="8" t="n">
        <v>318</v>
      </c>
      <c r="H336" s="8">
        <f>$K$11</f>
        <v/>
      </c>
      <c r="I336" s="7" t="inlineStr">
        <is>
          <t>豎</t>
        </is>
      </c>
      <c r="J336" s="8" t="n">
        <v>5</v>
      </c>
      <c r="K336" s="7" t="inlineStr">
        <is>
          <t>右上</t>
        </is>
      </c>
      <c r="L336" s="8">
        <f>$O$11+($M$11+$L$11)/2-$M$11/2+$L$11/2+4*2*$L$11+(1)*$L$11/2</f>
        <v/>
      </c>
      <c r="M336" s="8">
        <f>$P$11+(-1)*$M$11/2</f>
        <v/>
      </c>
      <c r="N336" s="8">
        <f>L336-$B$7/2</f>
        <v/>
      </c>
      <c r="O336" s="8">
        <f>M336-$B$8/2</f>
        <v/>
      </c>
      <c r="P336" s="8">
        <f>SQRT(N336^2+O336^2)</f>
        <v/>
      </c>
      <c r="Q336" s="8">
        <f>IF(OR($H$7&lt;&gt;"OK",P336=""),"",IF(P336&lt;=$D$19,$A$19,IF(P336&gt;=INDEX($D$19:$D$2018,$H$6),INDEX($A$19:$A$2018,$H$6),INDEX($A$19:$A$2018,MATCH(P336,$D$19:INDEX($D$19:$D$2018,$H$6),1))+(P336-INDEX($D$19:$D$2018,MATCH(P336,$D$19:INDEX($D$19:$D$2018,$H$6),1)))*(INDEX($A$19:$A$2018,MATCH(P336,$D$19:INDEX($D$19:$D$2018,$H$6),1)+1)-INDEX($A$19:$A$2018,MATCH(P336,$D$19:INDEX($D$19:$D$2018,$H$6),1)))/(INDEX($D$19:$D$2018,MATCH(P336,$D$19:INDEX($D$19:$D$2018,$H$6),1)+1)-INDEX($D$19:$D$2018,MATCH(P336,$D$19:INDEX($D$19:$D$2018,$H$6),1))))))</f>
        <v/>
      </c>
      <c r="R336" s="8">
        <f>IF(P336=0,0,-Y336*N336/P336)</f>
        <v/>
      </c>
      <c r="S336" s="8">
        <f>IF(P336=0,0,Y336*O336/P336)</f>
        <v/>
      </c>
      <c r="T336" s="8">
        <f>IF(Y336=0,$B$7/2,$B$7/2-Z336*R336/Y336)</f>
        <v/>
      </c>
      <c r="U336" s="8">
        <f>IF(Y336=0,$B$8/2,$B$8/2+Z336*S336/Y336)</f>
        <v/>
      </c>
      <c r="V336" s="8">
        <f>SQRT((T336-L336)^2+(U336-M336)^2)</f>
        <v/>
      </c>
      <c r="Y336">
        <f>$B$10*TAN(RADIANS(Q336))</f>
        <v/>
      </c>
      <c r="Z336">
        <f>IF(OR($H$7&lt;&gt;"OK",Q336=""),"",IF(Q336&lt;=$A$19,$D$19,IF(Q336&gt;=INDEX($A$19:$A$2018,$H$6),INDEX($D$19:$D$2018,$H$6),INDEX($D$19:$D$2018,MATCH(Q336,$A$19:INDEX($A$19:$A$2018,$H$6),1))+(Q336-INDEX($A$19:$A$2018,MATCH(Q336,$A$19:INDEX($A$19:$A$2018,$H$6),1)))*(INDEX($D$19:$D$2018,MATCH(Q336,$A$19:INDEX($A$19:$A$2018,$H$6),1)+1)-INDEX($D$19:$D$2018,MATCH(Q336,$A$19:INDEX($A$19:$A$2018,$H$6),1)))/(INDEX($A$19:$A$2018,MATCH(Q336,$A$19:INDEX($A$19:$A$2018,$H$6),1)+1)-INDEX($A$19:$A$2018,MATCH(Q336,$A$19:INDEX($A$19:$A$2018,$H$6),1))))))</f>
        <v/>
      </c>
    </row>
    <row r="337">
      <c r="A337" s="11" t="n"/>
      <c r="B337" s="11" t="n"/>
      <c r="C337" s="12">
        <f>IF(A337="","",$B$9*TAN(RADIANS(A337)))</f>
        <v/>
      </c>
      <c r="D337" s="12">
        <f>IF(C337="","",C337*(1+B337/100))</f>
        <v/>
      </c>
      <c r="E337" s="12">
        <f>IF(A337="","",$B$10*TAN(RADIANS(A337)))</f>
        <v/>
      </c>
      <c r="G337" s="8" t="n">
        <v>319</v>
      </c>
      <c r="H337" s="8">
        <f>$K$11</f>
        <v/>
      </c>
      <c r="I337" s="7" t="inlineStr">
        <is>
          <t>豎</t>
        </is>
      </c>
      <c r="J337" s="8" t="n">
        <v>5</v>
      </c>
      <c r="K337" s="7" t="inlineStr">
        <is>
          <t>右下</t>
        </is>
      </c>
      <c r="L337" s="8">
        <f>$O$11+($M$11+$L$11)/2-$M$11/2+$L$11/2+4*2*$L$11+(1)*$L$11/2</f>
        <v/>
      </c>
      <c r="M337" s="8">
        <f>$P$11+(1)*$M$11/2</f>
        <v/>
      </c>
      <c r="N337" s="8">
        <f>L337-$B$7/2</f>
        <v/>
      </c>
      <c r="O337" s="8">
        <f>M337-$B$8/2</f>
        <v/>
      </c>
      <c r="P337" s="8">
        <f>SQRT(N337^2+O337^2)</f>
        <v/>
      </c>
      <c r="Q337" s="8">
        <f>IF(OR($H$7&lt;&gt;"OK",P337=""),"",IF(P337&lt;=$D$19,$A$19,IF(P337&gt;=INDEX($D$19:$D$2018,$H$6),INDEX($A$19:$A$2018,$H$6),INDEX($A$19:$A$2018,MATCH(P337,$D$19:INDEX($D$19:$D$2018,$H$6),1))+(P337-INDEX($D$19:$D$2018,MATCH(P337,$D$19:INDEX($D$19:$D$2018,$H$6),1)))*(INDEX($A$19:$A$2018,MATCH(P337,$D$19:INDEX($D$19:$D$2018,$H$6),1)+1)-INDEX($A$19:$A$2018,MATCH(P337,$D$19:INDEX($D$19:$D$2018,$H$6),1)))/(INDEX($D$19:$D$2018,MATCH(P337,$D$19:INDEX($D$19:$D$2018,$H$6),1)+1)-INDEX($D$19:$D$2018,MATCH(P337,$D$19:INDEX($D$19:$D$2018,$H$6),1))))))</f>
        <v/>
      </c>
      <c r="R337" s="8">
        <f>IF(P337=0,0,-Y337*N337/P337)</f>
        <v/>
      </c>
      <c r="S337" s="8">
        <f>IF(P337=0,0,Y337*O337/P337)</f>
        <v/>
      </c>
      <c r="T337" s="8">
        <f>IF(Y337=0,$B$7/2,$B$7/2-Z337*R337/Y337)</f>
        <v/>
      </c>
      <c r="U337" s="8">
        <f>IF(Y337=0,$B$8/2,$B$8/2+Z337*S337/Y337)</f>
        <v/>
      </c>
      <c r="V337" s="8">
        <f>SQRT((T337-L337)^2+(U337-M337)^2)</f>
        <v/>
      </c>
      <c r="Y337">
        <f>$B$10*TAN(RADIANS(Q337))</f>
        <v/>
      </c>
      <c r="Z337">
        <f>IF(OR($H$7&lt;&gt;"OK",Q337=""),"",IF(Q337&lt;=$A$19,$D$19,IF(Q337&gt;=INDEX($A$19:$A$2018,$H$6),INDEX($D$19:$D$2018,$H$6),INDEX($D$19:$D$2018,MATCH(Q337,$A$19:INDEX($A$19:$A$2018,$H$6),1))+(Q337-INDEX($A$19:$A$2018,MATCH(Q337,$A$19:INDEX($A$19:$A$2018,$H$6),1)))*(INDEX($D$19:$D$2018,MATCH(Q337,$A$19:INDEX($A$19:$A$2018,$H$6),1)+1)-INDEX($D$19:$D$2018,MATCH(Q337,$A$19:INDEX($A$19:$A$2018,$H$6),1)))/(INDEX($A$19:$A$2018,MATCH(Q337,$A$19:INDEX($A$19:$A$2018,$H$6),1)+1)-INDEX($A$19:$A$2018,MATCH(Q337,$A$19:INDEX($A$19:$A$2018,$H$6),1))))))</f>
        <v/>
      </c>
    </row>
    <row r="338">
      <c r="A338" s="11" t="n"/>
      <c r="B338" s="11" t="n"/>
      <c r="C338" s="12">
        <f>IF(A338="","",$B$9*TAN(RADIANS(A338)))</f>
        <v/>
      </c>
      <c r="D338" s="12">
        <f>IF(C338="","",C338*(1+B338/100))</f>
        <v/>
      </c>
      <c r="E338" s="12">
        <f>IF(A338="","",$B$10*TAN(RADIANS(A338)))</f>
        <v/>
      </c>
      <c r="G338" s="8" t="n">
        <v>320</v>
      </c>
      <c r="H338" s="8">
        <f>$K$11</f>
        <v/>
      </c>
      <c r="I338" s="7" t="inlineStr">
        <is>
          <t>豎</t>
        </is>
      </c>
      <c r="J338" s="8" t="n">
        <v>5</v>
      </c>
      <c r="K338" s="7" t="inlineStr">
        <is>
          <t>左下</t>
        </is>
      </c>
      <c r="L338" s="8">
        <f>$O$11+($M$11+$L$11)/2-$M$11/2+$L$11/2+4*2*$L$11+(-1)*$L$11/2</f>
        <v/>
      </c>
      <c r="M338" s="8">
        <f>$P$11+(1)*$M$11/2</f>
        <v/>
      </c>
      <c r="N338" s="8">
        <f>L338-$B$7/2</f>
        <v/>
      </c>
      <c r="O338" s="8">
        <f>M338-$B$8/2</f>
        <v/>
      </c>
      <c r="P338" s="8">
        <f>SQRT(N338^2+O338^2)</f>
        <v/>
      </c>
      <c r="Q338" s="8">
        <f>IF(OR($H$7&lt;&gt;"OK",P338=""),"",IF(P338&lt;=$D$19,$A$19,IF(P338&gt;=INDEX($D$19:$D$2018,$H$6),INDEX($A$19:$A$2018,$H$6),INDEX($A$19:$A$2018,MATCH(P338,$D$19:INDEX($D$19:$D$2018,$H$6),1))+(P338-INDEX($D$19:$D$2018,MATCH(P338,$D$19:INDEX($D$19:$D$2018,$H$6),1)))*(INDEX($A$19:$A$2018,MATCH(P338,$D$19:INDEX($D$19:$D$2018,$H$6),1)+1)-INDEX($A$19:$A$2018,MATCH(P338,$D$19:INDEX($D$19:$D$2018,$H$6),1)))/(INDEX($D$19:$D$2018,MATCH(P338,$D$19:INDEX($D$19:$D$2018,$H$6),1)+1)-INDEX($D$19:$D$2018,MATCH(P338,$D$19:INDEX($D$19:$D$2018,$H$6),1))))))</f>
        <v/>
      </c>
      <c r="R338" s="8">
        <f>IF(P338=0,0,-Y338*N338/P338)</f>
        <v/>
      </c>
      <c r="S338" s="8">
        <f>IF(P338=0,0,Y338*O338/P338)</f>
        <v/>
      </c>
      <c r="T338" s="8">
        <f>IF(Y338=0,$B$7/2,$B$7/2-Z338*R338/Y338)</f>
        <v/>
      </c>
      <c r="U338" s="8">
        <f>IF(Y338=0,$B$8/2,$B$8/2+Z338*S338/Y338)</f>
        <v/>
      </c>
      <c r="V338" s="8">
        <f>SQRT((T338-L338)^2+(U338-M338)^2)</f>
        <v/>
      </c>
      <c r="Y338">
        <f>$B$10*TAN(RADIANS(Q338))</f>
        <v/>
      </c>
      <c r="Z338">
        <f>IF(OR($H$7&lt;&gt;"OK",Q338=""),"",IF(Q338&lt;=$A$19,$D$19,IF(Q338&gt;=INDEX($A$19:$A$2018,$H$6),INDEX($D$19:$D$2018,$H$6),INDEX($D$19:$D$2018,MATCH(Q338,$A$19:INDEX($A$19:$A$2018,$H$6),1))+(Q338-INDEX($A$19:$A$2018,MATCH(Q338,$A$19:INDEX($A$19:$A$2018,$H$6),1)))*(INDEX($D$19:$D$2018,MATCH(Q338,$A$19:INDEX($A$19:$A$2018,$H$6),1)+1)-INDEX($D$19:$D$2018,MATCH(Q338,$A$19:INDEX($A$19:$A$2018,$H$6),1)))/(INDEX($A$19:$A$2018,MATCH(Q338,$A$19:INDEX($A$19:$A$2018,$H$6),1)+1)-INDEX($A$19:$A$2018,MATCH(Q338,$A$19:INDEX($A$19:$A$2018,$H$6),1))))))</f>
        <v/>
      </c>
    </row>
    <row r="339">
      <c r="A339" s="11" t="n"/>
      <c r="B339" s="11" t="n"/>
      <c r="C339" s="12">
        <f>IF(A339="","",$B$9*TAN(RADIANS(A339)))</f>
        <v/>
      </c>
      <c r="D339" s="12">
        <f>IF(C339="","",C339*(1+B339/100))</f>
        <v/>
      </c>
      <c r="E339" s="12">
        <f>IF(A339="","",$B$10*TAN(RADIANS(A339)))</f>
        <v/>
      </c>
      <c r="G339" s="8" t="n">
        <v>321</v>
      </c>
      <c r="H339" s="8">
        <f>$K$12</f>
        <v/>
      </c>
      <c r="I339" s="7" t="inlineStr">
        <is>
          <t>橫</t>
        </is>
      </c>
      <c r="J339" s="8" t="n">
        <v>1</v>
      </c>
      <c r="K339" s="7" t="inlineStr">
        <is>
          <t>左上</t>
        </is>
      </c>
      <c r="L339" s="8">
        <f>$O$12-($M$12+$L$12)/2+(-1)*$M$12/2</f>
        <v/>
      </c>
      <c r="M339" s="8">
        <f>$P$12-$M$12/2+$L$12/2+0*2*$L$12+(-1)*$L$12/2</f>
        <v/>
      </c>
      <c r="N339" s="8">
        <f>L339-$B$7/2</f>
        <v/>
      </c>
      <c r="O339" s="8">
        <f>M339-$B$8/2</f>
        <v/>
      </c>
      <c r="P339" s="8">
        <f>SQRT(N339^2+O339^2)</f>
        <v/>
      </c>
      <c r="Q339" s="8">
        <f>IF(OR($H$7&lt;&gt;"OK",P339=""),"",IF(P339&lt;=$D$19,$A$19,IF(P339&gt;=INDEX($D$19:$D$2018,$H$6),INDEX($A$19:$A$2018,$H$6),INDEX($A$19:$A$2018,MATCH(P339,$D$19:INDEX($D$19:$D$2018,$H$6),1))+(P339-INDEX($D$19:$D$2018,MATCH(P339,$D$19:INDEX($D$19:$D$2018,$H$6),1)))*(INDEX($A$19:$A$2018,MATCH(P339,$D$19:INDEX($D$19:$D$2018,$H$6),1)+1)-INDEX($A$19:$A$2018,MATCH(P339,$D$19:INDEX($D$19:$D$2018,$H$6),1)))/(INDEX($D$19:$D$2018,MATCH(P339,$D$19:INDEX($D$19:$D$2018,$H$6),1)+1)-INDEX($D$19:$D$2018,MATCH(P339,$D$19:INDEX($D$19:$D$2018,$H$6),1))))))</f>
        <v/>
      </c>
      <c r="R339" s="8">
        <f>IF(P339=0,0,-Y339*N339/P339)</f>
        <v/>
      </c>
      <c r="S339" s="8">
        <f>IF(P339=0,0,Y339*O339/P339)</f>
        <v/>
      </c>
      <c r="T339" s="8">
        <f>IF(Y339=0,$B$7/2,$B$7/2-Z339*R339/Y339)</f>
        <v/>
      </c>
      <c r="U339" s="8">
        <f>IF(Y339=0,$B$8/2,$B$8/2+Z339*S339/Y339)</f>
        <v/>
      </c>
      <c r="V339" s="8">
        <f>SQRT((T339-L339)^2+(U339-M339)^2)</f>
        <v/>
      </c>
      <c r="Y339">
        <f>$B$10*TAN(RADIANS(Q339))</f>
        <v/>
      </c>
      <c r="Z339">
        <f>IF(OR($H$7&lt;&gt;"OK",Q339=""),"",IF(Q339&lt;=$A$19,$D$19,IF(Q339&gt;=INDEX($A$19:$A$2018,$H$6),INDEX($D$19:$D$2018,$H$6),INDEX($D$19:$D$2018,MATCH(Q339,$A$19:INDEX($A$19:$A$2018,$H$6),1))+(Q339-INDEX($A$19:$A$2018,MATCH(Q339,$A$19:INDEX($A$19:$A$2018,$H$6),1)))*(INDEX($D$19:$D$2018,MATCH(Q339,$A$19:INDEX($A$19:$A$2018,$H$6),1)+1)-INDEX($D$19:$D$2018,MATCH(Q339,$A$19:INDEX($A$19:$A$2018,$H$6),1)))/(INDEX($A$19:$A$2018,MATCH(Q339,$A$19:INDEX($A$19:$A$2018,$H$6),1)+1)-INDEX($A$19:$A$2018,MATCH(Q339,$A$19:INDEX($A$19:$A$2018,$H$6),1))))))</f>
        <v/>
      </c>
    </row>
    <row r="340">
      <c r="A340" s="11" t="n"/>
      <c r="B340" s="11" t="n"/>
      <c r="C340" s="12">
        <f>IF(A340="","",$B$9*TAN(RADIANS(A340)))</f>
        <v/>
      </c>
      <c r="D340" s="12">
        <f>IF(C340="","",C340*(1+B340/100))</f>
        <v/>
      </c>
      <c r="E340" s="12">
        <f>IF(A340="","",$B$10*TAN(RADIANS(A340)))</f>
        <v/>
      </c>
      <c r="G340" s="8" t="n">
        <v>322</v>
      </c>
      <c r="H340" s="8">
        <f>$K$12</f>
        <v/>
      </c>
      <c r="I340" s="7" t="inlineStr">
        <is>
          <t>橫</t>
        </is>
      </c>
      <c r="J340" s="8" t="n">
        <v>1</v>
      </c>
      <c r="K340" s="7" t="inlineStr">
        <is>
          <t>右上</t>
        </is>
      </c>
      <c r="L340" s="8">
        <f>$O$12-($M$12+$L$12)/2+(1)*$M$12/2</f>
        <v/>
      </c>
      <c r="M340" s="8">
        <f>$P$12-$M$12/2+$L$12/2+0*2*$L$12+(-1)*$L$12/2</f>
        <v/>
      </c>
      <c r="N340" s="8">
        <f>L340-$B$7/2</f>
        <v/>
      </c>
      <c r="O340" s="8">
        <f>M340-$B$8/2</f>
        <v/>
      </c>
      <c r="P340" s="8">
        <f>SQRT(N340^2+O340^2)</f>
        <v/>
      </c>
      <c r="Q340" s="8">
        <f>IF(OR($H$7&lt;&gt;"OK",P340=""),"",IF(P340&lt;=$D$19,$A$19,IF(P340&gt;=INDEX($D$19:$D$2018,$H$6),INDEX($A$19:$A$2018,$H$6),INDEX($A$19:$A$2018,MATCH(P340,$D$19:INDEX($D$19:$D$2018,$H$6),1))+(P340-INDEX($D$19:$D$2018,MATCH(P340,$D$19:INDEX($D$19:$D$2018,$H$6),1)))*(INDEX($A$19:$A$2018,MATCH(P340,$D$19:INDEX($D$19:$D$2018,$H$6),1)+1)-INDEX($A$19:$A$2018,MATCH(P340,$D$19:INDEX($D$19:$D$2018,$H$6),1)))/(INDEX($D$19:$D$2018,MATCH(P340,$D$19:INDEX($D$19:$D$2018,$H$6),1)+1)-INDEX($D$19:$D$2018,MATCH(P340,$D$19:INDEX($D$19:$D$2018,$H$6),1))))))</f>
        <v/>
      </c>
      <c r="R340" s="8">
        <f>IF(P340=0,0,-Y340*N340/P340)</f>
        <v/>
      </c>
      <c r="S340" s="8">
        <f>IF(P340=0,0,Y340*O340/P340)</f>
        <v/>
      </c>
      <c r="T340" s="8">
        <f>IF(Y340=0,$B$7/2,$B$7/2-Z340*R340/Y340)</f>
        <v/>
      </c>
      <c r="U340" s="8">
        <f>IF(Y340=0,$B$8/2,$B$8/2+Z340*S340/Y340)</f>
        <v/>
      </c>
      <c r="V340" s="8">
        <f>SQRT((T340-L340)^2+(U340-M340)^2)</f>
        <v/>
      </c>
      <c r="Y340">
        <f>$B$10*TAN(RADIANS(Q340))</f>
        <v/>
      </c>
      <c r="Z340">
        <f>IF(OR($H$7&lt;&gt;"OK",Q340=""),"",IF(Q340&lt;=$A$19,$D$19,IF(Q340&gt;=INDEX($A$19:$A$2018,$H$6),INDEX($D$19:$D$2018,$H$6),INDEX($D$19:$D$2018,MATCH(Q340,$A$19:INDEX($A$19:$A$2018,$H$6),1))+(Q340-INDEX($A$19:$A$2018,MATCH(Q340,$A$19:INDEX($A$19:$A$2018,$H$6),1)))*(INDEX($D$19:$D$2018,MATCH(Q340,$A$19:INDEX($A$19:$A$2018,$H$6),1)+1)-INDEX($D$19:$D$2018,MATCH(Q340,$A$19:INDEX($A$19:$A$2018,$H$6),1)))/(INDEX($A$19:$A$2018,MATCH(Q340,$A$19:INDEX($A$19:$A$2018,$H$6),1)+1)-INDEX($A$19:$A$2018,MATCH(Q340,$A$19:INDEX($A$19:$A$2018,$H$6),1))))))</f>
        <v/>
      </c>
    </row>
    <row r="341">
      <c r="A341" s="11" t="n"/>
      <c r="B341" s="11" t="n"/>
      <c r="C341" s="12">
        <f>IF(A341="","",$B$9*TAN(RADIANS(A341)))</f>
        <v/>
      </c>
      <c r="D341" s="12">
        <f>IF(C341="","",C341*(1+B341/100))</f>
        <v/>
      </c>
      <c r="E341" s="12">
        <f>IF(A341="","",$B$10*TAN(RADIANS(A341)))</f>
        <v/>
      </c>
      <c r="G341" s="8" t="n">
        <v>323</v>
      </c>
      <c r="H341" s="8">
        <f>$K$12</f>
        <v/>
      </c>
      <c r="I341" s="7" t="inlineStr">
        <is>
          <t>橫</t>
        </is>
      </c>
      <c r="J341" s="8" t="n">
        <v>1</v>
      </c>
      <c r="K341" s="7" t="inlineStr">
        <is>
          <t>右下</t>
        </is>
      </c>
      <c r="L341" s="8">
        <f>$O$12-($M$12+$L$12)/2+(1)*$M$12/2</f>
        <v/>
      </c>
      <c r="M341" s="8">
        <f>$P$12-$M$12/2+$L$12/2+0*2*$L$12+(1)*$L$12/2</f>
        <v/>
      </c>
      <c r="N341" s="8">
        <f>L341-$B$7/2</f>
        <v/>
      </c>
      <c r="O341" s="8">
        <f>M341-$B$8/2</f>
        <v/>
      </c>
      <c r="P341" s="8">
        <f>SQRT(N341^2+O341^2)</f>
        <v/>
      </c>
      <c r="Q341" s="8">
        <f>IF(OR($H$7&lt;&gt;"OK",P341=""),"",IF(P341&lt;=$D$19,$A$19,IF(P341&gt;=INDEX($D$19:$D$2018,$H$6),INDEX($A$19:$A$2018,$H$6),INDEX($A$19:$A$2018,MATCH(P341,$D$19:INDEX($D$19:$D$2018,$H$6),1))+(P341-INDEX($D$19:$D$2018,MATCH(P341,$D$19:INDEX($D$19:$D$2018,$H$6),1)))*(INDEX($A$19:$A$2018,MATCH(P341,$D$19:INDEX($D$19:$D$2018,$H$6),1)+1)-INDEX($A$19:$A$2018,MATCH(P341,$D$19:INDEX($D$19:$D$2018,$H$6),1)))/(INDEX($D$19:$D$2018,MATCH(P341,$D$19:INDEX($D$19:$D$2018,$H$6),1)+1)-INDEX($D$19:$D$2018,MATCH(P341,$D$19:INDEX($D$19:$D$2018,$H$6),1))))))</f>
        <v/>
      </c>
      <c r="R341" s="8">
        <f>IF(P341=0,0,-Y341*N341/P341)</f>
        <v/>
      </c>
      <c r="S341" s="8">
        <f>IF(P341=0,0,Y341*O341/P341)</f>
        <v/>
      </c>
      <c r="T341" s="8">
        <f>IF(Y341=0,$B$7/2,$B$7/2-Z341*R341/Y341)</f>
        <v/>
      </c>
      <c r="U341" s="8">
        <f>IF(Y341=0,$B$8/2,$B$8/2+Z341*S341/Y341)</f>
        <v/>
      </c>
      <c r="V341" s="8">
        <f>SQRT((T341-L341)^2+(U341-M341)^2)</f>
        <v/>
      </c>
      <c r="Y341">
        <f>$B$10*TAN(RADIANS(Q341))</f>
        <v/>
      </c>
      <c r="Z341">
        <f>IF(OR($H$7&lt;&gt;"OK",Q341=""),"",IF(Q341&lt;=$A$19,$D$19,IF(Q341&gt;=INDEX($A$19:$A$2018,$H$6),INDEX($D$19:$D$2018,$H$6),INDEX($D$19:$D$2018,MATCH(Q341,$A$19:INDEX($A$19:$A$2018,$H$6),1))+(Q341-INDEX($A$19:$A$2018,MATCH(Q341,$A$19:INDEX($A$19:$A$2018,$H$6),1)))*(INDEX($D$19:$D$2018,MATCH(Q341,$A$19:INDEX($A$19:$A$2018,$H$6),1)+1)-INDEX($D$19:$D$2018,MATCH(Q341,$A$19:INDEX($A$19:$A$2018,$H$6),1)))/(INDEX($A$19:$A$2018,MATCH(Q341,$A$19:INDEX($A$19:$A$2018,$H$6),1)+1)-INDEX($A$19:$A$2018,MATCH(Q341,$A$19:INDEX($A$19:$A$2018,$H$6),1))))))</f>
        <v/>
      </c>
    </row>
    <row r="342">
      <c r="A342" s="11" t="n"/>
      <c r="B342" s="11" t="n"/>
      <c r="C342" s="12">
        <f>IF(A342="","",$B$9*TAN(RADIANS(A342)))</f>
        <v/>
      </c>
      <c r="D342" s="12">
        <f>IF(C342="","",C342*(1+B342/100))</f>
        <v/>
      </c>
      <c r="E342" s="12">
        <f>IF(A342="","",$B$10*TAN(RADIANS(A342)))</f>
        <v/>
      </c>
      <c r="G342" s="8" t="n">
        <v>324</v>
      </c>
      <c r="H342" s="8">
        <f>$K$12</f>
        <v/>
      </c>
      <c r="I342" s="7" t="inlineStr">
        <is>
          <t>橫</t>
        </is>
      </c>
      <c r="J342" s="8" t="n">
        <v>1</v>
      </c>
      <c r="K342" s="7" t="inlineStr">
        <is>
          <t>左下</t>
        </is>
      </c>
      <c r="L342" s="8">
        <f>$O$12-($M$12+$L$12)/2+(-1)*$M$12/2</f>
        <v/>
      </c>
      <c r="M342" s="8">
        <f>$P$12-$M$12/2+$L$12/2+0*2*$L$12+(1)*$L$12/2</f>
        <v/>
      </c>
      <c r="N342" s="8">
        <f>L342-$B$7/2</f>
        <v/>
      </c>
      <c r="O342" s="8">
        <f>M342-$B$8/2</f>
        <v/>
      </c>
      <c r="P342" s="8">
        <f>SQRT(N342^2+O342^2)</f>
        <v/>
      </c>
      <c r="Q342" s="8">
        <f>IF(OR($H$7&lt;&gt;"OK",P342=""),"",IF(P342&lt;=$D$19,$A$19,IF(P342&gt;=INDEX($D$19:$D$2018,$H$6),INDEX($A$19:$A$2018,$H$6),INDEX($A$19:$A$2018,MATCH(P342,$D$19:INDEX($D$19:$D$2018,$H$6),1))+(P342-INDEX($D$19:$D$2018,MATCH(P342,$D$19:INDEX($D$19:$D$2018,$H$6),1)))*(INDEX($A$19:$A$2018,MATCH(P342,$D$19:INDEX($D$19:$D$2018,$H$6),1)+1)-INDEX($A$19:$A$2018,MATCH(P342,$D$19:INDEX($D$19:$D$2018,$H$6),1)))/(INDEX($D$19:$D$2018,MATCH(P342,$D$19:INDEX($D$19:$D$2018,$H$6),1)+1)-INDEX($D$19:$D$2018,MATCH(P342,$D$19:INDEX($D$19:$D$2018,$H$6),1))))))</f>
        <v/>
      </c>
      <c r="R342" s="8">
        <f>IF(P342=0,0,-Y342*N342/P342)</f>
        <v/>
      </c>
      <c r="S342" s="8">
        <f>IF(P342=0,0,Y342*O342/P342)</f>
        <v/>
      </c>
      <c r="T342" s="8">
        <f>IF(Y342=0,$B$7/2,$B$7/2-Z342*R342/Y342)</f>
        <v/>
      </c>
      <c r="U342" s="8">
        <f>IF(Y342=0,$B$8/2,$B$8/2+Z342*S342/Y342)</f>
        <v/>
      </c>
      <c r="V342" s="8">
        <f>SQRT((T342-L342)^2+(U342-M342)^2)</f>
        <v/>
      </c>
      <c r="Y342">
        <f>$B$10*TAN(RADIANS(Q342))</f>
        <v/>
      </c>
      <c r="Z342">
        <f>IF(OR($H$7&lt;&gt;"OK",Q342=""),"",IF(Q342&lt;=$A$19,$D$19,IF(Q342&gt;=INDEX($A$19:$A$2018,$H$6),INDEX($D$19:$D$2018,$H$6),INDEX($D$19:$D$2018,MATCH(Q342,$A$19:INDEX($A$19:$A$2018,$H$6),1))+(Q342-INDEX($A$19:$A$2018,MATCH(Q342,$A$19:INDEX($A$19:$A$2018,$H$6),1)))*(INDEX($D$19:$D$2018,MATCH(Q342,$A$19:INDEX($A$19:$A$2018,$H$6),1)+1)-INDEX($D$19:$D$2018,MATCH(Q342,$A$19:INDEX($A$19:$A$2018,$H$6),1)))/(INDEX($A$19:$A$2018,MATCH(Q342,$A$19:INDEX($A$19:$A$2018,$H$6),1)+1)-INDEX($A$19:$A$2018,MATCH(Q342,$A$19:INDEX($A$19:$A$2018,$H$6),1))))))</f>
        <v/>
      </c>
    </row>
    <row r="343">
      <c r="A343" s="11" t="n"/>
      <c r="B343" s="11" t="n"/>
      <c r="C343" s="12">
        <f>IF(A343="","",$B$9*TAN(RADIANS(A343)))</f>
        <v/>
      </c>
      <c r="D343" s="12">
        <f>IF(C343="","",C343*(1+B343/100))</f>
        <v/>
      </c>
      <c r="E343" s="12">
        <f>IF(A343="","",$B$10*TAN(RADIANS(A343)))</f>
        <v/>
      </c>
      <c r="G343" s="8" t="n">
        <v>325</v>
      </c>
      <c r="H343" s="8">
        <f>$K$12</f>
        <v/>
      </c>
      <c r="I343" s="7" t="inlineStr">
        <is>
          <t>橫</t>
        </is>
      </c>
      <c r="J343" s="8" t="n">
        <v>2</v>
      </c>
      <c r="K343" s="7" t="inlineStr">
        <is>
          <t>左上</t>
        </is>
      </c>
      <c r="L343" s="8">
        <f>$O$12-($M$12+$L$12)/2+(-1)*$M$12/2</f>
        <v/>
      </c>
      <c r="M343" s="8">
        <f>$P$12-$M$12/2+$L$12/2+1*2*$L$12+(-1)*$L$12/2</f>
        <v/>
      </c>
      <c r="N343" s="8">
        <f>L343-$B$7/2</f>
        <v/>
      </c>
      <c r="O343" s="8">
        <f>M343-$B$8/2</f>
        <v/>
      </c>
      <c r="P343" s="8">
        <f>SQRT(N343^2+O343^2)</f>
        <v/>
      </c>
      <c r="Q343" s="8">
        <f>IF(OR($H$7&lt;&gt;"OK",P343=""),"",IF(P343&lt;=$D$19,$A$19,IF(P343&gt;=INDEX($D$19:$D$2018,$H$6),INDEX($A$19:$A$2018,$H$6),INDEX($A$19:$A$2018,MATCH(P343,$D$19:INDEX($D$19:$D$2018,$H$6),1))+(P343-INDEX($D$19:$D$2018,MATCH(P343,$D$19:INDEX($D$19:$D$2018,$H$6),1)))*(INDEX($A$19:$A$2018,MATCH(P343,$D$19:INDEX($D$19:$D$2018,$H$6),1)+1)-INDEX($A$19:$A$2018,MATCH(P343,$D$19:INDEX($D$19:$D$2018,$H$6),1)))/(INDEX($D$19:$D$2018,MATCH(P343,$D$19:INDEX($D$19:$D$2018,$H$6),1)+1)-INDEX($D$19:$D$2018,MATCH(P343,$D$19:INDEX($D$19:$D$2018,$H$6),1))))))</f>
        <v/>
      </c>
      <c r="R343" s="8">
        <f>IF(P343=0,0,-Y343*N343/P343)</f>
        <v/>
      </c>
      <c r="S343" s="8">
        <f>IF(P343=0,0,Y343*O343/P343)</f>
        <v/>
      </c>
      <c r="T343" s="8">
        <f>IF(Y343=0,$B$7/2,$B$7/2-Z343*R343/Y343)</f>
        <v/>
      </c>
      <c r="U343" s="8">
        <f>IF(Y343=0,$B$8/2,$B$8/2+Z343*S343/Y343)</f>
        <v/>
      </c>
      <c r="V343" s="8">
        <f>SQRT((T343-L343)^2+(U343-M343)^2)</f>
        <v/>
      </c>
      <c r="Y343">
        <f>$B$10*TAN(RADIANS(Q343))</f>
        <v/>
      </c>
      <c r="Z343">
        <f>IF(OR($H$7&lt;&gt;"OK",Q343=""),"",IF(Q343&lt;=$A$19,$D$19,IF(Q343&gt;=INDEX($A$19:$A$2018,$H$6),INDEX($D$19:$D$2018,$H$6),INDEX($D$19:$D$2018,MATCH(Q343,$A$19:INDEX($A$19:$A$2018,$H$6),1))+(Q343-INDEX($A$19:$A$2018,MATCH(Q343,$A$19:INDEX($A$19:$A$2018,$H$6),1)))*(INDEX($D$19:$D$2018,MATCH(Q343,$A$19:INDEX($A$19:$A$2018,$H$6),1)+1)-INDEX($D$19:$D$2018,MATCH(Q343,$A$19:INDEX($A$19:$A$2018,$H$6),1)))/(INDEX($A$19:$A$2018,MATCH(Q343,$A$19:INDEX($A$19:$A$2018,$H$6),1)+1)-INDEX($A$19:$A$2018,MATCH(Q343,$A$19:INDEX($A$19:$A$2018,$H$6),1))))))</f>
        <v/>
      </c>
    </row>
    <row r="344">
      <c r="A344" s="11" t="n"/>
      <c r="B344" s="11" t="n"/>
      <c r="C344" s="12">
        <f>IF(A344="","",$B$9*TAN(RADIANS(A344)))</f>
        <v/>
      </c>
      <c r="D344" s="12">
        <f>IF(C344="","",C344*(1+B344/100))</f>
        <v/>
      </c>
      <c r="E344" s="12">
        <f>IF(A344="","",$B$10*TAN(RADIANS(A344)))</f>
        <v/>
      </c>
      <c r="G344" s="8" t="n">
        <v>326</v>
      </c>
      <c r="H344" s="8">
        <f>$K$12</f>
        <v/>
      </c>
      <c r="I344" s="7" t="inlineStr">
        <is>
          <t>橫</t>
        </is>
      </c>
      <c r="J344" s="8" t="n">
        <v>2</v>
      </c>
      <c r="K344" s="7" t="inlineStr">
        <is>
          <t>右上</t>
        </is>
      </c>
      <c r="L344" s="8">
        <f>$O$12-($M$12+$L$12)/2+(1)*$M$12/2</f>
        <v/>
      </c>
      <c r="M344" s="8">
        <f>$P$12-$M$12/2+$L$12/2+1*2*$L$12+(-1)*$L$12/2</f>
        <v/>
      </c>
      <c r="N344" s="8">
        <f>L344-$B$7/2</f>
        <v/>
      </c>
      <c r="O344" s="8">
        <f>M344-$B$8/2</f>
        <v/>
      </c>
      <c r="P344" s="8">
        <f>SQRT(N344^2+O344^2)</f>
        <v/>
      </c>
      <c r="Q344" s="8">
        <f>IF(OR($H$7&lt;&gt;"OK",P344=""),"",IF(P344&lt;=$D$19,$A$19,IF(P344&gt;=INDEX($D$19:$D$2018,$H$6),INDEX($A$19:$A$2018,$H$6),INDEX($A$19:$A$2018,MATCH(P344,$D$19:INDEX($D$19:$D$2018,$H$6),1))+(P344-INDEX($D$19:$D$2018,MATCH(P344,$D$19:INDEX($D$19:$D$2018,$H$6),1)))*(INDEX($A$19:$A$2018,MATCH(P344,$D$19:INDEX($D$19:$D$2018,$H$6),1)+1)-INDEX($A$19:$A$2018,MATCH(P344,$D$19:INDEX($D$19:$D$2018,$H$6),1)))/(INDEX($D$19:$D$2018,MATCH(P344,$D$19:INDEX($D$19:$D$2018,$H$6),1)+1)-INDEX($D$19:$D$2018,MATCH(P344,$D$19:INDEX($D$19:$D$2018,$H$6),1))))))</f>
        <v/>
      </c>
      <c r="R344" s="8">
        <f>IF(P344=0,0,-Y344*N344/P344)</f>
        <v/>
      </c>
      <c r="S344" s="8">
        <f>IF(P344=0,0,Y344*O344/P344)</f>
        <v/>
      </c>
      <c r="T344" s="8">
        <f>IF(Y344=0,$B$7/2,$B$7/2-Z344*R344/Y344)</f>
        <v/>
      </c>
      <c r="U344" s="8">
        <f>IF(Y344=0,$B$8/2,$B$8/2+Z344*S344/Y344)</f>
        <v/>
      </c>
      <c r="V344" s="8">
        <f>SQRT((T344-L344)^2+(U344-M344)^2)</f>
        <v/>
      </c>
      <c r="Y344">
        <f>$B$10*TAN(RADIANS(Q344))</f>
        <v/>
      </c>
      <c r="Z344">
        <f>IF(OR($H$7&lt;&gt;"OK",Q344=""),"",IF(Q344&lt;=$A$19,$D$19,IF(Q344&gt;=INDEX($A$19:$A$2018,$H$6),INDEX($D$19:$D$2018,$H$6),INDEX($D$19:$D$2018,MATCH(Q344,$A$19:INDEX($A$19:$A$2018,$H$6),1))+(Q344-INDEX($A$19:$A$2018,MATCH(Q344,$A$19:INDEX($A$19:$A$2018,$H$6),1)))*(INDEX($D$19:$D$2018,MATCH(Q344,$A$19:INDEX($A$19:$A$2018,$H$6),1)+1)-INDEX($D$19:$D$2018,MATCH(Q344,$A$19:INDEX($A$19:$A$2018,$H$6),1)))/(INDEX($A$19:$A$2018,MATCH(Q344,$A$19:INDEX($A$19:$A$2018,$H$6),1)+1)-INDEX($A$19:$A$2018,MATCH(Q344,$A$19:INDEX($A$19:$A$2018,$H$6),1))))))</f>
        <v/>
      </c>
    </row>
    <row r="345">
      <c r="A345" s="11" t="n"/>
      <c r="B345" s="11" t="n"/>
      <c r="C345" s="12">
        <f>IF(A345="","",$B$9*TAN(RADIANS(A345)))</f>
        <v/>
      </c>
      <c r="D345" s="12">
        <f>IF(C345="","",C345*(1+B345/100))</f>
        <v/>
      </c>
      <c r="E345" s="12">
        <f>IF(A345="","",$B$10*TAN(RADIANS(A345)))</f>
        <v/>
      </c>
      <c r="G345" s="8" t="n">
        <v>327</v>
      </c>
      <c r="H345" s="8">
        <f>$K$12</f>
        <v/>
      </c>
      <c r="I345" s="7" t="inlineStr">
        <is>
          <t>橫</t>
        </is>
      </c>
      <c r="J345" s="8" t="n">
        <v>2</v>
      </c>
      <c r="K345" s="7" t="inlineStr">
        <is>
          <t>右下</t>
        </is>
      </c>
      <c r="L345" s="8">
        <f>$O$12-($M$12+$L$12)/2+(1)*$M$12/2</f>
        <v/>
      </c>
      <c r="M345" s="8">
        <f>$P$12-$M$12/2+$L$12/2+1*2*$L$12+(1)*$L$12/2</f>
        <v/>
      </c>
      <c r="N345" s="8">
        <f>L345-$B$7/2</f>
        <v/>
      </c>
      <c r="O345" s="8">
        <f>M345-$B$8/2</f>
        <v/>
      </c>
      <c r="P345" s="8">
        <f>SQRT(N345^2+O345^2)</f>
        <v/>
      </c>
      <c r="Q345" s="8">
        <f>IF(OR($H$7&lt;&gt;"OK",P345=""),"",IF(P345&lt;=$D$19,$A$19,IF(P345&gt;=INDEX($D$19:$D$2018,$H$6),INDEX($A$19:$A$2018,$H$6),INDEX($A$19:$A$2018,MATCH(P345,$D$19:INDEX($D$19:$D$2018,$H$6),1))+(P345-INDEX($D$19:$D$2018,MATCH(P345,$D$19:INDEX($D$19:$D$2018,$H$6),1)))*(INDEX($A$19:$A$2018,MATCH(P345,$D$19:INDEX($D$19:$D$2018,$H$6),1)+1)-INDEX($A$19:$A$2018,MATCH(P345,$D$19:INDEX($D$19:$D$2018,$H$6),1)))/(INDEX($D$19:$D$2018,MATCH(P345,$D$19:INDEX($D$19:$D$2018,$H$6),1)+1)-INDEX($D$19:$D$2018,MATCH(P345,$D$19:INDEX($D$19:$D$2018,$H$6),1))))))</f>
        <v/>
      </c>
      <c r="R345" s="8">
        <f>IF(P345=0,0,-Y345*N345/P345)</f>
        <v/>
      </c>
      <c r="S345" s="8">
        <f>IF(P345=0,0,Y345*O345/P345)</f>
        <v/>
      </c>
      <c r="T345" s="8">
        <f>IF(Y345=0,$B$7/2,$B$7/2-Z345*R345/Y345)</f>
        <v/>
      </c>
      <c r="U345" s="8">
        <f>IF(Y345=0,$B$8/2,$B$8/2+Z345*S345/Y345)</f>
        <v/>
      </c>
      <c r="V345" s="8">
        <f>SQRT((T345-L345)^2+(U345-M345)^2)</f>
        <v/>
      </c>
      <c r="Y345">
        <f>$B$10*TAN(RADIANS(Q345))</f>
        <v/>
      </c>
      <c r="Z345">
        <f>IF(OR($H$7&lt;&gt;"OK",Q345=""),"",IF(Q345&lt;=$A$19,$D$19,IF(Q345&gt;=INDEX($A$19:$A$2018,$H$6),INDEX($D$19:$D$2018,$H$6),INDEX($D$19:$D$2018,MATCH(Q345,$A$19:INDEX($A$19:$A$2018,$H$6),1))+(Q345-INDEX($A$19:$A$2018,MATCH(Q345,$A$19:INDEX($A$19:$A$2018,$H$6),1)))*(INDEX($D$19:$D$2018,MATCH(Q345,$A$19:INDEX($A$19:$A$2018,$H$6),1)+1)-INDEX($D$19:$D$2018,MATCH(Q345,$A$19:INDEX($A$19:$A$2018,$H$6),1)))/(INDEX($A$19:$A$2018,MATCH(Q345,$A$19:INDEX($A$19:$A$2018,$H$6),1)+1)-INDEX($A$19:$A$2018,MATCH(Q345,$A$19:INDEX($A$19:$A$2018,$H$6),1))))))</f>
        <v/>
      </c>
    </row>
    <row r="346">
      <c r="A346" s="11" t="n"/>
      <c r="B346" s="11" t="n"/>
      <c r="C346" s="12">
        <f>IF(A346="","",$B$9*TAN(RADIANS(A346)))</f>
        <v/>
      </c>
      <c r="D346" s="12">
        <f>IF(C346="","",C346*(1+B346/100))</f>
        <v/>
      </c>
      <c r="E346" s="12">
        <f>IF(A346="","",$B$10*TAN(RADIANS(A346)))</f>
        <v/>
      </c>
      <c r="G346" s="8" t="n">
        <v>328</v>
      </c>
      <c r="H346" s="8">
        <f>$K$12</f>
        <v/>
      </c>
      <c r="I346" s="7" t="inlineStr">
        <is>
          <t>橫</t>
        </is>
      </c>
      <c r="J346" s="8" t="n">
        <v>2</v>
      </c>
      <c r="K346" s="7" t="inlineStr">
        <is>
          <t>左下</t>
        </is>
      </c>
      <c r="L346" s="8">
        <f>$O$12-($M$12+$L$12)/2+(-1)*$M$12/2</f>
        <v/>
      </c>
      <c r="M346" s="8">
        <f>$P$12-$M$12/2+$L$12/2+1*2*$L$12+(1)*$L$12/2</f>
        <v/>
      </c>
      <c r="N346" s="8">
        <f>L346-$B$7/2</f>
        <v/>
      </c>
      <c r="O346" s="8">
        <f>M346-$B$8/2</f>
        <v/>
      </c>
      <c r="P346" s="8">
        <f>SQRT(N346^2+O346^2)</f>
        <v/>
      </c>
      <c r="Q346" s="8">
        <f>IF(OR($H$7&lt;&gt;"OK",P346=""),"",IF(P346&lt;=$D$19,$A$19,IF(P346&gt;=INDEX($D$19:$D$2018,$H$6),INDEX($A$19:$A$2018,$H$6),INDEX($A$19:$A$2018,MATCH(P346,$D$19:INDEX($D$19:$D$2018,$H$6),1))+(P346-INDEX($D$19:$D$2018,MATCH(P346,$D$19:INDEX($D$19:$D$2018,$H$6),1)))*(INDEX($A$19:$A$2018,MATCH(P346,$D$19:INDEX($D$19:$D$2018,$H$6),1)+1)-INDEX($A$19:$A$2018,MATCH(P346,$D$19:INDEX($D$19:$D$2018,$H$6),1)))/(INDEX($D$19:$D$2018,MATCH(P346,$D$19:INDEX($D$19:$D$2018,$H$6),1)+1)-INDEX($D$19:$D$2018,MATCH(P346,$D$19:INDEX($D$19:$D$2018,$H$6),1))))))</f>
        <v/>
      </c>
      <c r="R346" s="8">
        <f>IF(P346=0,0,-Y346*N346/P346)</f>
        <v/>
      </c>
      <c r="S346" s="8">
        <f>IF(P346=0,0,Y346*O346/P346)</f>
        <v/>
      </c>
      <c r="T346" s="8">
        <f>IF(Y346=0,$B$7/2,$B$7/2-Z346*R346/Y346)</f>
        <v/>
      </c>
      <c r="U346" s="8">
        <f>IF(Y346=0,$B$8/2,$B$8/2+Z346*S346/Y346)</f>
        <v/>
      </c>
      <c r="V346" s="8">
        <f>SQRT((T346-L346)^2+(U346-M346)^2)</f>
        <v/>
      </c>
      <c r="Y346">
        <f>$B$10*TAN(RADIANS(Q346))</f>
        <v/>
      </c>
      <c r="Z346">
        <f>IF(OR($H$7&lt;&gt;"OK",Q346=""),"",IF(Q346&lt;=$A$19,$D$19,IF(Q346&gt;=INDEX($A$19:$A$2018,$H$6),INDEX($D$19:$D$2018,$H$6),INDEX($D$19:$D$2018,MATCH(Q346,$A$19:INDEX($A$19:$A$2018,$H$6),1))+(Q346-INDEX($A$19:$A$2018,MATCH(Q346,$A$19:INDEX($A$19:$A$2018,$H$6),1)))*(INDEX($D$19:$D$2018,MATCH(Q346,$A$19:INDEX($A$19:$A$2018,$H$6),1)+1)-INDEX($D$19:$D$2018,MATCH(Q346,$A$19:INDEX($A$19:$A$2018,$H$6),1)))/(INDEX($A$19:$A$2018,MATCH(Q346,$A$19:INDEX($A$19:$A$2018,$H$6),1)+1)-INDEX($A$19:$A$2018,MATCH(Q346,$A$19:INDEX($A$19:$A$2018,$H$6),1))))))</f>
        <v/>
      </c>
    </row>
    <row r="347">
      <c r="A347" s="11" t="n"/>
      <c r="B347" s="11" t="n"/>
      <c r="C347" s="12">
        <f>IF(A347="","",$B$9*TAN(RADIANS(A347)))</f>
        <v/>
      </c>
      <c r="D347" s="12">
        <f>IF(C347="","",C347*(1+B347/100))</f>
        <v/>
      </c>
      <c r="E347" s="12">
        <f>IF(A347="","",$B$10*TAN(RADIANS(A347)))</f>
        <v/>
      </c>
      <c r="G347" s="8" t="n">
        <v>329</v>
      </c>
      <c r="H347" s="8">
        <f>$K$12</f>
        <v/>
      </c>
      <c r="I347" s="7" t="inlineStr">
        <is>
          <t>橫</t>
        </is>
      </c>
      <c r="J347" s="8" t="n">
        <v>3</v>
      </c>
      <c r="K347" s="7" t="inlineStr">
        <is>
          <t>左上</t>
        </is>
      </c>
      <c r="L347" s="8">
        <f>$O$12-($M$12+$L$12)/2+(-1)*$M$12/2</f>
        <v/>
      </c>
      <c r="M347" s="8">
        <f>$P$12-$M$12/2+$L$12/2+2*2*$L$12+(-1)*$L$12/2</f>
        <v/>
      </c>
      <c r="N347" s="8">
        <f>L347-$B$7/2</f>
        <v/>
      </c>
      <c r="O347" s="8">
        <f>M347-$B$8/2</f>
        <v/>
      </c>
      <c r="P347" s="8">
        <f>SQRT(N347^2+O347^2)</f>
        <v/>
      </c>
      <c r="Q347" s="8">
        <f>IF(OR($H$7&lt;&gt;"OK",P347=""),"",IF(P347&lt;=$D$19,$A$19,IF(P347&gt;=INDEX($D$19:$D$2018,$H$6),INDEX($A$19:$A$2018,$H$6),INDEX($A$19:$A$2018,MATCH(P347,$D$19:INDEX($D$19:$D$2018,$H$6),1))+(P347-INDEX($D$19:$D$2018,MATCH(P347,$D$19:INDEX($D$19:$D$2018,$H$6),1)))*(INDEX($A$19:$A$2018,MATCH(P347,$D$19:INDEX($D$19:$D$2018,$H$6),1)+1)-INDEX($A$19:$A$2018,MATCH(P347,$D$19:INDEX($D$19:$D$2018,$H$6),1)))/(INDEX($D$19:$D$2018,MATCH(P347,$D$19:INDEX($D$19:$D$2018,$H$6),1)+1)-INDEX($D$19:$D$2018,MATCH(P347,$D$19:INDEX($D$19:$D$2018,$H$6),1))))))</f>
        <v/>
      </c>
      <c r="R347" s="8">
        <f>IF(P347=0,0,-Y347*N347/P347)</f>
        <v/>
      </c>
      <c r="S347" s="8">
        <f>IF(P347=0,0,Y347*O347/P347)</f>
        <v/>
      </c>
      <c r="T347" s="8">
        <f>IF(Y347=0,$B$7/2,$B$7/2-Z347*R347/Y347)</f>
        <v/>
      </c>
      <c r="U347" s="8">
        <f>IF(Y347=0,$B$8/2,$B$8/2+Z347*S347/Y347)</f>
        <v/>
      </c>
      <c r="V347" s="8">
        <f>SQRT((T347-L347)^2+(U347-M347)^2)</f>
        <v/>
      </c>
      <c r="Y347">
        <f>$B$10*TAN(RADIANS(Q347))</f>
        <v/>
      </c>
      <c r="Z347">
        <f>IF(OR($H$7&lt;&gt;"OK",Q347=""),"",IF(Q347&lt;=$A$19,$D$19,IF(Q347&gt;=INDEX($A$19:$A$2018,$H$6),INDEX($D$19:$D$2018,$H$6),INDEX($D$19:$D$2018,MATCH(Q347,$A$19:INDEX($A$19:$A$2018,$H$6),1))+(Q347-INDEX($A$19:$A$2018,MATCH(Q347,$A$19:INDEX($A$19:$A$2018,$H$6),1)))*(INDEX($D$19:$D$2018,MATCH(Q347,$A$19:INDEX($A$19:$A$2018,$H$6),1)+1)-INDEX($D$19:$D$2018,MATCH(Q347,$A$19:INDEX($A$19:$A$2018,$H$6),1)))/(INDEX($A$19:$A$2018,MATCH(Q347,$A$19:INDEX($A$19:$A$2018,$H$6),1)+1)-INDEX($A$19:$A$2018,MATCH(Q347,$A$19:INDEX($A$19:$A$2018,$H$6),1))))))</f>
        <v/>
      </c>
    </row>
    <row r="348">
      <c r="A348" s="11" t="n"/>
      <c r="B348" s="11" t="n"/>
      <c r="C348" s="12">
        <f>IF(A348="","",$B$9*TAN(RADIANS(A348)))</f>
        <v/>
      </c>
      <c r="D348" s="12">
        <f>IF(C348="","",C348*(1+B348/100))</f>
        <v/>
      </c>
      <c r="E348" s="12">
        <f>IF(A348="","",$B$10*TAN(RADIANS(A348)))</f>
        <v/>
      </c>
      <c r="G348" s="8" t="n">
        <v>330</v>
      </c>
      <c r="H348" s="8">
        <f>$K$12</f>
        <v/>
      </c>
      <c r="I348" s="7" t="inlineStr">
        <is>
          <t>橫</t>
        </is>
      </c>
      <c r="J348" s="8" t="n">
        <v>3</v>
      </c>
      <c r="K348" s="7" t="inlineStr">
        <is>
          <t>右上</t>
        </is>
      </c>
      <c r="L348" s="8">
        <f>$O$12-($M$12+$L$12)/2+(1)*$M$12/2</f>
        <v/>
      </c>
      <c r="M348" s="8">
        <f>$P$12-$M$12/2+$L$12/2+2*2*$L$12+(-1)*$L$12/2</f>
        <v/>
      </c>
      <c r="N348" s="8">
        <f>L348-$B$7/2</f>
        <v/>
      </c>
      <c r="O348" s="8">
        <f>M348-$B$8/2</f>
        <v/>
      </c>
      <c r="P348" s="8">
        <f>SQRT(N348^2+O348^2)</f>
        <v/>
      </c>
      <c r="Q348" s="8">
        <f>IF(OR($H$7&lt;&gt;"OK",P348=""),"",IF(P348&lt;=$D$19,$A$19,IF(P348&gt;=INDEX($D$19:$D$2018,$H$6),INDEX($A$19:$A$2018,$H$6),INDEX($A$19:$A$2018,MATCH(P348,$D$19:INDEX($D$19:$D$2018,$H$6),1))+(P348-INDEX($D$19:$D$2018,MATCH(P348,$D$19:INDEX($D$19:$D$2018,$H$6),1)))*(INDEX($A$19:$A$2018,MATCH(P348,$D$19:INDEX($D$19:$D$2018,$H$6),1)+1)-INDEX($A$19:$A$2018,MATCH(P348,$D$19:INDEX($D$19:$D$2018,$H$6),1)))/(INDEX($D$19:$D$2018,MATCH(P348,$D$19:INDEX($D$19:$D$2018,$H$6),1)+1)-INDEX($D$19:$D$2018,MATCH(P348,$D$19:INDEX($D$19:$D$2018,$H$6),1))))))</f>
        <v/>
      </c>
      <c r="R348" s="8">
        <f>IF(P348=0,0,-Y348*N348/P348)</f>
        <v/>
      </c>
      <c r="S348" s="8">
        <f>IF(P348=0,0,Y348*O348/P348)</f>
        <v/>
      </c>
      <c r="T348" s="8">
        <f>IF(Y348=0,$B$7/2,$B$7/2-Z348*R348/Y348)</f>
        <v/>
      </c>
      <c r="U348" s="8">
        <f>IF(Y348=0,$B$8/2,$B$8/2+Z348*S348/Y348)</f>
        <v/>
      </c>
      <c r="V348" s="8">
        <f>SQRT((T348-L348)^2+(U348-M348)^2)</f>
        <v/>
      </c>
      <c r="Y348">
        <f>$B$10*TAN(RADIANS(Q348))</f>
        <v/>
      </c>
      <c r="Z348">
        <f>IF(OR($H$7&lt;&gt;"OK",Q348=""),"",IF(Q348&lt;=$A$19,$D$19,IF(Q348&gt;=INDEX($A$19:$A$2018,$H$6),INDEX($D$19:$D$2018,$H$6),INDEX($D$19:$D$2018,MATCH(Q348,$A$19:INDEX($A$19:$A$2018,$H$6),1))+(Q348-INDEX($A$19:$A$2018,MATCH(Q348,$A$19:INDEX($A$19:$A$2018,$H$6),1)))*(INDEX($D$19:$D$2018,MATCH(Q348,$A$19:INDEX($A$19:$A$2018,$H$6),1)+1)-INDEX($D$19:$D$2018,MATCH(Q348,$A$19:INDEX($A$19:$A$2018,$H$6),1)))/(INDEX($A$19:$A$2018,MATCH(Q348,$A$19:INDEX($A$19:$A$2018,$H$6),1)+1)-INDEX($A$19:$A$2018,MATCH(Q348,$A$19:INDEX($A$19:$A$2018,$H$6),1))))))</f>
        <v/>
      </c>
    </row>
    <row r="349">
      <c r="A349" s="11" t="n"/>
      <c r="B349" s="11" t="n"/>
      <c r="C349" s="12">
        <f>IF(A349="","",$B$9*TAN(RADIANS(A349)))</f>
        <v/>
      </c>
      <c r="D349" s="12">
        <f>IF(C349="","",C349*(1+B349/100))</f>
        <v/>
      </c>
      <c r="E349" s="12">
        <f>IF(A349="","",$B$10*TAN(RADIANS(A349)))</f>
        <v/>
      </c>
      <c r="G349" s="8" t="n">
        <v>331</v>
      </c>
      <c r="H349" s="8">
        <f>$K$12</f>
        <v/>
      </c>
      <c r="I349" s="7" t="inlineStr">
        <is>
          <t>橫</t>
        </is>
      </c>
      <c r="J349" s="8" t="n">
        <v>3</v>
      </c>
      <c r="K349" s="7" t="inlineStr">
        <is>
          <t>右下</t>
        </is>
      </c>
      <c r="L349" s="8">
        <f>$O$12-($M$12+$L$12)/2+(1)*$M$12/2</f>
        <v/>
      </c>
      <c r="M349" s="8">
        <f>$P$12-$M$12/2+$L$12/2+2*2*$L$12+(1)*$L$12/2</f>
        <v/>
      </c>
      <c r="N349" s="8">
        <f>L349-$B$7/2</f>
        <v/>
      </c>
      <c r="O349" s="8">
        <f>M349-$B$8/2</f>
        <v/>
      </c>
      <c r="P349" s="8">
        <f>SQRT(N349^2+O349^2)</f>
        <v/>
      </c>
      <c r="Q349" s="8">
        <f>IF(OR($H$7&lt;&gt;"OK",P349=""),"",IF(P349&lt;=$D$19,$A$19,IF(P349&gt;=INDEX($D$19:$D$2018,$H$6),INDEX($A$19:$A$2018,$H$6),INDEX($A$19:$A$2018,MATCH(P349,$D$19:INDEX($D$19:$D$2018,$H$6),1))+(P349-INDEX($D$19:$D$2018,MATCH(P349,$D$19:INDEX($D$19:$D$2018,$H$6),1)))*(INDEX($A$19:$A$2018,MATCH(P349,$D$19:INDEX($D$19:$D$2018,$H$6),1)+1)-INDEX($A$19:$A$2018,MATCH(P349,$D$19:INDEX($D$19:$D$2018,$H$6),1)))/(INDEX($D$19:$D$2018,MATCH(P349,$D$19:INDEX($D$19:$D$2018,$H$6),1)+1)-INDEX($D$19:$D$2018,MATCH(P349,$D$19:INDEX($D$19:$D$2018,$H$6),1))))))</f>
        <v/>
      </c>
      <c r="R349" s="8">
        <f>IF(P349=0,0,-Y349*N349/P349)</f>
        <v/>
      </c>
      <c r="S349" s="8">
        <f>IF(P349=0,0,Y349*O349/P349)</f>
        <v/>
      </c>
      <c r="T349" s="8">
        <f>IF(Y349=0,$B$7/2,$B$7/2-Z349*R349/Y349)</f>
        <v/>
      </c>
      <c r="U349" s="8">
        <f>IF(Y349=0,$B$8/2,$B$8/2+Z349*S349/Y349)</f>
        <v/>
      </c>
      <c r="V349" s="8">
        <f>SQRT((T349-L349)^2+(U349-M349)^2)</f>
        <v/>
      </c>
      <c r="Y349">
        <f>$B$10*TAN(RADIANS(Q349))</f>
        <v/>
      </c>
      <c r="Z349">
        <f>IF(OR($H$7&lt;&gt;"OK",Q349=""),"",IF(Q349&lt;=$A$19,$D$19,IF(Q349&gt;=INDEX($A$19:$A$2018,$H$6),INDEX($D$19:$D$2018,$H$6),INDEX($D$19:$D$2018,MATCH(Q349,$A$19:INDEX($A$19:$A$2018,$H$6),1))+(Q349-INDEX($A$19:$A$2018,MATCH(Q349,$A$19:INDEX($A$19:$A$2018,$H$6),1)))*(INDEX($D$19:$D$2018,MATCH(Q349,$A$19:INDEX($A$19:$A$2018,$H$6),1)+1)-INDEX($D$19:$D$2018,MATCH(Q349,$A$19:INDEX($A$19:$A$2018,$H$6),1)))/(INDEX($A$19:$A$2018,MATCH(Q349,$A$19:INDEX($A$19:$A$2018,$H$6),1)+1)-INDEX($A$19:$A$2018,MATCH(Q349,$A$19:INDEX($A$19:$A$2018,$H$6),1))))))</f>
        <v/>
      </c>
    </row>
    <row r="350">
      <c r="A350" s="11" t="n"/>
      <c r="B350" s="11" t="n"/>
      <c r="C350" s="12">
        <f>IF(A350="","",$B$9*TAN(RADIANS(A350)))</f>
        <v/>
      </c>
      <c r="D350" s="12">
        <f>IF(C350="","",C350*(1+B350/100))</f>
        <v/>
      </c>
      <c r="E350" s="12">
        <f>IF(A350="","",$B$10*TAN(RADIANS(A350)))</f>
        <v/>
      </c>
      <c r="G350" s="8" t="n">
        <v>332</v>
      </c>
      <c r="H350" s="8">
        <f>$K$12</f>
        <v/>
      </c>
      <c r="I350" s="7" t="inlineStr">
        <is>
          <t>橫</t>
        </is>
      </c>
      <c r="J350" s="8" t="n">
        <v>3</v>
      </c>
      <c r="K350" s="7" t="inlineStr">
        <is>
          <t>左下</t>
        </is>
      </c>
      <c r="L350" s="8">
        <f>$O$12-($M$12+$L$12)/2+(-1)*$M$12/2</f>
        <v/>
      </c>
      <c r="M350" s="8">
        <f>$P$12-$M$12/2+$L$12/2+2*2*$L$12+(1)*$L$12/2</f>
        <v/>
      </c>
      <c r="N350" s="8">
        <f>L350-$B$7/2</f>
        <v/>
      </c>
      <c r="O350" s="8">
        <f>M350-$B$8/2</f>
        <v/>
      </c>
      <c r="P350" s="8">
        <f>SQRT(N350^2+O350^2)</f>
        <v/>
      </c>
      <c r="Q350" s="8">
        <f>IF(OR($H$7&lt;&gt;"OK",P350=""),"",IF(P350&lt;=$D$19,$A$19,IF(P350&gt;=INDEX($D$19:$D$2018,$H$6),INDEX($A$19:$A$2018,$H$6),INDEX($A$19:$A$2018,MATCH(P350,$D$19:INDEX($D$19:$D$2018,$H$6),1))+(P350-INDEX($D$19:$D$2018,MATCH(P350,$D$19:INDEX($D$19:$D$2018,$H$6),1)))*(INDEX($A$19:$A$2018,MATCH(P350,$D$19:INDEX($D$19:$D$2018,$H$6),1)+1)-INDEX($A$19:$A$2018,MATCH(P350,$D$19:INDEX($D$19:$D$2018,$H$6),1)))/(INDEX($D$19:$D$2018,MATCH(P350,$D$19:INDEX($D$19:$D$2018,$H$6),1)+1)-INDEX($D$19:$D$2018,MATCH(P350,$D$19:INDEX($D$19:$D$2018,$H$6),1))))))</f>
        <v/>
      </c>
      <c r="R350" s="8">
        <f>IF(P350=0,0,-Y350*N350/P350)</f>
        <v/>
      </c>
      <c r="S350" s="8">
        <f>IF(P350=0,0,Y350*O350/P350)</f>
        <v/>
      </c>
      <c r="T350" s="8">
        <f>IF(Y350=0,$B$7/2,$B$7/2-Z350*R350/Y350)</f>
        <v/>
      </c>
      <c r="U350" s="8">
        <f>IF(Y350=0,$B$8/2,$B$8/2+Z350*S350/Y350)</f>
        <v/>
      </c>
      <c r="V350" s="8">
        <f>SQRT((T350-L350)^2+(U350-M350)^2)</f>
        <v/>
      </c>
      <c r="Y350">
        <f>$B$10*TAN(RADIANS(Q350))</f>
        <v/>
      </c>
      <c r="Z350">
        <f>IF(OR($H$7&lt;&gt;"OK",Q350=""),"",IF(Q350&lt;=$A$19,$D$19,IF(Q350&gt;=INDEX($A$19:$A$2018,$H$6),INDEX($D$19:$D$2018,$H$6),INDEX($D$19:$D$2018,MATCH(Q350,$A$19:INDEX($A$19:$A$2018,$H$6),1))+(Q350-INDEX($A$19:$A$2018,MATCH(Q350,$A$19:INDEX($A$19:$A$2018,$H$6),1)))*(INDEX($D$19:$D$2018,MATCH(Q350,$A$19:INDEX($A$19:$A$2018,$H$6),1)+1)-INDEX($D$19:$D$2018,MATCH(Q350,$A$19:INDEX($A$19:$A$2018,$H$6),1)))/(INDEX($A$19:$A$2018,MATCH(Q350,$A$19:INDEX($A$19:$A$2018,$H$6),1)+1)-INDEX($A$19:$A$2018,MATCH(Q350,$A$19:INDEX($A$19:$A$2018,$H$6),1))))))</f>
        <v/>
      </c>
    </row>
    <row r="351">
      <c r="A351" s="11" t="n"/>
      <c r="B351" s="11" t="n"/>
      <c r="C351" s="12">
        <f>IF(A351="","",$B$9*TAN(RADIANS(A351)))</f>
        <v/>
      </c>
      <c r="D351" s="12">
        <f>IF(C351="","",C351*(1+B351/100))</f>
        <v/>
      </c>
      <c r="E351" s="12">
        <f>IF(A351="","",$B$10*TAN(RADIANS(A351)))</f>
        <v/>
      </c>
      <c r="G351" s="8" t="n">
        <v>333</v>
      </c>
      <c r="H351" s="8">
        <f>$K$12</f>
        <v/>
      </c>
      <c r="I351" s="7" t="inlineStr">
        <is>
          <t>橫</t>
        </is>
      </c>
      <c r="J351" s="8" t="n">
        <v>4</v>
      </c>
      <c r="K351" s="7" t="inlineStr">
        <is>
          <t>左上</t>
        </is>
      </c>
      <c r="L351" s="8">
        <f>$O$12-($M$12+$L$12)/2+(-1)*$M$12/2</f>
        <v/>
      </c>
      <c r="M351" s="8">
        <f>$P$12-$M$12/2+$L$12/2+3*2*$L$12+(-1)*$L$12/2</f>
        <v/>
      </c>
      <c r="N351" s="8">
        <f>L351-$B$7/2</f>
        <v/>
      </c>
      <c r="O351" s="8">
        <f>M351-$B$8/2</f>
        <v/>
      </c>
      <c r="P351" s="8">
        <f>SQRT(N351^2+O351^2)</f>
        <v/>
      </c>
      <c r="Q351" s="8">
        <f>IF(OR($H$7&lt;&gt;"OK",P351=""),"",IF(P351&lt;=$D$19,$A$19,IF(P351&gt;=INDEX($D$19:$D$2018,$H$6),INDEX($A$19:$A$2018,$H$6),INDEX($A$19:$A$2018,MATCH(P351,$D$19:INDEX($D$19:$D$2018,$H$6),1))+(P351-INDEX($D$19:$D$2018,MATCH(P351,$D$19:INDEX($D$19:$D$2018,$H$6),1)))*(INDEX($A$19:$A$2018,MATCH(P351,$D$19:INDEX($D$19:$D$2018,$H$6),1)+1)-INDEX($A$19:$A$2018,MATCH(P351,$D$19:INDEX($D$19:$D$2018,$H$6),1)))/(INDEX($D$19:$D$2018,MATCH(P351,$D$19:INDEX($D$19:$D$2018,$H$6),1)+1)-INDEX($D$19:$D$2018,MATCH(P351,$D$19:INDEX($D$19:$D$2018,$H$6),1))))))</f>
        <v/>
      </c>
      <c r="R351" s="8">
        <f>IF(P351=0,0,-Y351*N351/P351)</f>
        <v/>
      </c>
      <c r="S351" s="8">
        <f>IF(P351=0,0,Y351*O351/P351)</f>
        <v/>
      </c>
      <c r="T351" s="8">
        <f>IF(Y351=0,$B$7/2,$B$7/2-Z351*R351/Y351)</f>
        <v/>
      </c>
      <c r="U351" s="8">
        <f>IF(Y351=0,$B$8/2,$B$8/2+Z351*S351/Y351)</f>
        <v/>
      </c>
      <c r="V351" s="8">
        <f>SQRT((T351-L351)^2+(U351-M351)^2)</f>
        <v/>
      </c>
      <c r="Y351">
        <f>$B$10*TAN(RADIANS(Q351))</f>
        <v/>
      </c>
      <c r="Z351">
        <f>IF(OR($H$7&lt;&gt;"OK",Q351=""),"",IF(Q351&lt;=$A$19,$D$19,IF(Q351&gt;=INDEX($A$19:$A$2018,$H$6),INDEX($D$19:$D$2018,$H$6),INDEX($D$19:$D$2018,MATCH(Q351,$A$19:INDEX($A$19:$A$2018,$H$6),1))+(Q351-INDEX($A$19:$A$2018,MATCH(Q351,$A$19:INDEX($A$19:$A$2018,$H$6),1)))*(INDEX($D$19:$D$2018,MATCH(Q351,$A$19:INDEX($A$19:$A$2018,$H$6),1)+1)-INDEX($D$19:$D$2018,MATCH(Q351,$A$19:INDEX($A$19:$A$2018,$H$6),1)))/(INDEX($A$19:$A$2018,MATCH(Q351,$A$19:INDEX($A$19:$A$2018,$H$6),1)+1)-INDEX($A$19:$A$2018,MATCH(Q351,$A$19:INDEX($A$19:$A$2018,$H$6),1))))))</f>
        <v/>
      </c>
    </row>
    <row r="352">
      <c r="A352" s="11" t="n"/>
      <c r="B352" s="11" t="n"/>
      <c r="C352" s="12">
        <f>IF(A352="","",$B$9*TAN(RADIANS(A352)))</f>
        <v/>
      </c>
      <c r="D352" s="12">
        <f>IF(C352="","",C352*(1+B352/100))</f>
        <v/>
      </c>
      <c r="E352" s="12">
        <f>IF(A352="","",$B$10*TAN(RADIANS(A352)))</f>
        <v/>
      </c>
      <c r="G352" s="8" t="n">
        <v>334</v>
      </c>
      <c r="H352" s="8">
        <f>$K$12</f>
        <v/>
      </c>
      <c r="I352" s="7" t="inlineStr">
        <is>
          <t>橫</t>
        </is>
      </c>
      <c r="J352" s="8" t="n">
        <v>4</v>
      </c>
      <c r="K352" s="7" t="inlineStr">
        <is>
          <t>右上</t>
        </is>
      </c>
      <c r="L352" s="8">
        <f>$O$12-($M$12+$L$12)/2+(1)*$M$12/2</f>
        <v/>
      </c>
      <c r="M352" s="8">
        <f>$P$12-$M$12/2+$L$12/2+3*2*$L$12+(-1)*$L$12/2</f>
        <v/>
      </c>
      <c r="N352" s="8">
        <f>L352-$B$7/2</f>
        <v/>
      </c>
      <c r="O352" s="8">
        <f>M352-$B$8/2</f>
        <v/>
      </c>
      <c r="P352" s="8">
        <f>SQRT(N352^2+O352^2)</f>
        <v/>
      </c>
      <c r="Q352" s="8">
        <f>IF(OR($H$7&lt;&gt;"OK",P352=""),"",IF(P352&lt;=$D$19,$A$19,IF(P352&gt;=INDEX($D$19:$D$2018,$H$6),INDEX($A$19:$A$2018,$H$6),INDEX($A$19:$A$2018,MATCH(P352,$D$19:INDEX($D$19:$D$2018,$H$6),1))+(P352-INDEX($D$19:$D$2018,MATCH(P352,$D$19:INDEX($D$19:$D$2018,$H$6),1)))*(INDEX($A$19:$A$2018,MATCH(P352,$D$19:INDEX($D$19:$D$2018,$H$6),1)+1)-INDEX($A$19:$A$2018,MATCH(P352,$D$19:INDEX($D$19:$D$2018,$H$6),1)))/(INDEX($D$19:$D$2018,MATCH(P352,$D$19:INDEX($D$19:$D$2018,$H$6),1)+1)-INDEX($D$19:$D$2018,MATCH(P352,$D$19:INDEX($D$19:$D$2018,$H$6),1))))))</f>
        <v/>
      </c>
      <c r="R352" s="8">
        <f>IF(P352=0,0,-Y352*N352/P352)</f>
        <v/>
      </c>
      <c r="S352" s="8">
        <f>IF(P352=0,0,Y352*O352/P352)</f>
        <v/>
      </c>
      <c r="T352" s="8">
        <f>IF(Y352=0,$B$7/2,$B$7/2-Z352*R352/Y352)</f>
        <v/>
      </c>
      <c r="U352" s="8">
        <f>IF(Y352=0,$B$8/2,$B$8/2+Z352*S352/Y352)</f>
        <v/>
      </c>
      <c r="V352" s="8">
        <f>SQRT((T352-L352)^2+(U352-M352)^2)</f>
        <v/>
      </c>
      <c r="Y352">
        <f>$B$10*TAN(RADIANS(Q352))</f>
        <v/>
      </c>
      <c r="Z352">
        <f>IF(OR($H$7&lt;&gt;"OK",Q352=""),"",IF(Q352&lt;=$A$19,$D$19,IF(Q352&gt;=INDEX($A$19:$A$2018,$H$6),INDEX($D$19:$D$2018,$H$6),INDEX($D$19:$D$2018,MATCH(Q352,$A$19:INDEX($A$19:$A$2018,$H$6),1))+(Q352-INDEX($A$19:$A$2018,MATCH(Q352,$A$19:INDEX($A$19:$A$2018,$H$6),1)))*(INDEX($D$19:$D$2018,MATCH(Q352,$A$19:INDEX($A$19:$A$2018,$H$6),1)+1)-INDEX($D$19:$D$2018,MATCH(Q352,$A$19:INDEX($A$19:$A$2018,$H$6),1)))/(INDEX($A$19:$A$2018,MATCH(Q352,$A$19:INDEX($A$19:$A$2018,$H$6),1)+1)-INDEX($A$19:$A$2018,MATCH(Q352,$A$19:INDEX($A$19:$A$2018,$H$6),1))))))</f>
        <v/>
      </c>
    </row>
    <row r="353">
      <c r="A353" s="11" t="n"/>
      <c r="B353" s="11" t="n"/>
      <c r="C353" s="12">
        <f>IF(A353="","",$B$9*TAN(RADIANS(A353)))</f>
        <v/>
      </c>
      <c r="D353" s="12">
        <f>IF(C353="","",C353*(1+B353/100))</f>
        <v/>
      </c>
      <c r="E353" s="12">
        <f>IF(A353="","",$B$10*TAN(RADIANS(A353)))</f>
        <v/>
      </c>
      <c r="G353" s="8" t="n">
        <v>335</v>
      </c>
      <c r="H353" s="8">
        <f>$K$12</f>
        <v/>
      </c>
      <c r="I353" s="7" t="inlineStr">
        <is>
          <t>橫</t>
        </is>
      </c>
      <c r="J353" s="8" t="n">
        <v>4</v>
      </c>
      <c r="K353" s="7" t="inlineStr">
        <is>
          <t>右下</t>
        </is>
      </c>
      <c r="L353" s="8">
        <f>$O$12-($M$12+$L$12)/2+(1)*$M$12/2</f>
        <v/>
      </c>
      <c r="M353" s="8">
        <f>$P$12-$M$12/2+$L$12/2+3*2*$L$12+(1)*$L$12/2</f>
        <v/>
      </c>
      <c r="N353" s="8">
        <f>L353-$B$7/2</f>
        <v/>
      </c>
      <c r="O353" s="8">
        <f>M353-$B$8/2</f>
        <v/>
      </c>
      <c r="P353" s="8">
        <f>SQRT(N353^2+O353^2)</f>
        <v/>
      </c>
      <c r="Q353" s="8">
        <f>IF(OR($H$7&lt;&gt;"OK",P353=""),"",IF(P353&lt;=$D$19,$A$19,IF(P353&gt;=INDEX($D$19:$D$2018,$H$6),INDEX($A$19:$A$2018,$H$6),INDEX($A$19:$A$2018,MATCH(P353,$D$19:INDEX($D$19:$D$2018,$H$6),1))+(P353-INDEX($D$19:$D$2018,MATCH(P353,$D$19:INDEX($D$19:$D$2018,$H$6),1)))*(INDEX($A$19:$A$2018,MATCH(P353,$D$19:INDEX($D$19:$D$2018,$H$6),1)+1)-INDEX($A$19:$A$2018,MATCH(P353,$D$19:INDEX($D$19:$D$2018,$H$6),1)))/(INDEX($D$19:$D$2018,MATCH(P353,$D$19:INDEX($D$19:$D$2018,$H$6),1)+1)-INDEX($D$19:$D$2018,MATCH(P353,$D$19:INDEX($D$19:$D$2018,$H$6),1))))))</f>
        <v/>
      </c>
      <c r="R353" s="8">
        <f>IF(P353=0,0,-Y353*N353/P353)</f>
        <v/>
      </c>
      <c r="S353" s="8">
        <f>IF(P353=0,0,Y353*O353/P353)</f>
        <v/>
      </c>
      <c r="T353" s="8">
        <f>IF(Y353=0,$B$7/2,$B$7/2-Z353*R353/Y353)</f>
        <v/>
      </c>
      <c r="U353" s="8">
        <f>IF(Y353=0,$B$8/2,$B$8/2+Z353*S353/Y353)</f>
        <v/>
      </c>
      <c r="V353" s="8">
        <f>SQRT((T353-L353)^2+(U353-M353)^2)</f>
        <v/>
      </c>
      <c r="Y353">
        <f>$B$10*TAN(RADIANS(Q353))</f>
        <v/>
      </c>
      <c r="Z353">
        <f>IF(OR($H$7&lt;&gt;"OK",Q353=""),"",IF(Q353&lt;=$A$19,$D$19,IF(Q353&gt;=INDEX($A$19:$A$2018,$H$6),INDEX($D$19:$D$2018,$H$6),INDEX($D$19:$D$2018,MATCH(Q353,$A$19:INDEX($A$19:$A$2018,$H$6),1))+(Q353-INDEX($A$19:$A$2018,MATCH(Q353,$A$19:INDEX($A$19:$A$2018,$H$6),1)))*(INDEX($D$19:$D$2018,MATCH(Q353,$A$19:INDEX($A$19:$A$2018,$H$6),1)+1)-INDEX($D$19:$D$2018,MATCH(Q353,$A$19:INDEX($A$19:$A$2018,$H$6),1)))/(INDEX($A$19:$A$2018,MATCH(Q353,$A$19:INDEX($A$19:$A$2018,$H$6),1)+1)-INDEX($A$19:$A$2018,MATCH(Q353,$A$19:INDEX($A$19:$A$2018,$H$6),1))))))</f>
        <v/>
      </c>
    </row>
    <row r="354">
      <c r="A354" s="11" t="n"/>
      <c r="B354" s="11" t="n"/>
      <c r="C354" s="12">
        <f>IF(A354="","",$B$9*TAN(RADIANS(A354)))</f>
        <v/>
      </c>
      <c r="D354" s="12">
        <f>IF(C354="","",C354*(1+B354/100))</f>
        <v/>
      </c>
      <c r="E354" s="12">
        <f>IF(A354="","",$B$10*TAN(RADIANS(A354)))</f>
        <v/>
      </c>
      <c r="G354" s="8" t="n">
        <v>336</v>
      </c>
      <c r="H354" s="8">
        <f>$K$12</f>
        <v/>
      </c>
      <c r="I354" s="7" t="inlineStr">
        <is>
          <t>橫</t>
        </is>
      </c>
      <c r="J354" s="8" t="n">
        <v>4</v>
      </c>
      <c r="K354" s="7" t="inlineStr">
        <is>
          <t>左下</t>
        </is>
      </c>
      <c r="L354" s="8">
        <f>$O$12-($M$12+$L$12)/2+(-1)*$M$12/2</f>
        <v/>
      </c>
      <c r="M354" s="8">
        <f>$P$12-$M$12/2+$L$12/2+3*2*$L$12+(1)*$L$12/2</f>
        <v/>
      </c>
      <c r="N354" s="8">
        <f>L354-$B$7/2</f>
        <v/>
      </c>
      <c r="O354" s="8">
        <f>M354-$B$8/2</f>
        <v/>
      </c>
      <c r="P354" s="8">
        <f>SQRT(N354^2+O354^2)</f>
        <v/>
      </c>
      <c r="Q354" s="8">
        <f>IF(OR($H$7&lt;&gt;"OK",P354=""),"",IF(P354&lt;=$D$19,$A$19,IF(P354&gt;=INDEX($D$19:$D$2018,$H$6),INDEX($A$19:$A$2018,$H$6),INDEX($A$19:$A$2018,MATCH(P354,$D$19:INDEX($D$19:$D$2018,$H$6),1))+(P354-INDEX($D$19:$D$2018,MATCH(P354,$D$19:INDEX($D$19:$D$2018,$H$6),1)))*(INDEX($A$19:$A$2018,MATCH(P354,$D$19:INDEX($D$19:$D$2018,$H$6),1)+1)-INDEX($A$19:$A$2018,MATCH(P354,$D$19:INDEX($D$19:$D$2018,$H$6),1)))/(INDEX($D$19:$D$2018,MATCH(P354,$D$19:INDEX($D$19:$D$2018,$H$6),1)+1)-INDEX($D$19:$D$2018,MATCH(P354,$D$19:INDEX($D$19:$D$2018,$H$6),1))))))</f>
        <v/>
      </c>
      <c r="R354" s="8">
        <f>IF(P354=0,0,-Y354*N354/P354)</f>
        <v/>
      </c>
      <c r="S354" s="8">
        <f>IF(P354=0,0,Y354*O354/P354)</f>
        <v/>
      </c>
      <c r="T354" s="8">
        <f>IF(Y354=0,$B$7/2,$B$7/2-Z354*R354/Y354)</f>
        <v/>
      </c>
      <c r="U354" s="8">
        <f>IF(Y354=0,$B$8/2,$B$8/2+Z354*S354/Y354)</f>
        <v/>
      </c>
      <c r="V354" s="8">
        <f>SQRT((T354-L354)^2+(U354-M354)^2)</f>
        <v/>
      </c>
      <c r="Y354">
        <f>$B$10*TAN(RADIANS(Q354))</f>
        <v/>
      </c>
      <c r="Z354">
        <f>IF(OR($H$7&lt;&gt;"OK",Q354=""),"",IF(Q354&lt;=$A$19,$D$19,IF(Q354&gt;=INDEX($A$19:$A$2018,$H$6),INDEX($D$19:$D$2018,$H$6),INDEX($D$19:$D$2018,MATCH(Q354,$A$19:INDEX($A$19:$A$2018,$H$6),1))+(Q354-INDEX($A$19:$A$2018,MATCH(Q354,$A$19:INDEX($A$19:$A$2018,$H$6),1)))*(INDEX($D$19:$D$2018,MATCH(Q354,$A$19:INDEX($A$19:$A$2018,$H$6),1)+1)-INDEX($D$19:$D$2018,MATCH(Q354,$A$19:INDEX($A$19:$A$2018,$H$6),1)))/(INDEX($A$19:$A$2018,MATCH(Q354,$A$19:INDEX($A$19:$A$2018,$H$6),1)+1)-INDEX($A$19:$A$2018,MATCH(Q354,$A$19:INDEX($A$19:$A$2018,$H$6),1))))))</f>
        <v/>
      </c>
    </row>
    <row r="355">
      <c r="A355" s="11" t="n"/>
      <c r="B355" s="11" t="n"/>
      <c r="C355" s="12">
        <f>IF(A355="","",$B$9*TAN(RADIANS(A355)))</f>
        <v/>
      </c>
      <c r="D355" s="12">
        <f>IF(C355="","",C355*(1+B355/100))</f>
        <v/>
      </c>
      <c r="E355" s="12">
        <f>IF(A355="","",$B$10*TAN(RADIANS(A355)))</f>
        <v/>
      </c>
      <c r="G355" s="8" t="n">
        <v>337</v>
      </c>
      <c r="H355" s="8">
        <f>$K$12</f>
        <v/>
      </c>
      <c r="I355" s="7" t="inlineStr">
        <is>
          <t>橫</t>
        </is>
      </c>
      <c r="J355" s="8" t="n">
        <v>5</v>
      </c>
      <c r="K355" s="7" t="inlineStr">
        <is>
          <t>左上</t>
        </is>
      </c>
      <c r="L355" s="8">
        <f>$O$12-($M$12+$L$12)/2+(-1)*$M$12/2</f>
        <v/>
      </c>
      <c r="M355" s="8">
        <f>$P$12-$M$12/2+$L$12/2+4*2*$L$12+(-1)*$L$12/2</f>
        <v/>
      </c>
      <c r="N355" s="8">
        <f>L355-$B$7/2</f>
        <v/>
      </c>
      <c r="O355" s="8">
        <f>M355-$B$8/2</f>
        <v/>
      </c>
      <c r="P355" s="8">
        <f>SQRT(N355^2+O355^2)</f>
        <v/>
      </c>
      <c r="Q355" s="8">
        <f>IF(OR($H$7&lt;&gt;"OK",P355=""),"",IF(P355&lt;=$D$19,$A$19,IF(P355&gt;=INDEX($D$19:$D$2018,$H$6),INDEX($A$19:$A$2018,$H$6),INDEX($A$19:$A$2018,MATCH(P355,$D$19:INDEX($D$19:$D$2018,$H$6),1))+(P355-INDEX($D$19:$D$2018,MATCH(P355,$D$19:INDEX($D$19:$D$2018,$H$6),1)))*(INDEX($A$19:$A$2018,MATCH(P355,$D$19:INDEX($D$19:$D$2018,$H$6),1)+1)-INDEX($A$19:$A$2018,MATCH(P355,$D$19:INDEX($D$19:$D$2018,$H$6),1)))/(INDEX($D$19:$D$2018,MATCH(P355,$D$19:INDEX($D$19:$D$2018,$H$6),1)+1)-INDEX($D$19:$D$2018,MATCH(P355,$D$19:INDEX($D$19:$D$2018,$H$6),1))))))</f>
        <v/>
      </c>
      <c r="R355" s="8">
        <f>IF(P355=0,0,-Y355*N355/P355)</f>
        <v/>
      </c>
      <c r="S355" s="8">
        <f>IF(P355=0,0,Y355*O355/P355)</f>
        <v/>
      </c>
      <c r="T355" s="8">
        <f>IF(Y355=0,$B$7/2,$B$7/2-Z355*R355/Y355)</f>
        <v/>
      </c>
      <c r="U355" s="8">
        <f>IF(Y355=0,$B$8/2,$B$8/2+Z355*S355/Y355)</f>
        <v/>
      </c>
      <c r="V355" s="8">
        <f>SQRT((T355-L355)^2+(U355-M355)^2)</f>
        <v/>
      </c>
      <c r="Y355">
        <f>$B$10*TAN(RADIANS(Q355))</f>
        <v/>
      </c>
      <c r="Z355">
        <f>IF(OR($H$7&lt;&gt;"OK",Q355=""),"",IF(Q355&lt;=$A$19,$D$19,IF(Q355&gt;=INDEX($A$19:$A$2018,$H$6),INDEX($D$19:$D$2018,$H$6),INDEX($D$19:$D$2018,MATCH(Q355,$A$19:INDEX($A$19:$A$2018,$H$6),1))+(Q355-INDEX($A$19:$A$2018,MATCH(Q355,$A$19:INDEX($A$19:$A$2018,$H$6),1)))*(INDEX($D$19:$D$2018,MATCH(Q355,$A$19:INDEX($A$19:$A$2018,$H$6),1)+1)-INDEX($D$19:$D$2018,MATCH(Q355,$A$19:INDEX($A$19:$A$2018,$H$6),1)))/(INDEX($A$19:$A$2018,MATCH(Q355,$A$19:INDEX($A$19:$A$2018,$H$6),1)+1)-INDEX($A$19:$A$2018,MATCH(Q355,$A$19:INDEX($A$19:$A$2018,$H$6),1))))))</f>
        <v/>
      </c>
    </row>
    <row r="356">
      <c r="A356" s="11" t="n"/>
      <c r="B356" s="11" t="n"/>
      <c r="C356" s="12">
        <f>IF(A356="","",$B$9*TAN(RADIANS(A356)))</f>
        <v/>
      </c>
      <c r="D356" s="12">
        <f>IF(C356="","",C356*(1+B356/100))</f>
        <v/>
      </c>
      <c r="E356" s="12">
        <f>IF(A356="","",$B$10*TAN(RADIANS(A356)))</f>
        <v/>
      </c>
      <c r="G356" s="8" t="n">
        <v>338</v>
      </c>
      <c r="H356" s="8">
        <f>$K$12</f>
        <v/>
      </c>
      <c r="I356" s="7" t="inlineStr">
        <is>
          <t>橫</t>
        </is>
      </c>
      <c r="J356" s="8" t="n">
        <v>5</v>
      </c>
      <c r="K356" s="7" t="inlineStr">
        <is>
          <t>右上</t>
        </is>
      </c>
      <c r="L356" s="8">
        <f>$O$12-($M$12+$L$12)/2+(1)*$M$12/2</f>
        <v/>
      </c>
      <c r="M356" s="8">
        <f>$P$12-$M$12/2+$L$12/2+4*2*$L$12+(-1)*$L$12/2</f>
        <v/>
      </c>
      <c r="N356" s="8">
        <f>L356-$B$7/2</f>
        <v/>
      </c>
      <c r="O356" s="8">
        <f>M356-$B$8/2</f>
        <v/>
      </c>
      <c r="P356" s="8">
        <f>SQRT(N356^2+O356^2)</f>
        <v/>
      </c>
      <c r="Q356" s="8">
        <f>IF(OR($H$7&lt;&gt;"OK",P356=""),"",IF(P356&lt;=$D$19,$A$19,IF(P356&gt;=INDEX($D$19:$D$2018,$H$6),INDEX($A$19:$A$2018,$H$6),INDEX($A$19:$A$2018,MATCH(P356,$D$19:INDEX($D$19:$D$2018,$H$6),1))+(P356-INDEX($D$19:$D$2018,MATCH(P356,$D$19:INDEX($D$19:$D$2018,$H$6),1)))*(INDEX($A$19:$A$2018,MATCH(P356,$D$19:INDEX($D$19:$D$2018,$H$6),1)+1)-INDEX($A$19:$A$2018,MATCH(P356,$D$19:INDEX($D$19:$D$2018,$H$6),1)))/(INDEX($D$19:$D$2018,MATCH(P356,$D$19:INDEX($D$19:$D$2018,$H$6),1)+1)-INDEX($D$19:$D$2018,MATCH(P356,$D$19:INDEX($D$19:$D$2018,$H$6),1))))))</f>
        <v/>
      </c>
      <c r="R356" s="8">
        <f>IF(P356=0,0,-Y356*N356/P356)</f>
        <v/>
      </c>
      <c r="S356" s="8">
        <f>IF(P356=0,0,Y356*O356/P356)</f>
        <v/>
      </c>
      <c r="T356" s="8">
        <f>IF(Y356=0,$B$7/2,$B$7/2-Z356*R356/Y356)</f>
        <v/>
      </c>
      <c r="U356" s="8">
        <f>IF(Y356=0,$B$8/2,$B$8/2+Z356*S356/Y356)</f>
        <v/>
      </c>
      <c r="V356" s="8">
        <f>SQRT((T356-L356)^2+(U356-M356)^2)</f>
        <v/>
      </c>
      <c r="Y356">
        <f>$B$10*TAN(RADIANS(Q356))</f>
        <v/>
      </c>
      <c r="Z356">
        <f>IF(OR($H$7&lt;&gt;"OK",Q356=""),"",IF(Q356&lt;=$A$19,$D$19,IF(Q356&gt;=INDEX($A$19:$A$2018,$H$6),INDEX($D$19:$D$2018,$H$6),INDEX($D$19:$D$2018,MATCH(Q356,$A$19:INDEX($A$19:$A$2018,$H$6),1))+(Q356-INDEX($A$19:$A$2018,MATCH(Q356,$A$19:INDEX($A$19:$A$2018,$H$6),1)))*(INDEX($D$19:$D$2018,MATCH(Q356,$A$19:INDEX($A$19:$A$2018,$H$6),1)+1)-INDEX($D$19:$D$2018,MATCH(Q356,$A$19:INDEX($A$19:$A$2018,$H$6),1)))/(INDEX($A$19:$A$2018,MATCH(Q356,$A$19:INDEX($A$19:$A$2018,$H$6),1)+1)-INDEX($A$19:$A$2018,MATCH(Q356,$A$19:INDEX($A$19:$A$2018,$H$6),1))))))</f>
        <v/>
      </c>
    </row>
    <row r="357">
      <c r="A357" s="11" t="n"/>
      <c r="B357" s="11" t="n"/>
      <c r="C357" s="12">
        <f>IF(A357="","",$B$9*TAN(RADIANS(A357)))</f>
        <v/>
      </c>
      <c r="D357" s="12">
        <f>IF(C357="","",C357*(1+B357/100))</f>
        <v/>
      </c>
      <c r="E357" s="12">
        <f>IF(A357="","",$B$10*TAN(RADIANS(A357)))</f>
        <v/>
      </c>
      <c r="G357" s="8" t="n">
        <v>339</v>
      </c>
      <c r="H357" s="8">
        <f>$K$12</f>
        <v/>
      </c>
      <c r="I357" s="7" t="inlineStr">
        <is>
          <t>橫</t>
        </is>
      </c>
      <c r="J357" s="8" t="n">
        <v>5</v>
      </c>
      <c r="K357" s="7" t="inlineStr">
        <is>
          <t>右下</t>
        </is>
      </c>
      <c r="L357" s="8">
        <f>$O$12-($M$12+$L$12)/2+(1)*$M$12/2</f>
        <v/>
      </c>
      <c r="M357" s="8">
        <f>$P$12-$M$12/2+$L$12/2+4*2*$L$12+(1)*$L$12/2</f>
        <v/>
      </c>
      <c r="N357" s="8">
        <f>L357-$B$7/2</f>
        <v/>
      </c>
      <c r="O357" s="8">
        <f>M357-$B$8/2</f>
        <v/>
      </c>
      <c r="P357" s="8">
        <f>SQRT(N357^2+O357^2)</f>
        <v/>
      </c>
      <c r="Q357" s="8">
        <f>IF(OR($H$7&lt;&gt;"OK",P357=""),"",IF(P357&lt;=$D$19,$A$19,IF(P357&gt;=INDEX($D$19:$D$2018,$H$6),INDEX($A$19:$A$2018,$H$6),INDEX($A$19:$A$2018,MATCH(P357,$D$19:INDEX($D$19:$D$2018,$H$6),1))+(P357-INDEX($D$19:$D$2018,MATCH(P357,$D$19:INDEX($D$19:$D$2018,$H$6),1)))*(INDEX($A$19:$A$2018,MATCH(P357,$D$19:INDEX($D$19:$D$2018,$H$6),1)+1)-INDEX($A$19:$A$2018,MATCH(P357,$D$19:INDEX($D$19:$D$2018,$H$6),1)))/(INDEX($D$19:$D$2018,MATCH(P357,$D$19:INDEX($D$19:$D$2018,$H$6),1)+1)-INDEX($D$19:$D$2018,MATCH(P357,$D$19:INDEX($D$19:$D$2018,$H$6),1))))))</f>
        <v/>
      </c>
      <c r="R357" s="8">
        <f>IF(P357=0,0,-Y357*N357/P357)</f>
        <v/>
      </c>
      <c r="S357" s="8">
        <f>IF(P357=0,0,Y357*O357/P357)</f>
        <v/>
      </c>
      <c r="T357" s="8">
        <f>IF(Y357=0,$B$7/2,$B$7/2-Z357*R357/Y357)</f>
        <v/>
      </c>
      <c r="U357" s="8">
        <f>IF(Y357=0,$B$8/2,$B$8/2+Z357*S357/Y357)</f>
        <v/>
      </c>
      <c r="V357" s="8">
        <f>SQRT((T357-L357)^2+(U357-M357)^2)</f>
        <v/>
      </c>
      <c r="Y357">
        <f>$B$10*TAN(RADIANS(Q357))</f>
        <v/>
      </c>
      <c r="Z357">
        <f>IF(OR($H$7&lt;&gt;"OK",Q357=""),"",IF(Q357&lt;=$A$19,$D$19,IF(Q357&gt;=INDEX($A$19:$A$2018,$H$6),INDEX($D$19:$D$2018,$H$6),INDEX($D$19:$D$2018,MATCH(Q357,$A$19:INDEX($A$19:$A$2018,$H$6),1))+(Q357-INDEX($A$19:$A$2018,MATCH(Q357,$A$19:INDEX($A$19:$A$2018,$H$6),1)))*(INDEX($D$19:$D$2018,MATCH(Q357,$A$19:INDEX($A$19:$A$2018,$H$6),1)+1)-INDEX($D$19:$D$2018,MATCH(Q357,$A$19:INDEX($A$19:$A$2018,$H$6),1)))/(INDEX($A$19:$A$2018,MATCH(Q357,$A$19:INDEX($A$19:$A$2018,$H$6),1)+1)-INDEX($A$19:$A$2018,MATCH(Q357,$A$19:INDEX($A$19:$A$2018,$H$6),1))))))</f>
        <v/>
      </c>
    </row>
    <row r="358">
      <c r="A358" s="11" t="n"/>
      <c r="B358" s="11" t="n"/>
      <c r="C358" s="12">
        <f>IF(A358="","",$B$9*TAN(RADIANS(A358)))</f>
        <v/>
      </c>
      <c r="D358" s="12">
        <f>IF(C358="","",C358*(1+B358/100))</f>
        <v/>
      </c>
      <c r="E358" s="12">
        <f>IF(A358="","",$B$10*TAN(RADIANS(A358)))</f>
        <v/>
      </c>
      <c r="G358" s="8" t="n">
        <v>340</v>
      </c>
      <c r="H358" s="8">
        <f>$K$12</f>
        <v/>
      </c>
      <c r="I358" s="7" t="inlineStr">
        <is>
          <t>橫</t>
        </is>
      </c>
      <c r="J358" s="8" t="n">
        <v>5</v>
      </c>
      <c r="K358" s="7" t="inlineStr">
        <is>
          <t>左下</t>
        </is>
      </c>
      <c r="L358" s="8">
        <f>$O$12-($M$12+$L$12)/2+(-1)*$M$12/2</f>
        <v/>
      </c>
      <c r="M358" s="8">
        <f>$P$12-$M$12/2+$L$12/2+4*2*$L$12+(1)*$L$12/2</f>
        <v/>
      </c>
      <c r="N358" s="8">
        <f>L358-$B$7/2</f>
        <v/>
      </c>
      <c r="O358" s="8">
        <f>M358-$B$8/2</f>
        <v/>
      </c>
      <c r="P358" s="8">
        <f>SQRT(N358^2+O358^2)</f>
        <v/>
      </c>
      <c r="Q358" s="8">
        <f>IF(OR($H$7&lt;&gt;"OK",P358=""),"",IF(P358&lt;=$D$19,$A$19,IF(P358&gt;=INDEX($D$19:$D$2018,$H$6),INDEX($A$19:$A$2018,$H$6),INDEX($A$19:$A$2018,MATCH(P358,$D$19:INDEX($D$19:$D$2018,$H$6),1))+(P358-INDEX($D$19:$D$2018,MATCH(P358,$D$19:INDEX($D$19:$D$2018,$H$6),1)))*(INDEX($A$19:$A$2018,MATCH(P358,$D$19:INDEX($D$19:$D$2018,$H$6),1)+1)-INDEX($A$19:$A$2018,MATCH(P358,$D$19:INDEX($D$19:$D$2018,$H$6),1)))/(INDEX($D$19:$D$2018,MATCH(P358,$D$19:INDEX($D$19:$D$2018,$H$6),1)+1)-INDEX($D$19:$D$2018,MATCH(P358,$D$19:INDEX($D$19:$D$2018,$H$6),1))))))</f>
        <v/>
      </c>
      <c r="R358" s="8">
        <f>IF(P358=0,0,-Y358*N358/P358)</f>
        <v/>
      </c>
      <c r="S358" s="8">
        <f>IF(P358=0,0,Y358*O358/P358)</f>
        <v/>
      </c>
      <c r="T358" s="8">
        <f>IF(Y358=0,$B$7/2,$B$7/2-Z358*R358/Y358)</f>
        <v/>
      </c>
      <c r="U358" s="8">
        <f>IF(Y358=0,$B$8/2,$B$8/2+Z358*S358/Y358)</f>
        <v/>
      </c>
      <c r="V358" s="8">
        <f>SQRT((T358-L358)^2+(U358-M358)^2)</f>
        <v/>
      </c>
      <c r="Y358">
        <f>$B$10*TAN(RADIANS(Q358))</f>
        <v/>
      </c>
      <c r="Z358">
        <f>IF(OR($H$7&lt;&gt;"OK",Q358=""),"",IF(Q358&lt;=$A$19,$D$19,IF(Q358&gt;=INDEX($A$19:$A$2018,$H$6),INDEX($D$19:$D$2018,$H$6),INDEX($D$19:$D$2018,MATCH(Q358,$A$19:INDEX($A$19:$A$2018,$H$6),1))+(Q358-INDEX($A$19:$A$2018,MATCH(Q358,$A$19:INDEX($A$19:$A$2018,$H$6),1)))*(INDEX($D$19:$D$2018,MATCH(Q358,$A$19:INDEX($A$19:$A$2018,$H$6),1)+1)-INDEX($D$19:$D$2018,MATCH(Q358,$A$19:INDEX($A$19:$A$2018,$H$6),1)))/(INDEX($A$19:$A$2018,MATCH(Q358,$A$19:INDEX($A$19:$A$2018,$H$6),1)+1)-INDEX($A$19:$A$2018,MATCH(Q358,$A$19:INDEX($A$19:$A$2018,$H$6),1))))))</f>
        <v/>
      </c>
    </row>
    <row r="359">
      <c r="A359" s="11" t="n"/>
      <c r="B359" s="11" t="n"/>
      <c r="C359" s="12">
        <f>IF(A359="","",$B$9*TAN(RADIANS(A359)))</f>
        <v/>
      </c>
      <c r="D359" s="12">
        <f>IF(C359="","",C359*(1+B359/100))</f>
        <v/>
      </c>
      <c r="E359" s="12">
        <f>IF(A359="","",$B$10*TAN(RADIANS(A359)))</f>
        <v/>
      </c>
      <c r="G359" s="8" t="n">
        <v>341</v>
      </c>
      <c r="H359" s="8">
        <f>$K$12</f>
        <v/>
      </c>
      <c r="I359" s="7" t="inlineStr">
        <is>
          <t>豎</t>
        </is>
      </c>
      <c r="J359" s="8" t="n">
        <v>1</v>
      </c>
      <c r="K359" s="7" t="inlineStr">
        <is>
          <t>左上</t>
        </is>
      </c>
      <c r="L359" s="8">
        <f>$O$12+($M$12+$L$12)/2-$M$12/2+$L$12/2+0*2*$L$12+(-1)*$L$12/2</f>
        <v/>
      </c>
      <c r="M359" s="8">
        <f>$P$12+(-1)*$M$12/2</f>
        <v/>
      </c>
      <c r="N359" s="8">
        <f>L359-$B$7/2</f>
        <v/>
      </c>
      <c r="O359" s="8">
        <f>M359-$B$8/2</f>
        <v/>
      </c>
      <c r="P359" s="8">
        <f>SQRT(N359^2+O359^2)</f>
        <v/>
      </c>
      <c r="Q359" s="8">
        <f>IF(OR($H$7&lt;&gt;"OK",P359=""),"",IF(P359&lt;=$D$19,$A$19,IF(P359&gt;=INDEX($D$19:$D$2018,$H$6),INDEX($A$19:$A$2018,$H$6),INDEX($A$19:$A$2018,MATCH(P359,$D$19:INDEX($D$19:$D$2018,$H$6),1))+(P359-INDEX($D$19:$D$2018,MATCH(P359,$D$19:INDEX($D$19:$D$2018,$H$6),1)))*(INDEX($A$19:$A$2018,MATCH(P359,$D$19:INDEX($D$19:$D$2018,$H$6),1)+1)-INDEX($A$19:$A$2018,MATCH(P359,$D$19:INDEX($D$19:$D$2018,$H$6),1)))/(INDEX($D$19:$D$2018,MATCH(P359,$D$19:INDEX($D$19:$D$2018,$H$6),1)+1)-INDEX($D$19:$D$2018,MATCH(P359,$D$19:INDEX($D$19:$D$2018,$H$6),1))))))</f>
        <v/>
      </c>
      <c r="R359" s="8">
        <f>IF(P359=0,0,-Y359*N359/P359)</f>
        <v/>
      </c>
      <c r="S359" s="8">
        <f>IF(P359=0,0,Y359*O359/P359)</f>
        <v/>
      </c>
      <c r="T359" s="8">
        <f>IF(Y359=0,$B$7/2,$B$7/2-Z359*R359/Y359)</f>
        <v/>
      </c>
      <c r="U359" s="8">
        <f>IF(Y359=0,$B$8/2,$B$8/2+Z359*S359/Y359)</f>
        <v/>
      </c>
      <c r="V359" s="8">
        <f>SQRT((T359-L359)^2+(U359-M359)^2)</f>
        <v/>
      </c>
      <c r="Y359">
        <f>$B$10*TAN(RADIANS(Q359))</f>
        <v/>
      </c>
      <c r="Z359">
        <f>IF(OR($H$7&lt;&gt;"OK",Q359=""),"",IF(Q359&lt;=$A$19,$D$19,IF(Q359&gt;=INDEX($A$19:$A$2018,$H$6),INDEX($D$19:$D$2018,$H$6),INDEX($D$19:$D$2018,MATCH(Q359,$A$19:INDEX($A$19:$A$2018,$H$6),1))+(Q359-INDEX($A$19:$A$2018,MATCH(Q359,$A$19:INDEX($A$19:$A$2018,$H$6),1)))*(INDEX($D$19:$D$2018,MATCH(Q359,$A$19:INDEX($A$19:$A$2018,$H$6),1)+1)-INDEX($D$19:$D$2018,MATCH(Q359,$A$19:INDEX($A$19:$A$2018,$H$6),1)))/(INDEX($A$19:$A$2018,MATCH(Q359,$A$19:INDEX($A$19:$A$2018,$H$6),1)+1)-INDEX($A$19:$A$2018,MATCH(Q359,$A$19:INDEX($A$19:$A$2018,$H$6),1))))))</f>
        <v/>
      </c>
    </row>
    <row r="360">
      <c r="A360" s="11" t="n"/>
      <c r="B360" s="11" t="n"/>
      <c r="C360" s="12">
        <f>IF(A360="","",$B$9*TAN(RADIANS(A360)))</f>
        <v/>
      </c>
      <c r="D360" s="12">
        <f>IF(C360="","",C360*(1+B360/100))</f>
        <v/>
      </c>
      <c r="E360" s="12">
        <f>IF(A360="","",$B$10*TAN(RADIANS(A360)))</f>
        <v/>
      </c>
      <c r="G360" s="8" t="n">
        <v>342</v>
      </c>
      <c r="H360" s="8">
        <f>$K$12</f>
        <v/>
      </c>
      <c r="I360" s="7" t="inlineStr">
        <is>
          <t>豎</t>
        </is>
      </c>
      <c r="J360" s="8" t="n">
        <v>1</v>
      </c>
      <c r="K360" s="7" t="inlineStr">
        <is>
          <t>右上</t>
        </is>
      </c>
      <c r="L360" s="8">
        <f>$O$12+($M$12+$L$12)/2-$M$12/2+$L$12/2+0*2*$L$12+(1)*$L$12/2</f>
        <v/>
      </c>
      <c r="M360" s="8">
        <f>$P$12+(-1)*$M$12/2</f>
        <v/>
      </c>
      <c r="N360" s="8">
        <f>L360-$B$7/2</f>
        <v/>
      </c>
      <c r="O360" s="8">
        <f>M360-$B$8/2</f>
        <v/>
      </c>
      <c r="P360" s="8">
        <f>SQRT(N360^2+O360^2)</f>
        <v/>
      </c>
      <c r="Q360" s="8">
        <f>IF(OR($H$7&lt;&gt;"OK",P360=""),"",IF(P360&lt;=$D$19,$A$19,IF(P360&gt;=INDEX($D$19:$D$2018,$H$6),INDEX($A$19:$A$2018,$H$6),INDEX($A$19:$A$2018,MATCH(P360,$D$19:INDEX($D$19:$D$2018,$H$6),1))+(P360-INDEX($D$19:$D$2018,MATCH(P360,$D$19:INDEX($D$19:$D$2018,$H$6),1)))*(INDEX($A$19:$A$2018,MATCH(P360,$D$19:INDEX($D$19:$D$2018,$H$6),1)+1)-INDEX($A$19:$A$2018,MATCH(P360,$D$19:INDEX($D$19:$D$2018,$H$6),1)))/(INDEX($D$19:$D$2018,MATCH(P360,$D$19:INDEX($D$19:$D$2018,$H$6),1)+1)-INDEX($D$19:$D$2018,MATCH(P360,$D$19:INDEX($D$19:$D$2018,$H$6),1))))))</f>
        <v/>
      </c>
      <c r="R360" s="8">
        <f>IF(P360=0,0,-Y360*N360/P360)</f>
        <v/>
      </c>
      <c r="S360" s="8">
        <f>IF(P360=0,0,Y360*O360/P360)</f>
        <v/>
      </c>
      <c r="T360" s="8">
        <f>IF(Y360=0,$B$7/2,$B$7/2-Z360*R360/Y360)</f>
        <v/>
      </c>
      <c r="U360" s="8">
        <f>IF(Y360=0,$B$8/2,$B$8/2+Z360*S360/Y360)</f>
        <v/>
      </c>
      <c r="V360" s="8">
        <f>SQRT((T360-L360)^2+(U360-M360)^2)</f>
        <v/>
      </c>
      <c r="Y360">
        <f>$B$10*TAN(RADIANS(Q360))</f>
        <v/>
      </c>
      <c r="Z360">
        <f>IF(OR($H$7&lt;&gt;"OK",Q360=""),"",IF(Q360&lt;=$A$19,$D$19,IF(Q360&gt;=INDEX($A$19:$A$2018,$H$6),INDEX($D$19:$D$2018,$H$6),INDEX($D$19:$D$2018,MATCH(Q360,$A$19:INDEX($A$19:$A$2018,$H$6),1))+(Q360-INDEX($A$19:$A$2018,MATCH(Q360,$A$19:INDEX($A$19:$A$2018,$H$6),1)))*(INDEX($D$19:$D$2018,MATCH(Q360,$A$19:INDEX($A$19:$A$2018,$H$6),1)+1)-INDEX($D$19:$D$2018,MATCH(Q360,$A$19:INDEX($A$19:$A$2018,$H$6),1)))/(INDEX($A$19:$A$2018,MATCH(Q360,$A$19:INDEX($A$19:$A$2018,$H$6),1)+1)-INDEX($A$19:$A$2018,MATCH(Q360,$A$19:INDEX($A$19:$A$2018,$H$6),1))))))</f>
        <v/>
      </c>
    </row>
    <row r="361">
      <c r="A361" s="11" t="n"/>
      <c r="B361" s="11" t="n"/>
      <c r="C361" s="12">
        <f>IF(A361="","",$B$9*TAN(RADIANS(A361)))</f>
        <v/>
      </c>
      <c r="D361" s="12">
        <f>IF(C361="","",C361*(1+B361/100))</f>
        <v/>
      </c>
      <c r="E361" s="12">
        <f>IF(A361="","",$B$10*TAN(RADIANS(A361)))</f>
        <v/>
      </c>
      <c r="G361" s="8" t="n">
        <v>343</v>
      </c>
      <c r="H361" s="8">
        <f>$K$12</f>
        <v/>
      </c>
      <c r="I361" s="7" t="inlineStr">
        <is>
          <t>豎</t>
        </is>
      </c>
      <c r="J361" s="8" t="n">
        <v>1</v>
      </c>
      <c r="K361" s="7" t="inlineStr">
        <is>
          <t>右下</t>
        </is>
      </c>
      <c r="L361" s="8">
        <f>$O$12+($M$12+$L$12)/2-$M$12/2+$L$12/2+0*2*$L$12+(1)*$L$12/2</f>
        <v/>
      </c>
      <c r="M361" s="8">
        <f>$P$12+(1)*$M$12/2</f>
        <v/>
      </c>
      <c r="N361" s="8">
        <f>L361-$B$7/2</f>
        <v/>
      </c>
      <c r="O361" s="8">
        <f>M361-$B$8/2</f>
        <v/>
      </c>
      <c r="P361" s="8">
        <f>SQRT(N361^2+O361^2)</f>
        <v/>
      </c>
      <c r="Q361" s="8">
        <f>IF(OR($H$7&lt;&gt;"OK",P361=""),"",IF(P361&lt;=$D$19,$A$19,IF(P361&gt;=INDEX($D$19:$D$2018,$H$6),INDEX($A$19:$A$2018,$H$6),INDEX($A$19:$A$2018,MATCH(P361,$D$19:INDEX($D$19:$D$2018,$H$6),1))+(P361-INDEX($D$19:$D$2018,MATCH(P361,$D$19:INDEX($D$19:$D$2018,$H$6),1)))*(INDEX($A$19:$A$2018,MATCH(P361,$D$19:INDEX($D$19:$D$2018,$H$6),1)+1)-INDEX($A$19:$A$2018,MATCH(P361,$D$19:INDEX($D$19:$D$2018,$H$6),1)))/(INDEX($D$19:$D$2018,MATCH(P361,$D$19:INDEX($D$19:$D$2018,$H$6),1)+1)-INDEX($D$19:$D$2018,MATCH(P361,$D$19:INDEX($D$19:$D$2018,$H$6),1))))))</f>
        <v/>
      </c>
      <c r="R361" s="8">
        <f>IF(P361=0,0,-Y361*N361/P361)</f>
        <v/>
      </c>
      <c r="S361" s="8">
        <f>IF(P361=0,0,Y361*O361/P361)</f>
        <v/>
      </c>
      <c r="T361" s="8">
        <f>IF(Y361=0,$B$7/2,$B$7/2-Z361*R361/Y361)</f>
        <v/>
      </c>
      <c r="U361" s="8">
        <f>IF(Y361=0,$B$8/2,$B$8/2+Z361*S361/Y361)</f>
        <v/>
      </c>
      <c r="V361" s="8">
        <f>SQRT((T361-L361)^2+(U361-M361)^2)</f>
        <v/>
      </c>
      <c r="Y361">
        <f>$B$10*TAN(RADIANS(Q361))</f>
        <v/>
      </c>
      <c r="Z361">
        <f>IF(OR($H$7&lt;&gt;"OK",Q361=""),"",IF(Q361&lt;=$A$19,$D$19,IF(Q361&gt;=INDEX($A$19:$A$2018,$H$6),INDEX($D$19:$D$2018,$H$6),INDEX($D$19:$D$2018,MATCH(Q361,$A$19:INDEX($A$19:$A$2018,$H$6),1))+(Q361-INDEX($A$19:$A$2018,MATCH(Q361,$A$19:INDEX($A$19:$A$2018,$H$6),1)))*(INDEX($D$19:$D$2018,MATCH(Q361,$A$19:INDEX($A$19:$A$2018,$H$6),1)+1)-INDEX($D$19:$D$2018,MATCH(Q361,$A$19:INDEX($A$19:$A$2018,$H$6),1)))/(INDEX($A$19:$A$2018,MATCH(Q361,$A$19:INDEX($A$19:$A$2018,$H$6),1)+1)-INDEX($A$19:$A$2018,MATCH(Q361,$A$19:INDEX($A$19:$A$2018,$H$6),1))))))</f>
        <v/>
      </c>
    </row>
    <row r="362">
      <c r="A362" s="11" t="n"/>
      <c r="B362" s="11" t="n"/>
      <c r="C362" s="12">
        <f>IF(A362="","",$B$9*TAN(RADIANS(A362)))</f>
        <v/>
      </c>
      <c r="D362" s="12">
        <f>IF(C362="","",C362*(1+B362/100))</f>
        <v/>
      </c>
      <c r="E362" s="12">
        <f>IF(A362="","",$B$10*TAN(RADIANS(A362)))</f>
        <v/>
      </c>
      <c r="G362" s="8" t="n">
        <v>344</v>
      </c>
      <c r="H362" s="8">
        <f>$K$12</f>
        <v/>
      </c>
      <c r="I362" s="7" t="inlineStr">
        <is>
          <t>豎</t>
        </is>
      </c>
      <c r="J362" s="8" t="n">
        <v>1</v>
      </c>
      <c r="K362" s="7" t="inlineStr">
        <is>
          <t>左下</t>
        </is>
      </c>
      <c r="L362" s="8">
        <f>$O$12+($M$12+$L$12)/2-$M$12/2+$L$12/2+0*2*$L$12+(-1)*$L$12/2</f>
        <v/>
      </c>
      <c r="M362" s="8">
        <f>$P$12+(1)*$M$12/2</f>
        <v/>
      </c>
      <c r="N362" s="8">
        <f>L362-$B$7/2</f>
        <v/>
      </c>
      <c r="O362" s="8">
        <f>M362-$B$8/2</f>
        <v/>
      </c>
      <c r="P362" s="8">
        <f>SQRT(N362^2+O362^2)</f>
        <v/>
      </c>
      <c r="Q362" s="8">
        <f>IF(OR($H$7&lt;&gt;"OK",P362=""),"",IF(P362&lt;=$D$19,$A$19,IF(P362&gt;=INDEX($D$19:$D$2018,$H$6),INDEX($A$19:$A$2018,$H$6),INDEX($A$19:$A$2018,MATCH(P362,$D$19:INDEX($D$19:$D$2018,$H$6),1))+(P362-INDEX($D$19:$D$2018,MATCH(P362,$D$19:INDEX($D$19:$D$2018,$H$6),1)))*(INDEX($A$19:$A$2018,MATCH(P362,$D$19:INDEX($D$19:$D$2018,$H$6),1)+1)-INDEX($A$19:$A$2018,MATCH(P362,$D$19:INDEX($D$19:$D$2018,$H$6),1)))/(INDEX($D$19:$D$2018,MATCH(P362,$D$19:INDEX($D$19:$D$2018,$H$6),1)+1)-INDEX($D$19:$D$2018,MATCH(P362,$D$19:INDEX($D$19:$D$2018,$H$6),1))))))</f>
        <v/>
      </c>
      <c r="R362" s="8">
        <f>IF(P362=0,0,-Y362*N362/P362)</f>
        <v/>
      </c>
      <c r="S362" s="8">
        <f>IF(P362=0,0,Y362*O362/P362)</f>
        <v/>
      </c>
      <c r="T362" s="8">
        <f>IF(Y362=0,$B$7/2,$B$7/2-Z362*R362/Y362)</f>
        <v/>
      </c>
      <c r="U362" s="8">
        <f>IF(Y362=0,$B$8/2,$B$8/2+Z362*S362/Y362)</f>
        <v/>
      </c>
      <c r="V362" s="8">
        <f>SQRT((T362-L362)^2+(U362-M362)^2)</f>
        <v/>
      </c>
      <c r="Y362">
        <f>$B$10*TAN(RADIANS(Q362))</f>
        <v/>
      </c>
      <c r="Z362">
        <f>IF(OR($H$7&lt;&gt;"OK",Q362=""),"",IF(Q362&lt;=$A$19,$D$19,IF(Q362&gt;=INDEX($A$19:$A$2018,$H$6),INDEX($D$19:$D$2018,$H$6),INDEX($D$19:$D$2018,MATCH(Q362,$A$19:INDEX($A$19:$A$2018,$H$6),1))+(Q362-INDEX($A$19:$A$2018,MATCH(Q362,$A$19:INDEX($A$19:$A$2018,$H$6),1)))*(INDEX($D$19:$D$2018,MATCH(Q362,$A$19:INDEX($A$19:$A$2018,$H$6),1)+1)-INDEX($D$19:$D$2018,MATCH(Q362,$A$19:INDEX($A$19:$A$2018,$H$6),1)))/(INDEX($A$19:$A$2018,MATCH(Q362,$A$19:INDEX($A$19:$A$2018,$H$6),1)+1)-INDEX($A$19:$A$2018,MATCH(Q362,$A$19:INDEX($A$19:$A$2018,$H$6),1))))))</f>
        <v/>
      </c>
    </row>
    <row r="363">
      <c r="A363" s="11" t="n"/>
      <c r="B363" s="11" t="n"/>
      <c r="C363" s="12">
        <f>IF(A363="","",$B$9*TAN(RADIANS(A363)))</f>
        <v/>
      </c>
      <c r="D363" s="12">
        <f>IF(C363="","",C363*(1+B363/100))</f>
        <v/>
      </c>
      <c r="E363" s="12">
        <f>IF(A363="","",$B$10*TAN(RADIANS(A363)))</f>
        <v/>
      </c>
      <c r="G363" s="8" t="n">
        <v>345</v>
      </c>
      <c r="H363" s="8">
        <f>$K$12</f>
        <v/>
      </c>
      <c r="I363" s="7" t="inlineStr">
        <is>
          <t>豎</t>
        </is>
      </c>
      <c r="J363" s="8" t="n">
        <v>2</v>
      </c>
      <c r="K363" s="7" t="inlineStr">
        <is>
          <t>左上</t>
        </is>
      </c>
      <c r="L363" s="8">
        <f>$O$12+($M$12+$L$12)/2-$M$12/2+$L$12/2+1*2*$L$12+(-1)*$L$12/2</f>
        <v/>
      </c>
      <c r="M363" s="8">
        <f>$P$12+(-1)*$M$12/2</f>
        <v/>
      </c>
      <c r="N363" s="8">
        <f>L363-$B$7/2</f>
        <v/>
      </c>
      <c r="O363" s="8">
        <f>M363-$B$8/2</f>
        <v/>
      </c>
      <c r="P363" s="8">
        <f>SQRT(N363^2+O363^2)</f>
        <v/>
      </c>
      <c r="Q363" s="8">
        <f>IF(OR($H$7&lt;&gt;"OK",P363=""),"",IF(P363&lt;=$D$19,$A$19,IF(P363&gt;=INDEX($D$19:$D$2018,$H$6),INDEX($A$19:$A$2018,$H$6),INDEX($A$19:$A$2018,MATCH(P363,$D$19:INDEX($D$19:$D$2018,$H$6),1))+(P363-INDEX($D$19:$D$2018,MATCH(P363,$D$19:INDEX($D$19:$D$2018,$H$6),1)))*(INDEX($A$19:$A$2018,MATCH(P363,$D$19:INDEX($D$19:$D$2018,$H$6),1)+1)-INDEX($A$19:$A$2018,MATCH(P363,$D$19:INDEX($D$19:$D$2018,$H$6),1)))/(INDEX($D$19:$D$2018,MATCH(P363,$D$19:INDEX($D$19:$D$2018,$H$6),1)+1)-INDEX($D$19:$D$2018,MATCH(P363,$D$19:INDEX($D$19:$D$2018,$H$6),1))))))</f>
        <v/>
      </c>
      <c r="R363" s="8">
        <f>IF(P363=0,0,-Y363*N363/P363)</f>
        <v/>
      </c>
      <c r="S363" s="8">
        <f>IF(P363=0,0,Y363*O363/P363)</f>
        <v/>
      </c>
      <c r="T363" s="8">
        <f>IF(Y363=0,$B$7/2,$B$7/2-Z363*R363/Y363)</f>
        <v/>
      </c>
      <c r="U363" s="8">
        <f>IF(Y363=0,$B$8/2,$B$8/2+Z363*S363/Y363)</f>
        <v/>
      </c>
      <c r="V363" s="8">
        <f>SQRT((T363-L363)^2+(U363-M363)^2)</f>
        <v/>
      </c>
      <c r="Y363">
        <f>$B$10*TAN(RADIANS(Q363))</f>
        <v/>
      </c>
      <c r="Z363">
        <f>IF(OR($H$7&lt;&gt;"OK",Q363=""),"",IF(Q363&lt;=$A$19,$D$19,IF(Q363&gt;=INDEX($A$19:$A$2018,$H$6),INDEX($D$19:$D$2018,$H$6),INDEX($D$19:$D$2018,MATCH(Q363,$A$19:INDEX($A$19:$A$2018,$H$6),1))+(Q363-INDEX($A$19:$A$2018,MATCH(Q363,$A$19:INDEX($A$19:$A$2018,$H$6),1)))*(INDEX($D$19:$D$2018,MATCH(Q363,$A$19:INDEX($A$19:$A$2018,$H$6),1)+1)-INDEX($D$19:$D$2018,MATCH(Q363,$A$19:INDEX($A$19:$A$2018,$H$6),1)))/(INDEX($A$19:$A$2018,MATCH(Q363,$A$19:INDEX($A$19:$A$2018,$H$6),1)+1)-INDEX($A$19:$A$2018,MATCH(Q363,$A$19:INDEX($A$19:$A$2018,$H$6),1))))))</f>
        <v/>
      </c>
    </row>
    <row r="364">
      <c r="A364" s="11" t="n"/>
      <c r="B364" s="11" t="n"/>
      <c r="C364" s="12">
        <f>IF(A364="","",$B$9*TAN(RADIANS(A364)))</f>
        <v/>
      </c>
      <c r="D364" s="12">
        <f>IF(C364="","",C364*(1+B364/100))</f>
        <v/>
      </c>
      <c r="E364" s="12">
        <f>IF(A364="","",$B$10*TAN(RADIANS(A364)))</f>
        <v/>
      </c>
      <c r="G364" s="8" t="n">
        <v>346</v>
      </c>
      <c r="H364" s="8">
        <f>$K$12</f>
        <v/>
      </c>
      <c r="I364" s="7" t="inlineStr">
        <is>
          <t>豎</t>
        </is>
      </c>
      <c r="J364" s="8" t="n">
        <v>2</v>
      </c>
      <c r="K364" s="7" t="inlineStr">
        <is>
          <t>右上</t>
        </is>
      </c>
      <c r="L364" s="8">
        <f>$O$12+($M$12+$L$12)/2-$M$12/2+$L$12/2+1*2*$L$12+(1)*$L$12/2</f>
        <v/>
      </c>
      <c r="M364" s="8">
        <f>$P$12+(-1)*$M$12/2</f>
        <v/>
      </c>
      <c r="N364" s="8">
        <f>L364-$B$7/2</f>
        <v/>
      </c>
      <c r="O364" s="8">
        <f>M364-$B$8/2</f>
        <v/>
      </c>
      <c r="P364" s="8">
        <f>SQRT(N364^2+O364^2)</f>
        <v/>
      </c>
      <c r="Q364" s="8">
        <f>IF(OR($H$7&lt;&gt;"OK",P364=""),"",IF(P364&lt;=$D$19,$A$19,IF(P364&gt;=INDEX($D$19:$D$2018,$H$6),INDEX($A$19:$A$2018,$H$6),INDEX($A$19:$A$2018,MATCH(P364,$D$19:INDEX($D$19:$D$2018,$H$6),1))+(P364-INDEX($D$19:$D$2018,MATCH(P364,$D$19:INDEX($D$19:$D$2018,$H$6),1)))*(INDEX($A$19:$A$2018,MATCH(P364,$D$19:INDEX($D$19:$D$2018,$H$6),1)+1)-INDEX($A$19:$A$2018,MATCH(P364,$D$19:INDEX($D$19:$D$2018,$H$6),1)))/(INDEX($D$19:$D$2018,MATCH(P364,$D$19:INDEX($D$19:$D$2018,$H$6),1)+1)-INDEX($D$19:$D$2018,MATCH(P364,$D$19:INDEX($D$19:$D$2018,$H$6),1))))))</f>
        <v/>
      </c>
      <c r="R364" s="8">
        <f>IF(P364=0,0,-Y364*N364/P364)</f>
        <v/>
      </c>
      <c r="S364" s="8">
        <f>IF(P364=0,0,Y364*O364/P364)</f>
        <v/>
      </c>
      <c r="T364" s="8">
        <f>IF(Y364=0,$B$7/2,$B$7/2-Z364*R364/Y364)</f>
        <v/>
      </c>
      <c r="U364" s="8">
        <f>IF(Y364=0,$B$8/2,$B$8/2+Z364*S364/Y364)</f>
        <v/>
      </c>
      <c r="V364" s="8">
        <f>SQRT((T364-L364)^2+(U364-M364)^2)</f>
        <v/>
      </c>
      <c r="Y364">
        <f>$B$10*TAN(RADIANS(Q364))</f>
        <v/>
      </c>
      <c r="Z364">
        <f>IF(OR($H$7&lt;&gt;"OK",Q364=""),"",IF(Q364&lt;=$A$19,$D$19,IF(Q364&gt;=INDEX($A$19:$A$2018,$H$6),INDEX($D$19:$D$2018,$H$6),INDEX($D$19:$D$2018,MATCH(Q364,$A$19:INDEX($A$19:$A$2018,$H$6),1))+(Q364-INDEX($A$19:$A$2018,MATCH(Q364,$A$19:INDEX($A$19:$A$2018,$H$6),1)))*(INDEX($D$19:$D$2018,MATCH(Q364,$A$19:INDEX($A$19:$A$2018,$H$6),1)+1)-INDEX($D$19:$D$2018,MATCH(Q364,$A$19:INDEX($A$19:$A$2018,$H$6),1)))/(INDEX($A$19:$A$2018,MATCH(Q364,$A$19:INDEX($A$19:$A$2018,$H$6),1)+1)-INDEX($A$19:$A$2018,MATCH(Q364,$A$19:INDEX($A$19:$A$2018,$H$6),1))))))</f>
        <v/>
      </c>
    </row>
    <row r="365">
      <c r="A365" s="11" t="n"/>
      <c r="B365" s="11" t="n"/>
      <c r="C365" s="12">
        <f>IF(A365="","",$B$9*TAN(RADIANS(A365)))</f>
        <v/>
      </c>
      <c r="D365" s="12">
        <f>IF(C365="","",C365*(1+B365/100))</f>
        <v/>
      </c>
      <c r="E365" s="12">
        <f>IF(A365="","",$B$10*TAN(RADIANS(A365)))</f>
        <v/>
      </c>
      <c r="G365" s="8" t="n">
        <v>347</v>
      </c>
      <c r="H365" s="8">
        <f>$K$12</f>
        <v/>
      </c>
      <c r="I365" s="7" t="inlineStr">
        <is>
          <t>豎</t>
        </is>
      </c>
      <c r="J365" s="8" t="n">
        <v>2</v>
      </c>
      <c r="K365" s="7" t="inlineStr">
        <is>
          <t>右下</t>
        </is>
      </c>
      <c r="L365" s="8">
        <f>$O$12+($M$12+$L$12)/2-$M$12/2+$L$12/2+1*2*$L$12+(1)*$L$12/2</f>
        <v/>
      </c>
      <c r="M365" s="8">
        <f>$P$12+(1)*$M$12/2</f>
        <v/>
      </c>
      <c r="N365" s="8">
        <f>L365-$B$7/2</f>
        <v/>
      </c>
      <c r="O365" s="8">
        <f>M365-$B$8/2</f>
        <v/>
      </c>
      <c r="P365" s="8">
        <f>SQRT(N365^2+O365^2)</f>
        <v/>
      </c>
      <c r="Q365" s="8">
        <f>IF(OR($H$7&lt;&gt;"OK",P365=""),"",IF(P365&lt;=$D$19,$A$19,IF(P365&gt;=INDEX($D$19:$D$2018,$H$6),INDEX($A$19:$A$2018,$H$6),INDEX($A$19:$A$2018,MATCH(P365,$D$19:INDEX($D$19:$D$2018,$H$6),1))+(P365-INDEX($D$19:$D$2018,MATCH(P365,$D$19:INDEX($D$19:$D$2018,$H$6),1)))*(INDEX($A$19:$A$2018,MATCH(P365,$D$19:INDEX($D$19:$D$2018,$H$6),1)+1)-INDEX($A$19:$A$2018,MATCH(P365,$D$19:INDEX($D$19:$D$2018,$H$6),1)))/(INDEX($D$19:$D$2018,MATCH(P365,$D$19:INDEX($D$19:$D$2018,$H$6),1)+1)-INDEX($D$19:$D$2018,MATCH(P365,$D$19:INDEX($D$19:$D$2018,$H$6),1))))))</f>
        <v/>
      </c>
      <c r="R365" s="8">
        <f>IF(P365=0,0,-Y365*N365/P365)</f>
        <v/>
      </c>
      <c r="S365" s="8">
        <f>IF(P365=0,0,Y365*O365/P365)</f>
        <v/>
      </c>
      <c r="T365" s="8">
        <f>IF(Y365=0,$B$7/2,$B$7/2-Z365*R365/Y365)</f>
        <v/>
      </c>
      <c r="U365" s="8">
        <f>IF(Y365=0,$B$8/2,$B$8/2+Z365*S365/Y365)</f>
        <v/>
      </c>
      <c r="V365" s="8">
        <f>SQRT((T365-L365)^2+(U365-M365)^2)</f>
        <v/>
      </c>
      <c r="Y365">
        <f>$B$10*TAN(RADIANS(Q365))</f>
        <v/>
      </c>
      <c r="Z365">
        <f>IF(OR($H$7&lt;&gt;"OK",Q365=""),"",IF(Q365&lt;=$A$19,$D$19,IF(Q365&gt;=INDEX($A$19:$A$2018,$H$6),INDEX($D$19:$D$2018,$H$6),INDEX($D$19:$D$2018,MATCH(Q365,$A$19:INDEX($A$19:$A$2018,$H$6),1))+(Q365-INDEX($A$19:$A$2018,MATCH(Q365,$A$19:INDEX($A$19:$A$2018,$H$6),1)))*(INDEX($D$19:$D$2018,MATCH(Q365,$A$19:INDEX($A$19:$A$2018,$H$6),1)+1)-INDEX($D$19:$D$2018,MATCH(Q365,$A$19:INDEX($A$19:$A$2018,$H$6),1)))/(INDEX($A$19:$A$2018,MATCH(Q365,$A$19:INDEX($A$19:$A$2018,$H$6),1)+1)-INDEX($A$19:$A$2018,MATCH(Q365,$A$19:INDEX($A$19:$A$2018,$H$6),1))))))</f>
        <v/>
      </c>
    </row>
    <row r="366">
      <c r="A366" s="11" t="n"/>
      <c r="B366" s="11" t="n"/>
      <c r="C366" s="12">
        <f>IF(A366="","",$B$9*TAN(RADIANS(A366)))</f>
        <v/>
      </c>
      <c r="D366" s="12">
        <f>IF(C366="","",C366*(1+B366/100))</f>
        <v/>
      </c>
      <c r="E366" s="12">
        <f>IF(A366="","",$B$10*TAN(RADIANS(A366)))</f>
        <v/>
      </c>
      <c r="G366" s="8" t="n">
        <v>348</v>
      </c>
      <c r="H366" s="8">
        <f>$K$12</f>
        <v/>
      </c>
      <c r="I366" s="7" t="inlineStr">
        <is>
          <t>豎</t>
        </is>
      </c>
      <c r="J366" s="8" t="n">
        <v>2</v>
      </c>
      <c r="K366" s="7" t="inlineStr">
        <is>
          <t>左下</t>
        </is>
      </c>
      <c r="L366" s="8">
        <f>$O$12+($M$12+$L$12)/2-$M$12/2+$L$12/2+1*2*$L$12+(-1)*$L$12/2</f>
        <v/>
      </c>
      <c r="M366" s="8">
        <f>$P$12+(1)*$M$12/2</f>
        <v/>
      </c>
      <c r="N366" s="8">
        <f>L366-$B$7/2</f>
        <v/>
      </c>
      <c r="O366" s="8">
        <f>M366-$B$8/2</f>
        <v/>
      </c>
      <c r="P366" s="8">
        <f>SQRT(N366^2+O366^2)</f>
        <v/>
      </c>
      <c r="Q366" s="8">
        <f>IF(OR($H$7&lt;&gt;"OK",P366=""),"",IF(P366&lt;=$D$19,$A$19,IF(P366&gt;=INDEX($D$19:$D$2018,$H$6),INDEX($A$19:$A$2018,$H$6),INDEX($A$19:$A$2018,MATCH(P366,$D$19:INDEX($D$19:$D$2018,$H$6),1))+(P366-INDEX($D$19:$D$2018,MATCH(P366,$D$19:INDEX($D$19:$D$2018,$H$6),1)))*(INDEX($A$19:$A$2018,MATCH(P366,$D$19:INDEX($D$19:$D$2018,$H$6),1)+1)-INDEX($A$19:$A$2018,MATCH(P366,$D$19:INDEX($D$19:$D$2018,$H$6),1)))/(INDEX($D$19:$D$2018,MATCH(P366,$D$19:INDEX($D$19:$D$2018,$H$6),1)+1)-INDEX($D$19:$D$2018,MATCH(P366,$D$19:INDEX($D$19:$D$2018,$H$6),1))))))</f>
        <v/>
      </c>
      <c r="R366" s="8">
        <f>IF(P366=0,0,-Y366*N366/P366)</f>
        <v/>
      </c>
      <c r="S366" s="8">
        <f>IF(P366=0,0,Y366*O366/P366)</f>
        <v/>
      </c>
      <c r="T366" s="8">
        <f>IF(Y366=0,$B$7/2,$B$7/2-Z366*R366/Y366)</f>
        <v/>
      </c>
      <c r="U366" s="8">
        <f>IF(Y366=0,$B$8/2,$B$8/2+Z366*S366/Y366)</f>
        <v/>
      </c>
      <c r="V366" s="8">
        <f>SQRT((T366-L366)^2+(U366-M366)^2)</f>
        <v/>
      </c>
      <c r="Y366">
        <f>$B$10*TAN(RADIANS(Q366))</f>
        <v/>
      </c>
      <c r="Z366">
        <f>IF(OR($H$7&lt;&gt;"OK",Q366=""),"",IF(Q366&lt;=$A$19,$D$19,IF(Q366&gt;=INDEX($A$19:$A$2018,$H$6),INDEX($D$19:$D$2018,$H$6),INDEX($D$19:$D$2018,MATCH(Q366,$A$19:INDEX($A$19:$A$2018,$H$6),1))+(Q366-INDEX($A$19:$A$2018,MATCH(Q366,$A$19:INDEX($A$19:$A$2018,$H$6),1)))*(INDEX($D$19:$D$2018,MATCH(Q366,$A$19:INDEX($A$19:$A$2018,$H$6),1)+1)-INDEX($D$19:$D$2018,MATCH(Q366,$A$19:INDEX($A$19:$A$2018,$H$6),1)))/(INDEX($A$19:$A$2018,MATCH(Q366,$A$19:INDEX($A$19:$A$2018,$H$6),1)+1)-INDEX($A$19:$A$2018,MATCH(Q366,$A$19:INDEX($A$19:$A$2018,$H$6),1))))))</f>
        <v/>
      </c>
    </row>
    <row r="367">
      <c r="A367" s="11" t="n"/>
      <c r="B367" s="11" t="n"/>
      <c r="C367" s="12">
        <f>IF(A367="","",$B$9*TAN(RADIANS(A367)))</f>
        <v/>
      </c>
      <c r="D367" s="12">
        <f>IF(C367="","",C367*(1+B367/100))</f>
        <v/>
      </c>
      <c r="E367" s="12">
        <f>IF(A367="","",$B$10*TAN(RADIANS(A367)))</f>
        <v/>
      </c>
      <c r="G367" s="8" t="n">
        <v>349</v>
      </c>
      <c r="H367" s="8">
        <f>$K$12</f>
        <v/>
      </c>
      <c r="I367" s="7" t="inlineStr">
        <is>
          <t>豎</t>
        </is>
      </c>
      <c r="J367" s="8" t="n">
        <v>3</v>
      </c>
      <c r="K367" s="7" t="inlineStr">
        <is>
          <t>左上</t>
        </is>
      </c>
      <c r="L367" s="8">
        <f>$O$12+($M$12+$L$12)/2-$M$12/2+$L$12/2+2*2*$L$12+(-1)*$L$12/2</f>
        <v/>
      </c>
      <c r="M367" s="8">
        <f>$P$12+(-1)*$M$12/2</f>
        <v/>
      </c>
      <c r="N367" s="8">
        <f>L367-$B$7/2</f>
        <v/>
      </c>
      <c r="O367" s="8">
        <f>M367-$B$8/2</f>
        <v/>
      </c>
      <c r="P367" s="8">
        <f>SQRT(N367^2+O367^2)</f>
        <v/>
      </c>
      <c r="Q367" s="8">
        <f>IF(OR($H$7&lt;&gt;"OK",P367=""),"",IF(P367&lt;=$D$19,$A$19,IF(P367&gt;=INDEX($D$19:$D$2018,$H$6),INDEX($A$19:$A$2018,$H$6),INDEX($A$19:$A$2018,MATCH(P367,$D$19:INDEX($D$19:$D$2018,$H$6),1))+(P367-INDEX($D$19:$D$2018,MATCH(P367,$D$19:INDEX($D$19:$D$2018,$H$6),1)))*(INDEX($A$19:$A$2018,MATCH(P367,$D$19:INDEX($D$19:$D$2018,$H$6),1)+1)-INDEX($A$19:$A$2018,MATCH(P367,$D$19:INDEX($D$19:$D$2018,$H$6),1)))/(INDEX($D$19:$D$2018,MATCH(P367,$D$19:INDEX($D$19:$D$2018,$H$6),1)+1)-INDEX($D$19:$D$2018,MATCH(P367,$D$19:INDEX($D$19:$D$2018,$H$6),1))))))</f>
        <v/>
      </c>
      <c r="R367" s="8">
        <f>IF(P367=0,0,-Y367*N367/P367)</f>
        <v/>
      </c>
      <c r="S367" s="8">
        <f>IF(P367=0,0,Y367*O367/P367)</f>
        <v/>
      </c>
      <c r="T367" s="8">
        <f>IF(Y367=0,$B$7/2,$B$7/2-Z367*R367/Y367)</f>
        <v/>
      </c>
      <c r="U367" s="8">
        <f>IF(Y367=0,$B$8/2,$B$8/2+Z367*S367/Y367)</f>
        <v/>
      </c>
      <c r="V367" s="8">
        <f>SQRT((T367-L367)^2+(U367-M367)^2)</f>
        <v/>
      </c>
      <c r="Y367">
        <f>$B$10*TAN(RADIANS(Q367))</f>
        <v/>
      </c>
      <c r="Z367">
        <f>IF(OR($H$7&lt;&gt;"OK",Q367=""),"",IF(Q367&lt;=$A$19,$D$19,IF(Q367&gt;=INDEX($A$19:$A$2018,$H$6),INDEX($D$19:$D$2018,$H$6),INDEX($D$19:$D$2018,MATCH(Q367,$A$19:INDEX($A$19:$A$2018,$H$6),1))+(Q367-INDEX($A$19:$A$2018,MATCH(Q367,$A$19:INDEX($A$19:$A$2018,$H$6),1)))*(INDEX($D$19:$D$2018,MATCH(Q367,$A$19:INDEX($A$19:$A$2018,$H$6),1)+1)-INDEX($D$19:$D$2018,MATCH(Q367,$A$19:INDEX($A$19:$A$2018,$H$6),1)))/(INDEX($A$19:$A$2018,MATCH(Q367,$A$19:INDEX($A$19:$A$2018,$H$6),1)+1)-INDEX($A$19:$A$2018,MATCH(Q367,$A$19:INDEX($A$19:$A$2018,$H$6),1))))))</f>
        <v/>
      </c>
    </row>
    <row r="368">
      <c r="A368" s="11" t="n"/>
      <c r="B368" s="11" t="n"/>
      <c r="C368" s="12">
        <f>IF(A368="","",$B$9*TAN(RADIANS(A368)))</f>
        <v/>
      </c>
      <c r="D368" s="12">
        <f>IF(C368="","",C368*(1+B368/100))</f>
        <v/>
      </c>
      <c r="E368" s="12">
        <f>IF(A368="","",$B$10*TAN(RADIANS(A368)))</f>
        <v/>
      </c>
      <c r="G368" s="8" t="n">
        <v>350</v>
      </c>
      <c r="H368" s="8">
        <f>$K$12</f>
        <v/>
      </c>
      <c r="I368" s="7" t="inlineStr">
        <is>
          <t>豎</t>
        </is>
      </c>
      <c r="J368" s="8" t="n">
        <v>3</v>
      </c>
      <c r="K368" s="7" t="inlineStr">
        <is>
          <t>右上</t>
        </is>
      </c>
      <c r="L368" s="8">
        <f>$O$12+($M$12+$L$12)/2-$M$12/2+$L$12/2+2*2*$L$12+(1)*$L$12/2</f>
        <v/>
      </c>
      <c r="M368" s="8">
        <f>$P$12+(-1)*$M$12/2</f>
        <v/>
      </c>
      <c r="N368" s="8">
        <f>L368-$B$7/2</f>
        <v/>
      </c>
      <c r="O368" s="8">
        <f>M368-$B$8/2</f>
        <v/>
      </c>
      <c r="P368" s="8">
        <f>SQRT(N368^2+O368^2)</f>
        <v/>
      </c>
      <c r="Q368" s="8">
        <f>IF(OR($H$7&lt;&gt;"OK",P368=""),"",IF(P368&lt;=$D$19,$A$19,IF(P368&gt;=INDEX($D$19:$D$2018,$H$6),INDEX($A$19:$A$2018,$H$6),INDEX($A$19:$A$2018,MATCH(P368,$D$19:INDEX($D$19:$D$2018,$H$6),1))+(P368-INDEX($D$19:$D$2018,MATCH(P368,$D$19:INDEX($D$19:$D$2018,$H$6),1)))*(INDEX($A$19:$A$2018,MATCH(P368,$D$19:INDEX($D$19:$D$2018,$H$6),1)+1)-INDEX($A$19:$A$2018,MATCH(P368,$D$19:INDEX($D$19:$D$2018,$H$6),1)))/(INDEX($D$19:$D$2018,MATCH(P368,$D$19:INDEX($D$19:$D$2018,$H$6),1)+1)-INDEX($D$19:$D$2018,MATCH(P368,$D$19:INDEX($D$19:$D$2018,$H$6),1))))))</f>
        <v/>
      </c>
      <c r="R368" s="8">
        <f>IF(P368=0,0,-Y368*N368/P368)</f>
        <v/>
      </c>
      <c r="S368" s="8">
        <f>IF(P368=0,0,Y368*O368/P368)</f>
        <v/>
      </c>
      <c r="T368" s="8">
        <f>IF(Y368=0,$B$7/2,$B$7/2-Z368*R368/Y368)</f>
        <v/>
      </c>
      <c r="U368" s="8">
        <f>IF(Y368=0,$B$8/2,$B$8/2+Z368*S368/Y368)</f>
        <v/>
      </c>
      <c r="V368" s="8">
        <f>SQRT((T368-L368)^2+(U368-M368)^2)</f>
        <v/>
      </c>
      <c r="Y368">
        <f>$B$10*TAN(RADIANS(Q368))</f>
        <v/>
      </c>
      <c r="Z368">
        <f>IF(OR($H$7&lt;&gt;"OK",Q368=""),"",IF(Q368&lt;=$A$19,$D$19,IF(Q368&gt;=INDEX($A$19:$A$2018,$H$6),INDEX($D$19:$D$2018,$H$6),INDEX($D$19:$D$2018,MATCH(Q368,$A$19:INDEX($A$19:$A$2018,$H$6),1))+(Q368-INDEX($A$19:$A$2018,MATCH(Q368,$A$19:INDEX($A$19:$A$2018,$H$6),1)))*(INDEX($D$19:$D$2018,MATCH(Q368,$A$19:INDEX($A$19:$A$2018,$H$6),1)+1)-INDEX($D$19:$D$2018,MATCH(Q368,$A$19:INDEX($A$19:$A$2018,$H$6),1)))/(INDEX($A$19:$A$2018,MATCH(Q368,$A$19:INDEX($A$19:$A$2018,$H$6),1)+1)-INDEX($A$19:$A$2018,MATCH(Q368,$A$19:INDEX($A$19:$A$2018,$H$6),1))))))</f>
        <v/>
      </c>
    </row>
    <row r="369">
      <c r="A369" s="11" t="n"/>
      <c r="B369" s="11" t="n"/>
      <c r="C369" s="12">
        <f>IF(A369="","",$B$9*TAN(RADIANS(A369)))</f>
        <v/>
      </c>
      <c r="D369" s="12">
        <f>IF(C369="","",C369*(1+B369/100))</f>
        <v/>
      </c>
      <c r="E369" s="12">
        <f>IF(A369="","",$B$10*TAN(RADIANS(A369)))</f>
        <v/>
      </c>
      <c r="G369" s="8" t="n">
        <v>351</v>
      </c>
      <c r="H369" s="8">
        <f>$K$12</f>
        <v/>
      </c>
      <c r="I369" s="7" t="inlineStr">
        <is>
          <t>豎</t>
        </is>
      </c>
      <c r="J369" s="8" t="n">
        <v>3</v>
      </c>
      <c r="K369" s="7" t="inlineStr">
        <is>
          <t>右下</t>
        </is>
      </c>
      <c r="L369" s="8">
        <f>$O$12+($M$12+$L$12)/2-$M$12/2+$L$12/2+2*2*$L$12+(1)*$L$12/2</f>
        <v/>
      </c>
      <c r="M369" s="8">
        <f>$P$12+(1)*$M$12/2</f>
        <v/>
      </c>
      <c r="N369" s="8">
        <f>L369-$B$7/2</f>
        <v/>
      </c>
      <c r="O369" s="8">
        <f>M369-$B$8/2</f>
        <v/>
      </c>
      <c r="P369" s="8">
        <f>SQRT(N369^2+O369^2)</f>
        <v/>
      </c>
      <c r="Q369" s="8">
        <f>IF(OR($H$7&lt;&gt;"OK",P369=""),"",IF(P369&lt;=$D$19,$A$19,IF(P369&gt;=INDEX($D$19:$D$2018,$H$6),INDEX($A$19:$A$2018,$H$6),INDEX($A$19:$A$2018,MATCH(P369,$D$19:INDEX($D$19:$D$2018,$H$6),1))+(P369-INDEX($D$19:$D$2018,MATCH(P369,$D$19:INDEX($D$19:$D$2018,$H$6),1)))*(INDEX($A$19:$A$2018,MATCH(P369,$D$19:INDEX($D$19:$D$2018,$H$6),1)+1)-INDEX($A$19:$A$2018,MATCH(P369,$D$19:INDEX($D$19:$D$2018,$H$6),1)))/(INDEX($D$19:$D$2018,MATCH(P369,$D$19:INDEX($D$19:$D$2018,$H$6),1)+1)-INDEX($D$19:$D$2018,MATCH(P369,$D$19:INDEX($D$19:$D$2018,$H$6),1))))))</f>
        <v/>
      </c>
      <c r="R369" s="8">
        <f>IF(P369=0,0,-Y369*N369/P369)</f>
        <v/>
      </c>
      <c r="S369" s="8">
        <f>IF(P369=0,0,Y369*O369/P369)</f>
        <v/>
      </c>
      <c r="T369" s="8">
        <f>IF(Y369=0,$B$7/2,$B$7/2-Z369*R369/Y369)</f>
        <v/>
      </c>
      <c r="U369" s="8">
        <f>IF(Y369=0,$B$8/2,$B$8/2+Z369*S369/Y369)</f>
        <v/>
      </c>
      <c r="V369" s="8">
        <f>SQRT((T369-L369)^2+(U369-M369)^2)</f>
        <v/>
      </c>
      <c r="Y369">
        <f>$B$10*TAN(RADIANS(Q369))</f>
        <v/>
      </c>
      <c r="Z369">
        <f>IF(OR($H$7&lt;&gt;"OK",Q369=""),"",IF(Q369&lt;=$A$19,$D$19,IF(Q369&gt;=INDEX($A$19:$A$2018,$H$6),INDEX($D$19:$D$2018,$H$6),INDEX($D$19:$D$2018,MATCH(Q369,$A$19:INDEX($A$19:$A$2018,$H$6),1))+(Q369-INDEX($A$19:$A$2018,MATCH(Q369,$A$19:INDEX($A$19:$A$2018,$H$6),1)))*(INDEX($D$19:$D$2018,MATCH(Q369,$A$19:INDEX($A$19:$A$2018,$H$6),1)+1)-INDEX($D$19:$D$2018,MATCH(Q369,$A$19:INDEX($A$19:$A$2018,$H$6),1)))/(INDEX($A$19:$A$2018,MATCH(Q369,$A$19:INDEX($A$19:$A$2018,$H$6),1)+1)-INDEX($A$19:$A$2018,MATCH(Q369,$A$19:INDEX($A$19:$A$2018,$H$6),1))))))</f>
        <v/>
      </c>
    </row>
    <row r="370">
      <c r="A370" s="11" t="n"/>
      <c r="B370" s="11" t="n"/>
      <c r="C370" s="12">
        <f>IF(A370="","",$B$9*TAN(RADIANS(A370)))</f>
        <v/>
      </c>
      <c r="D370" s="12">
        <f>IF(C370="","",C370*(1+B370/100))</f>
        <v/>
      </c>
      <c r="E370" s="12">
        <f>IF(A370="","",$B$10*TAN(RADIANS(A370)))</f>
        <v/>
      </c>
      <c r="G370" s="8" t="n">
        <v>352</v>
      </c>
      <c r="H370" s="8">
        <f>$K$12</f>
        <v/>
      </c>
      <c r="I370" s="7" t="inlineStr">
        <is>
          <t>豎</t>
        </is>
      </c>
      <c r="J370" s="8" t="n">
        <v>3</v>
      </c>
      <c r="K370" s="7" t="inlineStr">
        <is>
          <t>左下</t>
        </is>
      </c>
      <c r="L370" s="8">
        <f>$O$12+($M$12+$L$12)/2-$M$12/2+$L$12/2+2*2*$L$12+(-1)*$L$12/2</f>
        <v/>
      </c>
      <c r="M370" s="8">
        <f>$P$12+(1)*$M$12/2</f>
        <v/>
      </c>
      <c r="N370" s="8">
        <f>L370-$B$7/2</f>
        <v/>
      </c>
      <c r="O370" s="8">
        <f>M370-$B$8/2</f>
        <v/>
      </c>
      <c r="P370" s="8">
        <f>SQRT(N370^2+O370^2)</f>
        <v/>
      </c>
      <c r="Q370" s="8">
        <f>IF(OR($H$7&lt;&gt;"OK",P370=""),"",IF(P370&lt;=$D$19,$A$19,IF(P370&gt;=INDEX($D$19:$D$2018,$H$6),INDEX($A$19:$A$2018,$H$6),INDEX($A$19:$A$2018,MATCH(P370,$D$19:INDEX($D$19:$D$2018,$H$6),1))+(P370-INDEX($D$19:$D$2018,MATCH(P370,$D$19:INDEX($D$19:$D$2018,$H$6),1)))*(INDEX($A$19:$A$2018,MATCH(P370,$D$19:INDEX($D$19:$D$2018,$H$6),1)+1)-INDEX($A$19:$A$2018,MATCH(P370,$D$19:INDEX($D$19:$D$2018,$H$6),1)))/(INDEX($D$19:$D$2018,MATCH(P370,$D$19:INDEX($D$19:$D$2018,$H$6),1)+1)-INDEX($D$19:$D$2018,MATCH(P370,$D$19:INDEX($D$19:$D$2018,$H$6),1))))))</f>
        <v/>
      </c>
      <c r="R370" s="8">
        <f>IF(P370=0,0,-Y370*N370/P370)</f>
        <v/>
      </c>
      <c r="S370" s="8">
        <f>IF(P370=0,0,Y370*O370/P370)</f>
        <v/>
      </c>
      <c r="T370" s="8">
        <f>IF(Y370=0,$B$7/2,$B$7/2-Z370*R370/Y370)</f>
        <v/>
      </c>
      <c r="U370" s="8">
        <f>IF(Y370=0,$B$8/2,$B$8/2+Z370*S370/Y370)</f>
        <v/>
      </c>
      <c r="V370" s="8">
        <f>SQRT((T370-L370)^2+(U370-M370)^2)</f>
        <v/>
      </c>
      <c r="Y370">
        <f>$B$10*TAN(RADIANS(Q370))</f>
        <v/>
      </c>
      <c r="Z370">
        <f>IF(OR($H$7&lt;&gt;"OK",Q370=""),"",IF(Q370&lt;=$A$19,$D$19,IF(Q370&gt;=INDEX($A$19:$A$2018,$H$6),INDEX($D$19:$D$2018,$H$6),INDEX($D$19:$D$2018,MATCH(Q370,$A$19:INDEX($A$19:$A$2018,$H$6),1))+(Q370-INDEX($A$19:$A$2018,MATCH(Q370,$A$19:INDEX($A$19:$A$2018,$H$6),1)))*(INDEX($D$19:$D$2018,MATCH(Q370,$A$19:INDEX($A$19:$A$2018,$H$6),1)+1)-INDEX($D$19:$D$2018,MATCH(Q370,$A$19:INDEX($A$19:$A$2018,$H$6),1)))/(INDEX($A$19:$A$2018,MATCH(Q370,$A$19:INDEX($A$19:$A$2018,$H$6),1)+1)-INDEX($A$19:$A$2018,MATCH(Q370,$A$19:INDEX($A$19:$A$2018,$H$6),1))))))</f>
        <v/>
      </c>
    </row>
    <row r="371">
      <c r="A371" s="11" t="n"/>
      <c r="B371" s="11" t="n"/>
      <c r="C371" s="12">
        <f>IF(A371="","",$B$9*TAN(RADIANS(A371)))</f>
        <v/>
      </c>
      <c r="D371" s="12">
        <f>IF(C371="","",C371*(1+B371/100))</f>
        <v/>
      </c>
      <c r="E371" s="12">
        <f>IF(A371="","",$B$10*TAN(RADIANS(A371)))</f>
        <v/>
      </c>
      <c r="G371" s="8" t="n">
        <v>353</v>
      </c>
      <c r="H371" s="8">
        <f>$K$12</f>
        <v/>
      </c>
      <c r="I371" s="7" t="inlineStr">
        <is>
          <t>豎</t>
        </is>
      </c>
      <c r="J371" s="8" t="n">
        <v>4</v>
      </c>
      <c r="K371" s="7" t="inlineStr">
        <is>
          <t>左上</t>
        </is>
      </c>
      <c r="L371" s="8">
        <f>$O$12+($M$12+$L$12)/2-$M$12/2+$L$12/2+3*2*$L$12+(-1)*$L$12/2</f>
        <v/>
      </c>
      <c r="M371" s="8">
        <f>$P$12+(-1)*$M$12/2</f>
        <v/>
      </c>
      <c r="N371" s="8">
        <f>L371-$B$7/2</f>
        <v/>
      </c>
      <c r="O371" s="8">
        <f>M371-$B$8/2</f>
        <v/>
      </c>
      <c r="P371" s="8">
        <f>SQRT(N371^2+O371^2)</f>
        <v/>
      </c>
      <c r="Q371" s="8">
        <f>IF(OR($H$7&lt;&gt;"OK",P371=""),"",IF(P371&lt;=$D$19,$A$19,IF(P371&gt;=INDEX($D$19:$D$2018,$H$6),INDEX($A$19:$A$2018,$H$6),INDEX($A$19:$A$2018,MATCH(P371,$D$19:INDEX($D$19:$D$2018,$H$6),1))+(P371-INDEX($D$19:$D$2018,MATCH(P371,$D$19:INDEX($D$19:$D$2018,$H$6),1)))*(INDEX($A$19:$A$2018,MATCH(P371,$D$19:INDEX($D$19:$D$2018,$H$6),1)+1)-INDEX($A$19:$A$2018,MATCH(P371,$D$19:INDEX($D$19:$D$2018,$H$6),1)))/(INDEX($D$19:$D$2018,MATCH(P371,$D$19:INDEX($D$19:$D$2018,$H$6),1)+1)-INDEX($D$19:$D$2018,MATCH(P371,$D$19:INDEX($D$19:$D$2018,$H$6),1))))))</f>
        <v/>
      </c>
      <c r="R371" s="8">
        <f>IF(P371=0,0,-Y371*N371/P371)</f>
        <v/>
      </c>
      <c r="S371" s="8">
        <f>IF(P371=0,0,Y371*O371/P371)</f>
        <v/>
      </c>
      <c r="T371" s="8">
        <f>IF(Y371=0,$B$7/2,$B$7/2-Z371*R371/Y371)</f>
        <v/>
      </c>
      <c r="U371" s="8">
        <f>IF(Y371=0,$B$8/2,$B$8/2+Z371*S371/Y371)</f>
        <v/>
      </c>
      <c r="V371" s="8">
        <f>SQRT((T371-L371)^2+(U371-M371)^2)</f>
        <v/>
      </c>
      <c r="Y371">
        <f>$B$10*TAN(RADIANS(Q371))</f>
        <v/>
      </c>
      <c r="Z371">
        <f>IF(OR($H$7&lt;&gt;"OK",Q371=""),"",IF(Q371&lt;=$A$19,$D$19,IF(Q371&gt;=INDEX($A$19:$A$2018,$H$6),INDEX($D$19:$D$2018,$H$6),INDEX($D$19:$D$2018,MATCH(Q371,$A$19:INDEX($A$19:$A$2018,$H$6),1))+(Q371-INDEX($A$19:$A$2018,MATCH(Q371,$A$19:INDEX($A$19:$A$2018,$H$6),1)))*(INDEX($D$19:$D$2018,MATCH(Q371,$A$19:INDEX($A$19:$A$2018,$H$6),1)+1)-INDEX($D$19:$D$2018,MATCH(Q371,$A$19:INDEX($A$19:$A$2018,$H$6),1)))/(INDEX($A$19:$A$2018,MATCH(Q371,$A$19:INDEX($A$19:$A$2018,$H$6),1)+1)-INDEX($A$19:$A$2018,MATCH(Q371,$A$19:INDEX($A$19:$A$2018,$H$6),1))))))</f>
        <v/>
      </c>
    </row>
    <row r="372">
      <c r="A372" s="11" t="n"/>
      <c r="B372" s="11" t="n"/>
      <c r="C372" s="12">
        <f>IF(A372="","",$B$9*TAN(RADIANS(A372)))</f>
        <v/>
      </c>
      <c r="D372" s="12">
        <f>IF(C372="","",C372*(1+B372/100))</f>
        <v/>
      </c>
      <c r="E372" s="12">
        <f>IF(A372="","",$B$10*TAN(RADIANS(A372)))</f>
        <v/>
      </c>
      <c r="G372" s="8" t="n">
        <v>354</v>
      </c>
      <c r="H372" s="8">
        <f>$K$12</f>
        <v/>
      </c>
      <c r="I372" s="7" t="inlineStr">
        <is>
          <t>豎</t>
        </is>
      </c>
      <c r="J372" s="8" t="n">
        <v>4</v>
      </c>
      <c r="K372" s="7" t="inlineStr">
        <is>
          <t>右上</t>
        </is>
      </c>
      <c r="L372" s="8">
        <f>$O$12+($M$12+$L$12)/2-$M$12/2+$L$12/2+3*2*$L$12+(1)*$L$12/2</f>
        <v/>
      </c>
      <c r="M372" s="8">
        <f>$P$12+(-1)*$M$12/2</f>
        <v/>
      </c>
      <c r="N372" s="8">
        <f>L372-$B$7/2</f>
        <v/>
      </c>
      <c r="O372" s="8">
        <f>M372-$B$8/2</f>
        <v/>
      </c>
      <c r="P372" s="8">
        <f>SQRT(N372^2+O372^2)</f>
        <v/>
      </c>
      <c r="Q372" s="8">
        <f>IF(OR($H$7&lt;&gt;"OK",P372=""),"",IF(P372&lt;=$D$19,$A$19,IF(P372&gt;=INDEX($D$19:$D$2018,$H$6),INDEX($A$19:$A$2018,$H$6),INDEX($A$19:$A$2018,MATCH(P372,$D$19:INDEX($D$19:$D$2018,$H$6),1))+(P372-INDEX($D$19:$D$2018,MATCH(P372,$D$19:INDEX($D$19:$D$2018,$H$6),1)))*(INDEX($A$19:$A$2018,MATCH(P372,$D$19:INDEX($D$19:$D$2018,$H$6),1)+1)-INDEX($A$19:$A$2018,MATCH(P372,$D$19:INDEX($D$19:$D$2018,$H$6),1)))/(INDEX($D$19:$D$2018,MATCH(P372,$D$19:INDEX($D$19:$D$2018,$H$6),1)+1)-INDEX($D$19:$D$2018,MATCH(P372,$D$19:INDEX($D$19:$D$2018,$H$6),1))))))</f>
        <v/>
      </c>
      <c r="R372" s="8">
        <f>IF(P372=0,0,-Y372*N372/P372)</f>
        <v/>
      </c>
      <c r="S372" s="8">
        <f>IF(P372=0,0,Y372*O372/P372)</f>
        <v/>
      </c>
      <c r="T372" s="8">
        <f>IF(Y372=0,$B$7/2,$B$7/2-Z372*R372/Y372)</f>
        <v/>
      </c>
      <c r="U372" s="8">
        <f>IF(Y372=0,$B$8/2,$B$8/2+Z372*S372/Y372)</f>
        <v/>
      </c>
      <c r="V372" s="8">
        <f>SQRT((T372-L372)^2+(U372-M372)^2)</f>
        <v/>
      </c>
      <c r="Y372">
        <f>$B$10*TAN(RADIANS(Q372))</f>
        <v/>
      </c>
      <c r="Z372">
        <f>IF(OR($H$7&lt;&gt;"OK",Q372=""),"",IF(Q372&lt;=$A$19,$D$19,IF(Q372&gt;=INDEX($A$19:$A$2018,$H$6),INDEX($D$19:$D$2018,$H$6),INDEX($D$19:$D$2018,MATCH(Q372,$A$19:INDEX($A$19:$A$2018,$H$6),1))+(Q372-INDEX($A$19:$A$2018,MATCH(Q372,$A$19:INDEX($A$19:$A$2018,$H$6),1)))*(INDEX($D$19:$D$2018,MATCH(Q372,$A$19:INDEX($A$19:$A$2018,$H$6),1)+1)-INDEX($D$19:$D$2018,MATCH(Q372,$A$19:INDEX($A$19:$A$2018,$H$6),1)))/(INDEX($A$19:$A$2018,MATCH(Q372,$A$19:INDEX($A$19:$A$2018,$H$6),1)+1)-INDEX($A$19:$A$2018,MATCH(Q372,$A$19:INDEX($A$19:$A$2018,$H$6),1))))))</f>
        <v/>
      </c>
    </row>
    <row r="373">
      <c r="A373" s="11" t="n"/>
      <c r="B373" s="11" t="n"/>
      <c r="C373" s="12">
        <f>IF(A373="","",$B$9*TAN(RADIANS(A373)))</f>
        <v/>
      </c>
      <c r="D373" s="12">
        <f>IF(C373="","",C373*(1+B373/100))</f>
        <v/>
      </c>
      <c r="E373" s="12">
        <f>IF(A373="","",$B$10*TAN(RADIANS(A373)))</f>
        <v/>
      </c>
      <c r="G373" s="8" t="n">
        <v>355</v>
      </c>
      <c r="H373" s="8">
        <f>$K$12</f>
        <v/>
      </c>
      <c r="I373" s="7" t="inlineStr">
        <is>
          <t>豎</t>
        </is>
      </c>
      <c r="J373" s="8" t="n">
        <v>4</v>
      </c>
      <c r="K373" s="7" t="inlineStr">
        <is>
          <t>右下</t>
        </is>
      </c>
      <c r="L373" s="8">
        <f>$O$12+($M$12+$L$12)/2-$M$12/2+$L$12/2+3*2*$L$12+(1)*$L$12/2</f>
        <v/>
      </c>
      <c r="M373" s="8">
        <f>$P$12+(1)*$M$12/2</f>
        <v/>
      </c>
      <c r="N373" s="8">
        <f>L373-$B$7/2</f>
        <v/>
      </c>
      <c r="O373" s="8">
        <f>M373-$B$8/2</f>
        <v/>
      </c>
      <c r="P373" s="8">
        <f>SQRT(N373^2+O373^2)</f>
        <v/>
      </c>
      <c r="Q373" s="8">
        <f>IF(OR($H$7&lt;&gt;"OK",P373=""),"",IF(P373&lt;=$D$19,$A$19,IF(P373&gt;=INDEX($D$19:$D$2018,$H$6),INDEX($A$19:$A$2018,$H$6),INDEX($A$19:$A$2018,MATCH(P373,$D$19:INDEX($D$19:$D$2018,$H$6),1))+(P373-INDEX($D$19:$D$2018,MATCH(P373,$D$19:INDEX($D$19:$D$2018,$H$6),1)))*(INDEX($A$19:$A$2018,MATCH(P373,$D$19:INDEX($D$19:$D$2018,$H$6),1)+1)-INDEX($A$19:$A$2018,MATCH(P373,$D$19:INDEX($D$19:$D$2018,$H$6),1)))/(INDEX($D$19:$D$2018,MATCH(P373,$D$19:INDEX($D$19:$D$2018,$H$6),1)+1)-INDEX($D$19:$D$2018,MATCH(P373,$D$19:INDEX($D$19:$D$2018,$H$6),1))))))</f>
        <v/>
      </c>
      <c r="R373" s="8">
        <f>IF(P373=0,0,-Y373*N373/P373)</f>
        <v/>
      </c>
      <c r="S373" s="8">
        <f>IF(P373=0,0,Y373*O373/P373)</f>
        <v/>
      </c>
      <c r="T373" s="8">
        <f>IF(Y373=0,$B$7/2,$B$7/2-Z373*R373/Y373)</f>
        <v/>
      </c>
      <c r="U373" s="8">
        <f>IF(Y373=0,$B$8/2,$B$8/2+Z373*S373/Y373)</f>
        <v/>
      </c>
      <c r="V373" s="8">
        <f>SQRT((T373-L373)^2+(U373-M373)^2)</f>
        <v/>
      </c>
      <c r="Y373">
        <f>$B$10*TAN(RADIANS(Q373))</f>
        <v/>
      </c>
      <c r="Z373">
        <f>IF(OR($H$7&lt;&gt;"OK",Q373=""),"",IF(Q373&lt;=$A$19,$D$19,IF(Q373&gt;=INDEX($A$19:$A$2018,$H$6),INDEX($D$19:$D$2018,$H$6),INDEX($D$19:$D$2018,MATCH(Q373,$A$19:INDEX($A$19:$A$2018,$H$6),1))+(Q373-INDEX($A$19:$A$2018,MATCH(Q373,$A$19:INDEX($A$19:$A$2018,$H$6),1)))*(INDEX($D$19:$D$2018,MATCH(Q373,$A$19:INDEX($A$19:$A$2018,$H$6),1)+1)-INDEX($D$19:$D$2018,MATCH(Q373,$A$19:INDEX($A$19:$A$2018,$H$6),1)))/(INDEX($A$19:$A$2018,MATCH(Q373,$A$19:INDEX($A$19:$A$2018,$H$6),1)+1)-INDEX($A$19:$A$2018,MATCH(Q373,$A$19:INDEX($A$19:$A$2018,$H$6),1))))))</f>
        <v/>
      </c>
    </row>
    <row r="374">
      <c r="A374" s="11" t="n"/>
      <c r="B374" s="11" t="n"/>
      <c r="C374" s="12">
        <f>IF(A374="","",$B$9*TAN(RADIANS(A374)))</f>
        <v/>
      </c>
      <c r="D374" s="12">
        <f>IF(C374="","",C374*(1+B374/100))</f>
        <v/>
      </c>
      <c r="E374" s="12">
        <f>IF(A374="","",$B$10*TAN(RADIANS(A374)))</f>
        <v/>
      </c>
      <c r="G374" s="8" t="n">
        <v>356</v>
      </c>
      <c r="H374" s="8">
        <f>$K$12</f>
        <v/>
      </c>
      <c r="I374" s="7" t="inlineStr">
        <is>
          <t>豎</t>
        </is>
      </c>
      <c r="J374" s="8" t="n">
        <v>4</v>
      </c>
      <c r="K374" s="7" t="inlineStr">
        <is>
          <t>左下</t>
        </is>
      </c>
      <c r="L374" s="8">
        <f>$O$12+($M$12+$L$12)/2-$M$12/2+$L$12/2+3*2*$L$12+(-1)*$L$12/2</f>
        <v/>
      </c>
      <c r="M374" s="8">
        <f>$P$12+(1)*$M$12/2</f>
        <v/>
      </c>
      <c r="N374" s="8">
        <f>L374-$B$7/2</f>
        <v/>
      </c>
      <c r="O374" s="8">
        <f>M374-$B$8/2</f>
        <v/>
      </c>
      <c r="P374" s="8">
        <f>SQRT(N374^2+O374^2)</f>
        <v/>
      </c>
      <c r="Q374" s="8">
        <f>IF(OR($H$7&lt;&gt;"OK",P374=""),"",IF(P374&lt;=$D$19,$A$19,IF(P374&gt;=INDEX($D$19:$D$2018,$H$6),INDEX($A$19:$A$2018,$H$6),INDEX($A$19:$A$2018,MATCH(P374,$D$19:INDEX($D$19:$D$2018,$H$6),1))+(P374-INDEX($D$19:$D$2018,MATCH(P374,$D$19:INDEX($D$19:$D$2018,$H$6),1)))*(INDEX($A$19:$A$2018,MATCH(P374,$D$19:INDEX($D$19:$D$2018,$H$6),1)+1)-INDEX($A$19:$A$2018,MATCH(P374,$D$19:INDEX($D$19:$D$2018,$H$6),1)))/(INDEX($D$19:$D$2018,MATCH(P374,$D$19:INDEX($D$19:$D$2018,$H$6),1)+1)-INDEX($D$19:$D$2018,MATCH(P374,$D$19:INDEX($D$19:$D$2018,$H$6),1))))))</f>
        <v/>
      </c>
      <c r="R374" s="8">
        <f>IF(P374=0,0,-Y374*N374/P374)</f>
        <v/>
      </c>
      <c r="S374" s="8">
        <f>IF(P374=0,0,Y374*O374/P374)</f>
        <v/>
      </c>
      <c r="T374" s="8">
        <f>IF(Y374=0,$B$7/2,$B$7/2-Z374*R374/Y374)</f>
        <v/>
      </c>
      <c r="U374" s="8">
        <f>IF(Y374=0,$B$8/2,$B$8/2+Z374*S374/Y374)</f>
        <v/>
      </c>
      <c r="V374" s="8">
        <f>SQRT((T374-L374)^2+(U374-M374)^2)</f>
        <v/>
      </c>
      <c r="Y374">
        <f>$B$10*TAN(RADIANS(Q374))</f>
        <v/>
      </c>
      <c r="Z374">
        <f>IF(OR($H$7&lt;&gt;"OK",Q374=""),"",IF(Q374&lt;=$A$19,$D$19,IF(Q374&gt;=INDEX($A$19:$A$2018,$H$6),INDEX($D$19:$D$2018,$H$6),INDEX($D$19:$D$2018,MATCH(Q374,$A$19:INDEX($A$19:$A$2018,$H$6),1))+(Q374-INDEX($A$19:$A$2018,MATCH(Q374,$A$19:INDEX($A$19:$A$2018,$H$6),1)))*(INDEX($D$19:$D$2018,MATCH(Q374,$A$19:INDEX($A$19:$A$2018,$H$6),1)+1)-INDEX($D$19:$D$2018,MATCH(Q374,$A$19:INDEX($A$19:$A$2018,$H$6),1)))/(INDEX($A$19:$A$2018,MATCH(Q374,$A$19:INDEX($A$19:$A$2018,$H$6),1)+1)-INDEX($A$19:$A$2018,MATCH(Q374,$A$19:INDEX($A$19:$A$2018,$H$6),1))))))</f>
        <v/>
      </c>
    </row>
    <row r="375">
      <c r="A375" s="11" t="n"/>
      <c r="B375" s="11" t="n"/>
      <c r="C375" s="12">
        <f>IF(A375="","",$B$9*TAN(RADIANS(A375)))</f>
        <v/>
      </c>
      <c r="D375" s="12">
        <f>IF(C375="","",C375*(1+B375/100))</f>
        <v/>
      </c>
      <c r="E375" s="12">
        <f>IF(A375="","",$B$10*TAN(RADIANS(A375)))</f>
        <v/>
      </c>
      <c r="G375" s="8" t="n">
        <v>357</v>
      </c>
      <c r="H375" s="8">
        <f>$K$12</f>
        <v/>
      </c>
      <c r="I375" s="7" t="inlineStr">
        <is>
          <t>豎</t>
        </is>
      </c>
      <c r="J375" s="8" t="n">
        <v>5</v>
      </c>
      <c r="K375" s="7" t="inlineStr">
        <is>
          <t>左上</t>
        </is>
      </c>
      <c r="L375" s="8">
        <f>$O$12+($M$12+$L$12)/2-$M$12/2+$L$12/2+4*2*$L$12+(-1)*$L$12/2</f>
        <v/>
      </c>
      <c r="M375" s="8">
        <f>$P$12+(-1)*$M$12/2</f>
        <v/>
      </c>
      <c r="N375" s="8">
        <f>L375-$B$7/2</f>
        <v/>
      </c>
      <c r="O375" s="8">
        <f>M375-$B$8/2</f>
        <v/>
      </c>
      <c r="P375" s="8">
        <f>SQRT(N375^2+O375^2)</f>
        <v/>
      </c>
      <c r="Q375" s="8">
        <f>IF(OR($H$7&lt;&gt;"OK",P375=""),"",IF(P375&lt;=$D$19,$A$19,IF(P375&gt;=INDEX($D$19:$D$2018,$H$6),INDEX($A$19:$A$2018,$H$6),INDEX($A$19:$A$2018,MATCH(P375,$D$19:INDEX($D$19:$D$2018,$H$6),1))+(P375-INDEX($D$19:$D$2018,MATCH(P375,$D$19:INDEX($D$19:$D$2018,$H$6),1)))*(INDEX($A$19:$A$2018,MATCH(P375,$D$19:INDEX($D$19:$D$2018,$H$6),1)+1)-INDEX($A$19:$A$2018,MATCH(P375,$D$19:INDEX($D$19:$D$2018,$H$6),1)))/(INDEX($D$19:$D$2018,MATCH(P375,$D$19:INDEX($D$19:$D$2018,$H$6),1)+1)-INDEX($D$19:$D$2018,MATCH(P375,$D$19:INDEX($D$19:$D$2018,$H$6),1))))))</f>
        <v/>
      </c>
      <c r="R375" s="8">
        <f>IF(P375=0,0,-Y375*N375/P375)</f>
        <v/>
      </c>
      <c r="S375" s="8">
        <f>IF(P375=0,0,Y375*O375/P375)</f>
        <v/>
      </c>
      <c r="T375" s="8">
        <f>IF(Y375=0,$B$7/2,$B$7/2-Z375*R375/Y375)</f>
        <v/>
      </c>
      <c r="U375" s="8">
        <f>IF(Y375=0,$B$8/2,$B$8/2+Z375*S375/Y375)</f>
        <v/>
      </c>
      <c r="V375" s="8">
        <f>SQRT((T375-L375)^2+(U375-M375)^2)</f>
        <v/>
      </c>
      <c r="Y375">
        <f>$B$10*TAN(RADIANS(Q375))</f>
        <v/>
      </c>
      <c r="Z375">
        <f>IF(OR($H$7&lt;&gt;"OK",Q375=""),"",IF(Q375&lt;=$A$19,$D$19,IF(Q375&gt;=INDEX($A$19:$A$2018,$H$6),INDEX($D$19:$D$2018,$H$6),INDEX($D$19:$D$2018,MATCH(Q375,$A$19:INDEX($A$19:$A$2018,$H$6),1))+(Q375-INDEX($A$19:$A$2018,MATCH(Q375,$A$19:INDEX($A$19:$A$2018,$H$6),1)))*(INDEX($D$19:$D$2018,MATCH(Q375,$A$19:INDEX($A$19:$A$2018,$H$6),1)+1)-INDEX($D$19:$D$2018,MATCH(Q375,$A$19:INDEX($A$19:$A$2018,$H$6),1)))/(INDEX($A$19:$A$2018,MATCH(Q375,$A$19:INDEX($A$19:$A$2018,$H$6),1)+1)-INDEX($A$19:$A$2018,MATCH(Q375,$A$19:INDEX($A$19:$A$2018,$H$6),1))))))</f>
        <v/>
      </c>
    </row>
    <row r="376">
      <c r="A376" s="11" t="n"/>
      <c r="B376" s="11" t="n"/>
      <c r="C376" s="12">
        <f>IF(A376="","",$B$9*TAN(RADIANS(A376)))</f>
        <v/>
      </c>
      <c r="D376" s="12">
        <f>IF(C376="","",C376*(1+B376/100))</f>
        <v/>
      </c>
      <c r="E376" s="12">
        <f>IF(A376="","",$B$10*TAN(RADIANS(A376)))</f>
        <v/>
      </c>
      <c r="G376" s="8" t="n">
        <v>358</v>
      </c>
      <c r="H376" s="8">
        <f>$K$12</f>
        <v/>
      </c>
      <c r="I376" s="7" t="inlineStr">
        <is>
          <t>豎</t>
        </is>
      </c>
      <c r="J376" s="8" t="n">
        <v>5</v>
      </c>
      <c r="K376" s="7" t="inlineStr">
        <is>
          <t>右上</t>
        </is>
      </c>
      <c r="L376" s="8">
        <f>$O$12+($M$12+$L$12)/2-$M$12/2+$L$12/2+4*2*$L$12+(1)*$L$12/2</f>
        <v/>
      </c>
      <c r="M376" s="8">
        <f>$P$12+(-1)*$M$12/2</f>
        <v/>
      </c>
      <c r="N376" s="8">
        <f>L376-$B$7/2</f>
        <v/>
      </c>
      <c r="O376" s="8">
        <f>M376-$B$8/2</f>
        <v/>
      </c>
      <c r="P376" s="8">
        <f>SQRT(N376^2+O376^2)</f>
        <v/>
      </c>
      <c r="Q376" s="8">
        <f>IF(OR($H$7&lt;&gt;"OK",P376=""),"",IF(P376&lt;=$D$19,$A$19,IF(P376&gt;=INDEX($D$19:$D$2018,$H$6),INDEX($A$19:$A$2018,$H$6),INDEX($A$19:$A$2018,MATCH(P376,$D$19:INDEX($D$19:$D$2018,$H$6),1))+(P376-INDEX($D$19:$D$2018,MATCH(P376,$D$19:INDEX($D$19:$D$2018,$H$6),1)))*(INDEX($A$19:$A$2018,MATCH(P376,$D$19:INDEX($D$19:$D$2018,$H$6),1)+1)-INDEX($A$19:$A$2018,MATCH(P376,$D$19:INDEX($D$19:$D$2018,$H$6),1)))/(INDEX($D$19:$D$2018,MATCH(P376,$D$19:INDEX($D$19:$D$2018,$H$6),1)+1)-INDEX($D$19:$D$2018,MATCH(P376,$D$19:INDEX($D$19:$D$2018,$H$6),1))))))</f>
        <v/>
      </c>
      <c r="R376" s="8">
        <f>IF(P376=0,0,-Y376*N376/P376)</f>
        <v/>
      </c>
      <c r="S376" s="8">
        <f>IF(P376=0,0,Y376*O376/P376)</f>
        <v/>
      </c>
      <c r="T376" s="8">
        <f>IF(Y376=0,$B$7/2,$B$7/2-Z376*R376/Y376)</f>
        <v/>
      </c>
      <c r="U376" s="8">
        <f>IF(Y376=0,$B$8/2,$B$8/2+Z376*S376/Y376)</f>
        <v/>
      </c>
      <c r="V376" s="8">
        <f>SQRT((T376-L376)^2+(U376-M376)^2)</f>
        <v/>
      </c>
      <c r="Y376">
        <f>$B$10*TAN(RADIANS(Q376))</f>
        <v/>
      </c>
      <c r="Z376">
        <f>IF(OR($H$7&lt;&gt;"OK",Q376=""),"",IF(Q376&lt;=$A$19,$D$19,IF(Q376&gt;=INDEX($A$19:$A$2018,$H$6),INDEX($D$19:$D$2018,$H$6),INDEX($D$19:$D$2018,MATCH(Q376,$A$19:INDEX($A$19:$A$2018,$H$6),1))+(Q376-INDEX($A$19:$A$2018,MATCH(Q376,$A$19:INDEX($A$19:$A$2018,$H$6),1)))*(INDEX($D$19:$D$2018,MATCH(Q376,$A$19:INDEX($A$19:$A$2018,$H$6),1)+1)-INDEX($D$19:$D$2018,MATCH(Q376,$A$19:INDEX($A$19:$A$2018,$H$6),1)))/(INDEX($A$19:$A$2018,MATCH(Q376,$A$19:INDEX($A$19:$A$2018,$H$6),1)+1)-INDEX($A$19:$A$2018,MATCH(Q376,$A$19:INDEX($A$19:$A$2018,$H$6),1))))))</f>
        <v/>
      </c>
    </row>
    <row r="377">
      <c r="A377" s="11" t="n"/>
      <c r="B377" s="11" t="n"/>
      <c r="C377" s="12">
        <f>IF(A377="","",$B$9*TAN(RADIANS(A377)))</f>
        <v/>
      </c>
      <c r="D377" s="12">
        <f>IF(C377="","",C377*(1+B377/100))</f>
        <v/>
      </c>
      <c r="E377" s="12">
        <f>IF(A377="","",$B$10*TAN(RADIANS(A377)))</f>
        <v/>
      </c>
      <c r="G377" s="8" t="n">
        <v>359</v>
      </c>
      <c r="H377" s="8">
        <f>$K$12</f>
        <v/>
      </c>
      <c r="I377" s="7" t="inlineStr">
        <is>
          <t>豎</t>
        </is>
      </c>
      <c r="J377" s="8" t="n">
        <v>5</v>
      </c>
      <c r="K377" s="7" t="inlineStr">
        <is>
          <t>右下</t>
        </is>
      </c>
      <c r="L377" s="8">
        <f>$O$12+($M$12+$L$12)/2-$M$12/2+$L$12/2+4*2*$L$12+(1)*$L$12/2</f>
        <v/>
      </c>
      <c r="M377" s="8">
        <f>$P$12+(1)*$M$12/2</f>
        <v/>
      </c>
      <c r="N377" s="8">
        <f>L377-$B$7/2</f>
        <v/>
      </c>
      <c r="O377" s="8">
        <f>M377-$B$8/2</f>
        <v/>
      </c>
      <c r="P377" s="8">
        <f>SQRT(N377^2+O377^2)</f>
        <v/>
      </c>
      <c r="Q377" s="8">
        <f>IF(OR($H$7&lt;&gt;"OK",P377=""),"",IF(P377&lt;=$D$19,$A$19,IF(P377&gt;=INDEX($D$19:$D$2018,$H$6),INDEX($A$19:$A$2018,$H$6),INDEX($A$19:$A$2018,MATCH(P377,$D$19:INDEX($D$19:$D$2018,$H$6),1))+(P377-INDEX($D$19:$D$2018,MATCH(P377,$D$19:INDEX($D$19:$D$2018,$H$6),1)))*(INDEX($A$19:$A$2018,MATCH(P377,$D$19:INDEX($D$19:$D$2018,$H$6),1)+1)-INDEX($A$19:$A$2018,MATCH(P377,$D$19:INDEX($D$19:$D$2018,$H$6),1)))/(INDEX($D$19:$D$2018,MATCH(P377,$D$19:INDEX($D$19:$D$2018,$H$6),1)+1)-INDEX($D$19:$D$2018,MATCH(P377,$D$19:INDEX($D$19:$D$2018,$H$6),1))))))</f>
        <v/>
      </c>
      <c r="R377" s="8">
        <f>IF(P377=0,0,-Y377*N377/P377)</f>
        <v/>
      </c>
      <c r="S377" s="8">
        <f>IF(P377=0,0,Y377*O377/P377)</f>
        <v/>
      </c>
      <c r="T377" s="8">
        <f>IF(Y377=0,$B$7/2,$B$7/2-Z377*R377/Y377)</f>
        <v/>
      </c>
      <c r="U377" s="8">
        <f>IF(Y377=0,$B$8/2,$B$8/2+Z377*S377/Y377)</f>
        <v/>
      </c>
      <c r="V377" s="8">
        <f>SQRT((T377-L377)^2+(U377-M377)^2)</f>
        <v/>
      </c>
      <c r="Y377">
        <f>$B$10*TAN(RADIANS(Q377))</f>
        <v/>
      </c>
      <c r="Z377">
        <f>IF(OR($H$7&lt;&gt;"OK",Q377=""),"",IF(Q377&lt;=$A$19,$D$19,IF(Q377&gt;=INDEX($A$19:$A$2018,$H$6),INDEX($D$19:$D$2018,$H$6),INDEX($D$19:$D$2018,MATCH(Q377,$A$19:INDEX($A$19:$A$2018,$H$6),1))+(Q377-INDEX($A$19:$A$2018,MATCH(Q377,$A$19:INDEX($A$19:$A$2018,$H$6),1)))*(INDEX($D$19:$D$2018,MATCH(Q377,$A$19:INDEX($A$19:$A$2018,$H$6),1)+1)-INDEX($D$19:$D$2018,MATCH(Q377,$A$19:INDEX($A$19:$A$2018,$H$6),1)))/(INDEX($A$19:$A$2018,MATCH(Q377,$A$19:INDEX($A$19:$A$2018,$H$6),1)+1)-INDEX($A$19:$A$2018,MATCH(Q377,$A$19:INDEX($A$19:$A$2018,$H$6),1))))))</f>
        <v/>
      </c>
    </row>
    <row r="378">
      <c r="A378" s="11" t="n"/>
      <c r="B378" s="11" t="n"/>
      <c r="C378" s="12">
        <f>IF(A378="","",$B$9*TAN(RADIANS(A378)))</f>
        <v/>
      </c>
      <c r="D378" s="12">
        <f>IF(C378="","",C378*(1+B378/100))</f>
        <v/>
      </c>
      <c r="E378" s="12">
        <f>IF(A378="","",$B$10*TAN(RADIANS(A378)))</f>
        <v/>
      </c>
      <c r="G378" s="8" t="n">
        <v>360</v>
      </c>
      <c r="H378" s="8">
        <f>$K$12</f>
        <v/>
      </c>
      <c r="I378" s="7" t="inlineStr">
        <is>
          <t>豎</t>
        </is>
      </c>
      <c r="J378" s="8" t="n">
        <v>5</v>
      </c>
      <c r="K378" s="7" t="inlineStr">
        <is>
          <t>左下</t>
        </is>
      </c>
      <c r="L378" s="8">
        <f>$O$12+($M$12+$L$12)/2-$M$12/2+$L$12/2+4*2*$L$12+(-1)*$L$12/2</f>
        <v/>
      </c>
      <c r="M378" s="8">
        <f>$P$12+(1)*$M$12/2</f>
        <v/>
      </c>
      <c r="N378" s="8">
        <f>L378-$B$7/2</f>
        <v/>
      </c>
      <c r="O378" s="8">
        <f>M378-$B$8/2</f>
        <v/>
      </c>
      <c r="P378" s="8">
        <f>SQRT(N378^2+O378^2)</f>
        <v/>
      </c>
      <c r="Q378" s="8">
        <f>IF(OR($H$7&lt;&gt;"OK",P378=""),"",IF(P378&lt;=$D$19,$A$19,IF(P378&gt;=INDEX($D$19:$D$2018,$H$6),INDEX($A$19:$A$2018,$H$6),INDEX($A$19:$A$2018,MATCH(P378,$D$19:INDEX($D$19:$D$2018,$H$6),1))+(P378-INDEX($D$19:$D$2018,MATCH(P378,$D$19:INDEX($D$19:$D$2018,$H$6),1)))*(INDEX($A$19:$A$2018,MATCH(P378,$D$19:INDEX($D$19:$D$2018,$H$6),1)+1)-INDEX($A$19:$A$2018,MATCH(P378,$D$19:INDEX($D$19:$D$2018,$H$6),1)))/(INDEX($D$19:$D$2018,MATCH(P378,$D$19:INDEX($D$19:$D$2018,$H$6),1)+1)-INDEX($D$19:$D$2018,MATCH(P378,$D$19:INDEX($D$19:$D$2018,$H$6),1))))))</f>
        <v/>
      </c>
      <c r="R378" s="8">
        <f>IF(P378=0,0,-Y378*N378/P378)</f>
        <v/>
      </c>
      <c r="S378" s="8">
        <f>IF(P378=0,0,Y378*O378/P378)</f>
        <v/>
      </c>
      <c r="T378" s="8">
        <f>IF(Y378=0,$B$7/2,$B$7/2-Z378*R378/Y378)</f>
        <v/>
      </c>
      <c r="U378" s="8">
        <f>IF(Y378=0,$B$8/2,$B$8/2+Z378*S378/Y378)</f>
        <v/>
      </c>
      <c r="V378" s="8">
        <f>SQRT((T378-L378)^2+(U378-M378)^2)</f>
        <v/>
      </c>
      <c r="Y378">
        <f>$B$10*TAN(RADIANS(Q378))</f>
        <v/>
      </c>
      <c r="Z378">
        <f>IF(OR($H$7&lt;&gt;"OK",Q378=""),"",IF(Q378&lt;=$A$19,$D$19,IF(Q378&gt;=INDEX($A$19:$A$2018,$H$6),INDEX($D$19:$D$2018,$H$6),INDEX($D$19:$D$2018,MATCH(Q378,$A$19:INDEX($A$19:$A$2018,$H$6),1))+(Q378-INDEX($A$19:$A$2018,MATCH(Q378,$A$19:INDEX($A$19:$A$2018,$H$6),1)))*(INDEX($D$19:$D$2018,MATCH(Q378,$A$19:INDEX($A$19:$A$2018,$H$6),1)+1)-INDEX($D$19:$D$2018,MATCH(Q378,$A$19:INDEX($A$19:$A$2018,$H$6),1)))/(INDEX($A$19:$A$2018,MATCH(Q378,$A$19:INDEX($A$19:$A$2018,$H$6),1)+1)-INDEX($A$19:$A$2018,MATCH(Q378,$A$19:INDEX($A$19:$A$2018,$H$6),1))))))</f>
        <v/>
      </c>
    </row>
    <row r="379">
      <c r="A379" s="11" t="n"/>
      <c r="B379" s="11" t="n"/>
      <c r="C379" s="12">
        <f>IF(A379="","",$B$9*TAN(RADIANS(A379)))</f>
        <v/>
      </c>
      <c r="D379" s="12">
        <f>IF(C379="","",C379*(1+B379/100))</f>
        <v/>
      </c>
      <c r="E379" s="12">
        <f>IF(A379="","",$B$10*TAN(RADIANS(A379)))</f>
        <v/>
      </c>
      <c r="G379" s="8" t="n">
        <v>361</v>
      </c>
      <c r="H379" s="8">
        <f>$K$13</f>
        <v/>
      </c>
      <c r="I379" s="7" t="inlineStr">
        <is>
          <t>橫</t>
        </is>
      </c>
      <c r="J379" s="8" t="n">
        <v>1</v>
      </c>
      <c r="K379" s="7" t="inlineStr">
        <is>
          <t>左上</t>
        </is>
      </c>
      <c r="L379" s="8">
        <f>$O$13-($M$13+$L$13)/2+(-1)*$M$13/2</f>
        <v/>
      </c>
      <c r="M379" s="8">
        <f>$P$13-$M$13/2+$L$13/2+0*2*$L$13+(-1)*$L$13/2</f>
        <v/>
      </c>
      <c r="N379" s="8">
        <f>L379-$B$7/2</f>
        <v/>
      </c>
      <c r="O379" s="8">
        <f>M379-$B$8/2</f>
        <v/>
      </c>
      <c r="P379" s="8">
        <f>SQRT(N379^2+O379^2)</f>
        <v/>
      </c>
      <c r="Q379" s="8">
        <f>IF(OR($H$7&lt;&gt;"OK",P379=""),"",IF(P379&lt;=$D$19,$A$19,IF(P379&gt;=INDEX($D$19:$D$2018,$H$6),INDEX($A$19:$A$2018,$H$6),INDEX($A$19:$A$2018,MATCH(P379,$D$19:INDEX($D$19:$D$2018,$H$6),1))+(P379-INDEX($D$19:$D$2018,MATCH(P379,$D$19:INDEX($D$19:$D$2018,$H$6),1)))*(INDEX($A$19:$A$2018,MATCH(P379,$D$19:INDEX($D$19:$D$2018,$H$6),1)+1)-INDEX($A$19:$A$2018,MATCH(P379,$D$19:INDEX($D$19:$D$2018,$H$6),1)))/(INDEX($D$19:$D$2018,MATCH(P379,$D$19:INDEX($D$19:$D$2018,$H$6),1)+1)-INDEX($D$19:$D$2018,MATCH(P379,$D$19:INDEX($D$19:$D$2018,$H$6),1))))))</f>
        <v/>
      </c>
      <c r="R379" s="8">
        <f>IF(P379=0,0,-Y379*N379/P379)</f>
        <v/>
      </c>
      <c r="S379" s="8">
        <f>IF(P379=0,0,Y379*O379/P379)</f>
        <v/>
      </c>
      <c r="T379" s="8">
        <f>IF(Y379=0,$B$7/2,$B$7/2-Z379*R379/Y379)</f>
        <v/>
      </c>
      <c r="U379" s="8">
        <f>IF(Y379=0,$B$8/2,$B$8/2+Z379*S379/Y379)</f>
        <v/>
      </c>
      <c r="V379" s="8">
        <f>SQRT((T379-L379)^2+(U379-M379)^2)</f>
        <v/>
      </c>
      <c r="Y379">
        <f>$B$10*TAN(RADIANS(Q379))</f>
        <v/>
      </c>
      <c r="Z379">
        <f>IF(OR($H$7&lt;&gt;"OK",Q379=""),"",IF(Q379&lt;=$A$19,$D$19,IF(Q379&gt;=INDEX($A$19:$A$2018,$H$6),INDEX($D$19:$D$2018,$H$6),INDEX($D$19:$D$2018,MATCH(Q379,$A$19:INDEX($A$19:$A$2018,$H$6),1))+(Q379-INDEX($A$19:$A$2018,MATCH(Q379,$A$19:INDEX($A$19:$A$2018,$H$6),1)))*(INDEX($D$19:$D$2018,MATCH(Q379,$A$19:INDEX($A$19:$A$2018,$H$6),1)+1)-INDEX($D$19:$D$2018,MATCH(Q379,$A$19:INDEX($A$19:$A$2018,$H$6),1)))/(INDEX($A$19:$A$2018,MATCH(Q379,$A$19:INDEX($A$19:$A$2018,$H$6),1)+1)-INDEX($A$19:$A$2018,MATCH(Q379,$A$19:INDEX($A$19:$A$2018,$H$6),1))))))</f>
        <v/>
      </c>
    </row>
    <row r="380">
      <c r="A380" s="11" t="n"/>
      <c r="B380" s="11" t="n"/>
      <c r="C380" s="12">
        <f>IF(A380="","",$B$9*TAN(RADIANS(A380)))</f>
        <v/>
      </c>
      <c r="D380" s="12">
        <f>IF(C380="","",C380*(1+B380/100))</f>
        <v/>
      </c>
      <c r="E380" s="12">
        <f>IF(A380="","",$B$10*TAN(RADIANS(A380)))</f>
        <v/>
      </c>
      <c r="G380" s="8" t="n">
        <v>362</v>
      </c>
      <c r="H380" s="8">
        <f>$K$13</f>
        <v/>
      </c>
      <c r="I380" s="7" t="inlineStr">
        <is>
          <t>橫</t>
        </is>
      </c>
      <c r="J380" s="8" t="n">
        <v>1</v>
      </c>
      <c r="K380" s="7" t="inlineStr">
        <is>
          <t>右上</t>
        </is>
      </c>
      <c r="L380" s="8">
        <f>$O$13-($M$13+$L$13)/2+(1)*$M$13/2</f>
        <v/>
      </c>
      <c r="M380" s="8">
        <f>$P$13-$M$13/2+$L$13/2+0*2*$L$13+(-1)*$L$13/2</f>
        <v/>
      </c>
      <c r="N380" s="8">
        <f>L380-$B$7/2</f>
        <v/>
      </c>
      <c r="O380" s="8">
        <f>M380-$B$8/2</f>
        <v/>
      </c>
      <c r="P380" s="8">
        <f>SQRT(N380^2+O380^2)</f>
        <v/>
      </c>
      <c r="Q380" s="8">
        <f>IF(OR($H$7&lt;&gt;"OK",P380=""),"",IF(P380&lt;=$D$19,$A$19,IF(P380&gt;=INDEX($D$19:$D$2018,$H$6),INDEX($A$19:$A$2018,$H$6),INDEX($A$19:$A$2018,MATCH(P380,$D$19:INDEX($D$19:$D$2018,$H$6),1))+(P380-INDEX($D$19:$D$2018,MATCH(P380,$D$19:INDEX($D$19:$D$2018,$H$6),1)))*(INDEX($A$19:$A$2018,MATCH(P380,$D$19:INDEX($D$19:$D$2018,$H$6),1)+1)-INDEX($A$19:$A$2018,MATCH(P380,$D$19:INDEX($D$19:$D$2018,$H$6),1)))/(INDEX($D$19:$D$2018,MATCH(P380,$D$19:INDEX($D$19:$D$2018,$H$6),1)+1)-INDEX($D$19:$D$2018,MATCH(P380,$D$19:INDEX($D$19:$D$2018,$H$6),1))))))</f>
        <v/>
      </c>
      <c r="R380" s="8">
        <f>IF(P380=0,0,-Y380*N380/P380)</f>
        <v/>
      </c>
      <c r="S380" s="8">
        <f>IF(P380=0,0,Y380*O380/P380)</f>
        <v/>
      </c>
      <c r="T380" s="8">
        <f>IF(Y380=0,$B$7/2,$B$7/2-Z380*R380/Y380)</f>
        <v/>
      </c>
      <c r="U380" s="8">
        <f>IF(Y380=0,$B$8/2,$B$8/2+Z380*S380/Y380)</f>
        <v/>
      </c>
      <c r="V380" s="8">
        <f>SQRT((T380-L380)^2+(U380-M380)^2)</f>
        <v/>
      </c>
      <c r="Y380">
        <f>$B$10*TAN(RADIANS(Q380))</f>
        <v/>
      </c>
      <c r="Z380">
        <f>IF(OR($H$7&lt;&gt;"OK",Q380=""),"",IF(Q380&lt;=$A$19,$D$19,IF(Q380&gt;=INDEX($A$19:$A$2018,$H$6),INDEX($D$19:$D$2018,$H$6),INDEX($D$19:$D$2018,MATCH(Q380,$A$19:INDEX($A$19:$A$2018,$H$6),1))+(Q380-INDEX($A$19:$A$2018,MATCH(Q380,$A$19:INDEX($A$19:$A$2018,$H$6),1)))*(INDEX($D$19:$D$2018,MATCH(Q380,$A$19:INDEX($A$19:$A$2018,$H$6),1)+1)-INDEX($D$19:$D$2018,MATCH(Q380,$A$19:INDEX($A$19:$A$2018,$H$6),1)))/(INDEX($A$19:$A$2018,MATCH(Q380,$A$19:INDEX($A$19:$A$2018,$H$6),1)+1)-INDEX($A$19:$A$2018,MATCH(Q380,$A$19:INDEX($A$19:$A$2018,$H$6),1))))))</f>
        <v/>
      </c>
    </row>
    <row r="381">
      <c r="A381" s="11" t="n"/>
      <c r="B381" s="11" t="n"/>
      <c r="C381" s="12">
        <f>IF(A381="","",$B$9*TAN(RADIANS(A381)))</f>
        <v/>
      </c>
      <c r="D381" s="12">
        <f>IF(C381="","",C381*(1+B381/100))</f>
        <v/>
      </c>
      <c r="E381" s="12">
        <f>IF(A381="","",$B$10*TAN(RADIANS(A381)))</f>
        <v/>
      </c>
      <c r="G381" s="8" t="n">
        <v>363</v>
      </c>
      <c r="H381" s="8">
        <f>$K$13</f>
        <v/>
      </c>
      <c r="I381" s="7" t="inlineStr">
        <is>
          <t>橫</t>
        </is>
      </c>
      <c r="J381" s="8" t="n">
        <v>1</v>
      </c>
      <c r="K381" s="7" t="inlineStr">
        <is>
          <t>右下</t>
        </is>
      </c>
      <c r="L381" s="8">
        <f>$O$13-($M$13+$L$13)/2+(1)*$M$13/2</f>
        <v/>
      </c>
      <c r="M381" s="8">
        <f>$P$13-$M$13/2+$L$13/2+0*2*$L$13+(1)*$L$13/2</f>
        <v/>
      </c>
      <c r="N381" s="8">
        <f>L381-$B$7/2</f>
        <v/>
      </c>
      <c r="O381" s="8">
        <f>M381-$B$8/2</f>
        <v/>
      </c>
      <c r="P381" s="8">
        <f>SQRT(N381^2+O381^2)</f>
        <v/>
      </c>
      <c r="Q381" s="8">
        <f>IF(OR($H$7&lt;&gt;"OK",P381=""),"",IF(P381&lt;=$D$19,$A$19,IF(P381&gt;=INDEX($D$19:$D$2018,$H$6),INDEX($A$19:$A$2018,$H$6),INDEX($A$19:$A$2018,MATCH(P381,$D$19:INDEX($D$19:$D$2018,$H$6),1))+(P381-INDEX($D$19:$D$2018,MATCH(P381,$D$19:INDEX($D$19:$D$2018,$H$6),1)))*(INDEX($A$19:$A$2018,MATCH(P381,$D$19:INDEX($D$19:$D$2018,$H$6),1)+1)-INDEX($A$19:$A$2018,MATCH(P381,$D$19:INDEX($D$19:$D$2018,$H$6),1)))/(INDEX($D$19:$D$2018,MATCH(P381,$D$19:INDEX($D$19:$D$2018,$H$6),1)+1)-INDEX($D$19:$D$2018,MATCH(P381,$D$19:INDEX($D$19:$D$2018,$H$6),1))))))</f>
        <v/>
      </c>
      <c r="R381" s="8">
        <f>IF(P381=0,0,-Y381*N381/P381)</f>
        <v/>
      </c>
      <c r="S381" s="8">
        <f>IF(P381=0,0,Y381*O381/P381)</f>
        <v/>
      </c>
      <c r="T381" s="8">
        <f>IF(Y381=0,$B$7/2,$B$7/2-Z381*R381/Y381)</f>
        <v/>
      </c>
      <c r="U381" s="8">
        <f>IF(Y381=0,$B$8/2,$B$8/2+Z381*S381/Y381)</f>
        <v/>
      </c>
      <c r="V381" s="8">
        <f>SQRT((T381-L381)^2+(U381-M381)^2)</f>
        <v/>
      </c>
      <c r="Y381">
        <f>$B$10*TAN(RADIANS(Q381))</f>
        <v/>
      </c>
      <c r="Z381">
        <f>IF(OR($H$7&lt;&gt;"OK",Q381=""),"",IF(Q381&lt;=$A$19,$D$19,IF(Q381&gt;=INDEX($A$19:$A$2018,$H$6),INDEX($D$19:$D$2018,$H$6),INDEX($D$19:$D$2018,MATCH(Q381,$A$19:INDEX($A$19:$A$2018,$H$6),1))+(Q381-INDEX($A$19:$A$2018,MATCH(Q381,$A$19:INDEX($A$19:$A$2018,$H$6),1)))*(INDEX($D$19:$D$2018,MATCH(Q381,$A$19:INDEX($A$19:$A$2018,$H$6),1)+1)-INDEX($D$19:$D$2018,MATCH(Q381,$A$19:INDEX($A$19:$A$2018,$H$6),1)))/(INDEX($A$19:$A$2018,MATCH(Q381,$A$19:INDEX($A$19:$A$2018,$H$6),1)+1)-INDEX($A$19:$A$2018,MATCH(Q381,$A$19:INDEX($A$19:$A$2018,$H$6),1))))))</f>
        <v/>
      </c>
    </row>
    <row r="382">
      <c r="A382" s="11" t="n"/>
      <c r="B382" s="11" t="n"/>
      <c r="C382" s="12">
        <f>IF(A382="","",$B$9*TAN(RADIANS(A382)))</f>
        <v/>
      </c>
      <c r="D382" s="12">
        <f>IF(C382="","",C382*(1+B382/100))</f>
        <v/>
      </c>
      <c r="E382" s="12">
        <f>IF(A382="","",$B$10*TAN(RADIANS(A382)))</f>
        <v/>
      </c>
      <c r="G382" s="8" t="n">
        <v>364</v>
      </c>
      <c r="H382" s="8">
        <f>$K$13</f>
        <v/>
      </c>
      <c r="I382" s="7" t="inlineStr">
        <is>
          <t>橫</t>
        </is>
      </c>
      <c r="J382" s="8" t="n">
        <v>1</v>
      </c>
      <c r="K382" s="7" t="inlineStr">
        <is>
          <t>左下</t>
        </is>
      </c>
      <c r="L382" s="8">
        <f>$O$13-($M$13+$L$13)/2+(-1)*$M$13/2</f>
        <v/>
      </c>
      <c r="M382" s="8">
        <f>$P$13-$M$13/2+$L$13/2+0*2*$L$13+(1)*$L$13/2</f>
        <v/>
      </c>
      <c r="N382" s="8">
        <f>L382-$B$7/2</f>
        <v/>
      </c>
      <c r="O382" s="8">
        <f>M382-$B$8/2</f>
        <v/>
      </c>
      <c r="P382" s="8">
        <f>SQRT(N382^2+O382^2)</f>
        <v/>
      </c>
      <c r="Q382" s="8">
        <f>IF(OR($H$7&lt;&gt;"OK",P382=""),"",IF(P382&lt;=$D$19,$A$19,IF(P382&gt;=INDEX($D$19:$D$2018,$H$6),INDEX($A$19:$A$2018,$H$6),INDEX($A$19:$A$2018,MATCH(P382,$D$19:INDEX($D$19:$D$2018,$H$6),1))+(P382-INDEX($D$19:$D$2018,MATCH(P382,$D$19:INDEX($D$19:$D$2018,$H$6),1)))*(INDEX($A$19:$A$2018,MATCH(P382,$D$19:INDEX($D$19:$D$2018,$H$6),1)+1)-INDEX($A$19:$A$2018,MATCH(P382,$D$19:INDEX($D$19:$D$2018,$H$6),1)))/(INDEX($D$19:$D$2018,MATCH(P382,$D$19:INDEX($D$19:$D$2018,$H$6),1)+1)-INDEX($D$19:$D$2018,MATCH(P382,$D$19:INDEX($D$19:$D$2018,$H$6),1))))))</f>
        <v/>
      </c>
      <c r="R382" s="8">
        <f>IF(P382=0,0,-Y382*N382/P382)</f>
        <v/>
      </c>
      <c r="S382" s="8">
        <f>IF(P382=0,0,Y382*O382/P382)</f>
        <v/>
      </c>
      <c r="T382" s="8">
        <f>IF(Y382=0,$B$7/2,$B$7/2-Z382*R382/Y382)</f>
        <v/>
      </c>
      <c r="U382" s="8">
        <f>IF(Y382=0,$B$8/2,$B$8/2+Z382*S382/Y382)</f>
        <v/>
      </c>
      <c r="V382" s="8">
        <f>SQRT((T382-L382)^2+(U382-M382)^2)</f>
        <v/>
      </c>
      <c r="Y382">
        <f>$B$10*TAN(RADIANS(Q382))</f>
        <v/>
      </c>
      <c r="Z382">
        <f>IF(OR($H$7&lt;&gt;"OK",Q382=""),"",IF(Q382&lt;=$A$19,$D$19,IF(Q382&gt;=INDEX($A$19:$A$2018,$H$6),INDEX($D$19:$D$2018,$H$6),INDEX($D$19:$D$2018,MATCH(Q382,$A$19:INDEX($A$19:$A$2018,$H$6),1))+(Q382-INDEX($A$19:$A$2018,MATCH(Q382,$A$19:INDEX($A$19:$A$2018,$H$6),1)))*(INDEX($D$19:$D$2018,MATCH(Q382,$A$19:INDEX($A$19:$A$2018,$H$6),1)+1)-INDEX($D$19:$D$2018,MATCH(Q382,$A$19:INDEX($A$19:$A$2018,$H$6),1)))/(INDEX($A$19:$A$2018,MATCH(Q382,$A$19:INDEX($A$19:$A$2018,$H$6),1)+1)-INDEX($A$19:$A$2018,MATCH(Q382,$A$19:INDEX($A$19:$A$2018,$H$6),1))))))</f>
        <v/>
      </c>
    </row>
    <row r="383">
      <c r="A383" s="11" t="n"/>
      <c r="B383" s="11" t="n"/>
      <c r="C383" s="12">
        <f>IF(A383="","",$B$9*TAN(RADIANS(A383)))</f>
        <v/>
      </c>
      <c r="D383" s="12">
        <f>IF(C383="","",C383*(1+B383/100))</f>
        <v/>
      </c>
      <c r="E383" s="12">
        <f>IF(A383="","",$B$10*TAN(RADIANS(A383)))</f>
        <v/>
      </c>
      <c r="G383" s="8" t="n">
        <v>365</v>
      </c>
      <c r="H383" s="8">
        <f>$K$13</f>
        <v/>
      </c>
      <c r="I383" s="7" t="inlineStr">
        <is>
          <t>橫</t>
        </is>
      </c>
      <c r="J383" s="8" t="n">
        <v>2</v>
      </c>
      <c r="K383" s="7" t="inlineStr">
        <is>
          <t>左上</t>
        </is>
      </c>
      <c r="L383" s="8">
        <f>$O$13-($M$13+$L$13)/2+(-1)*$M$13/2</f>
        <v/>
      </c>
      <c r="M383" s="8">
        <f>$P$13-$M$13/2+$L$13/2+1*2*$L$13+(-1)*$L$13/2</f>
        <v/>
      </c>
      <c r="N383" s="8">
        <f>L383-$B$7/2</f>
        <v/>
      </c>
      <c r="O383" s="8">
        <f>M383-$B$8/2</f>
        <v/>
      </c>
      <c r="P383" s="8">
        <f>SQRT(N383^2+O383^2)</f>
        <v/>
      </c>
      <c r="Q383" s="8">
        <f>IF(OR($H$7&lt;&gt;"OK",P383=""),"",IF(P383&lt;=$D$19,$A$19,IF(P383&gt;=INDEX($D$19:$D$2018,$H$6),INDEX($A$19:$A$2018,$H$6),INDEX($A$19:$A$2018,MATCH(P383,$D$19:INDEX($D$19:$D$2018,$H$6),1))+(P383-INDEX($D$19:$D$2018,MATCH(P383,$D$19:INDEX($D$19:$D$2018,$H$6),1)))*(INDEX($A$19:$A$2018,MATCH(P383,$D$19:INDEX($D$19:$D$2018,$H$6),1)+1)-INDEX($A$19:$A$2018,MATCH(P383,$D$19:INDEX($D$19:$D$2018,$H$6),1)))/(INDEX($D$19:$D$2018,MATCH(P383,$D$19:INDEX($D$19:$D$2018,$H$6),1)+1)-INDEX($D$19:$D$2018,MATCH(P383,$D$19:INDEX($D$19:$D$2018,$H$6),1))))))</f>
        <v/>
      </c>
      <c r="R383" s="8">
        <f>IF(P383=0,0,-Y383*N383/P383)</f>
        <v/>
      </c>
      <c r="S383" s="8">
        <f>IF(P383=0,0,Y383*O383/P383)</f>
        <v/>
      </c>
      <c r="T383" s="8">
        <f>IF(Y383=0,$B$7/2,$B$7/2-Z383*R383/Y383)</f>
        <v/>
      </c>
      <c r="U383" s="8">
        <f>IF(Y383=0,$B$8/2,$B$8/2+Z383*S383/Y383)</f>
        <v/>
      </c>
      <c r="V383" s="8">
        <f>SQRT((T383-L383)^2+(U383-M383)^2)</f>
        <v/>
      </c>
      <c r="Y383">
        <f>$B$10*TAN(RADIANS(Q383))</f>
        <v/>
      </c>
      <c r="Z383">
        <f>IF(OR($H$7&lt;&gt;"OK",Q383=""),"",IF(Q383&lt;=$A$19,$D$19,IF(Q383&gt;=INDEX($A$19:$A$2018,$H$6),INDEX($D$19:$D$2018,$H$6),INDEX($D$19:$D$2018,MATCH(Q383,$A$19:INDEX($A$19:$A$2018,$H$6),1))+(Q383-INDEX($A$19:$A$2018,MATCH(Q383,$A$19:INDEX($A$19:$A$2018,$H$6),1)))*(INDEX($D$19:$D$2018,MATCH(Q383,$A$19:INDEX($A$19:$A$2018,$H$6),1)+1)-INDEX($D$19:$D$2018,MATCH(Q383,$A$19:INDEX($A$19:$A$2018,$H$6),1)))/(INDEX($A$19:$A$2018,MATCH(Q383,$A$19:INDEX($A$19:$A$2018,$H$6),1)+1)-INDEX($A$19:$A$2018,MATCH(Q383,$A$19:INDEX($A$19:$A$2018,$H$6),1))))))</f>
        <v/>
      </c>
    </row>
    <row r="384">
      <c r="A384" s="11" t="n"/>
      <c r="B384" s="11" t="n"/>
      <c r="C384" s="12">
        <f>IF(A384="","",$B$9*TAN(RADIANS(A384)))</f>
        <v/>
      </c>
      <c r="D384" s="12">
        <f>IF(C384="","",C384*(1+B384/100))</f>
        <v/>
      </c>
      <c r="E384" s="12">
        <f>IF(A384="","",$B$10*TAN(RADIANS(A384)))</f>
        <v/>
      </c>
      <c r="G384" s="8" t="n">
        <v>366</v>
      </c>
      <c r="H384" s="8">
        <f>$K$13</f>
        <v/>
      </c>
      <c r="I384" s="7" t="inlineStr">
        <is>
          <t>橫</t>
        </is>
      </c>
      <c r="J384" s="8" t="n">
        <v>2</v>
      </c>
      <c r="K384" s="7" t="inlineStr">
        <is>
          <t>右上</t>
        </is>
      </c>
      <c r="L384" s="8">
        <f>$O$13-($M$13+$L$13)/2+(1)*$M$13/2</f>
        <v/>
      </c>
      <c r="M384" s="8">
        <f>$P$13-$M$13/2+$L$13/2+1*2*$L$13+(-1)*$L$13/2</f>
        <v/>
      </c>
      <c r="N384" s="8">
        <f>L384-$B$7/2</f>
        <v/>
      </c>
      <c r="O384" s="8">
        <f>M384-$B$8/2</f>
        <v/>
      </c>
      <c r="P384" s="8">
        <f>SQRT(N384^2+O384^2)</f>
        <v/>
      </c>
      <c r="Q384" s="8">
        <f>IF(OR($H$7&lt;&gt;"OK",P384=""),"",IF(P384&lt;=$D$19,$A$19,IF(P384&gt;=INDEX($D$19:$D$2018,$H$6),INDEX($A$19:$A$2018,$H$6),INDEX($A$19:$A$2018,MATCH(P384,$D$19:INDEX($D$19:$D$2018,$H$6),1))+(P384-INDEX($D$19:$D$2018,MATCH(P384,$D$19:INDEX($D$19:$D$2018,$H$6),1)))*(INDEX($A$19:$A$2018,MATCH(P384,$D$19:INDEX($D$19:$D$2018,$H$6),1)+1)-INDEX($A$19:$A$2018,MATCH(P384,$D$19:INDEX($D$19:$D$2018,$H$6),1)))/(INDEX($D$19:$D$2018,MATCH(P384,$D$19:INDEX($D$19:$D$2018,$H$6),1)+1)-INDEX($D$19:$D$2018,MATCH(P384,$D$19:INDEX($D$19:$D$2018,$H$6),1))))))</f>
        <v/>
      </c>
      <c r="R384" s="8">
        <f>IF(P384=0,0,-Y384*N384/P384)</f>
        <v/>
      </c>
      <c r="S384" s="8">
        <f>IF(P384=0,0,Y384*O384/P384)</f>
        <v/>
      </c>
      <c r="T384" s="8">
        <f>IF(Y384=0,$B$7/2,$B$7/2-Z384*R384/Y384)</f>
        <v/>
      </c>
      <c r="U384" s="8">
        <f>IF(Y384=0,$B$8/2,$B$8/2+Z384*S384/Y384)</f>
        <v/>
      </c>
      <c r="V384" s="8">
        <f>SQRT((T384-L384)^2+(U384-M384)^2)</f>
        <v/>
      </c>
      <c r="Y384">
        <f>$B$10*TAN(RADIANS(Q384))</f>
        <v/>
      </c>
      <c r="Z384">
        <f>IF(OR($H$7&lt;&gt;"OK",Q384=""),"",IF(Q384&lt;=$A$19,$D$19,IF(Q384&gt;=INDEX($A$19:$A$2018,$H$6),INDEX($D$19:$D$2018,$H$6),INDEX($D$19:$D$2018,MATCH(Q384,$A$19:INDEX($A$19:$A$2018,$H$6),1))+(Q384-INDEX($A$19:$A$2018,MATCH(Q384,$A$19:INDEX($A$19:$A$2018,$H$6),1)))*(INDEX($D$19:$D$2018,MATCH(Q384,$A$19:INDEX($A$19:$A$2018,$H$6),1)+1)-INDEX($D$19:$D$2018,MATCH(Q384,$A$19:INDEX($A$19:$A$2018,$H$6),1)))/(INDEX($A$19:$A$2018,MATCH(Q384,$A$19:INDEX($A$19:$A$2018,$H$6),1)+1)-INDEX($A$19:$A$2018,MATCH(Q384,$A$19:INDEX($A$19:$A$2018,$H$6),1))))))</f>
        <v/>
      </c>
    </row>
    <row r="385">
      <c r="A385" s="11" t="n"/>
      <c r="B385" s="11" t="n"/>
      <c r="C385" s="12">
        <f>IF(A385="","",$B$9*TAN(RADIANS(A385)))</f>
        <v/>
      </c>
      <c r="D385" s="12">
        <f>IF(C385="","",C385*(1+B385/100))</f>
        <v/>
      </c>
      <c r="E385" s="12">
        <f>IF(A385="","",$B$10*TAN(RADIANS(A385)))</f>
        <v/>
      </c>
      <c r="G385" s="8" t="n">
        <v>367</v>
      </c>
      <c r="H385" s="8">
        <f>$K$13</f>
        <v/>
      </c>
      <c r="I385" s="7" t="inlineStr">
        <is>
          <t>橫</t>
        </is>
      </c>
      <c r="J385" s="8" t="n">
        <v>2</v>
      </c>
      <c r="K385" s="7" t="inlineStr">
        <is>
          <t>右下</t>
        </is>
      </c>
      <c r="L385" s="8">
        <f>$O$13-($M$13+$L$13)/2+(1)*$M$13/2</f>
        <v/>
      </c>
      <c r="M385" s="8">
        <f>$P$13-$M$13/2+$L$13/2+1*2*$L$13+(1)*$L$13/2</f>
        <v/>
      </c>
      <c r="N385" s="8">
        <f>L385-$B$7/2</f>
        <v/>
      </c>
      <c r="O385" s="8">
        <f>M385-$B$8/2</f>
        <v/>
      </c>
      <c r="P385" s="8">
        <f>SQRT(N385^2+O385^2)</f>
        <v/>
      </c>
      <c r="Q385" s="8">
        <f>IF(OR($H$7&lt;&gt;"OK",P385=""),"",IF(P385&lt;=$D$19,$A$19,IF(P385&gt;=INDEX($D$19:$D$2018,$H$6),INDEX($A$19:$A$2018,$H$6),INDEX($A$19:$A$2018,MATCH(P385,$D$19:INDEX($D$19:$D$2018,$H$6),1))+(P385-INDEX($D$19:$D$2018,MATCH(P385,$D$19:INDEX($D$19:$D$2018,$H$6),1)))*(INDEX($A$19:$A$2018,MATCH(P385,$D$19:INDEX($D$19:$D$2018,$H$6),1)+1)-INDEX($A$19:$A$2018,MATCH(P385,$D$19:INDEX($D$19:$D$2018,$H$6),1)))/(INDEX($D$19:$D$2018,MATCH(P385,$D$19:INDEX($D$19:$D$2018,$H$6),1)+1)-INDEX($D$19:$D$2018,MATCH(P385,$D$19:INDEX($D$19:$D$2018,$H$6),1))))))</f>
        <v/>
      </c>
      <c r="R385" s="8">
        <f>IF(P385=0,0,-Y385*N385/P385)</f>
        <v/>
      </c>
      <c r="S385" s="8">
        <f>IF(P385=0,0,Y385*O385/P385)</f>
        <v/>
      </c>
      <c r="T385" s="8">
        <f>IF(Y385=0,$B$7/2,$B$7/2-Z385*R385/Y385)</f>
        <v/>
      </c>
      <c r="U385" s="8">
        <f>IF(Y385=0,$B$8/2,$B$8/2+Z385*S385/Y385)</f>
        <v/>
      </c>
      <c r="V385" s="8">
        <f>SQRT((T385-L385)^2+(U385-M385)^2)</f>
        <v/>
      </c>
      <c r="Y385">
        <f>$B$10*TAN(RADIANS(Q385))</f>
        <v/>
      </c>
      <c r="Z385">
        <f>IF(OR($H$7&lt;&gt;"OK",Q385=""),"",IF(Q385&lt;=$A$19,$D$19,IF(Q385&gt;=INDEX($A$19:$A$2018,$H$6),INDEX($D$19:$D$2018,$H$6),INDEX($D$19:$D$2018,MATCH(Q385,$A$19:INDEX($A$19:$A$2018,$H$6),1))+(Q385-INDEX($A$19:$A$2018,MATCH(Q385,$A$19:INDEX($A$19:$A$2018,$H$6),1)))*(INDEX($D$19:$D$2018,MATCH(Q385,$A$19:INDEX($A$19:$A$2018,$H$6),1)+1)-INDEX($D$19:$D$2018,MATCH(Q385,$A$19:INDEX($A$19:$A$2018,$H$6),1)))/(INDEX($A$19:$A$2018,MATCH(Q385,$A$19:INDEX($A$19:$A$2018,$H$6),1)+1)-INDEX($A$19:$A$2018,MATCH(Q385,$A$19:INDEX($A$19:$A$2018,$H$6),1))))))</f>
        <v/>
      </c>
    </row>
    <row r="386">
      <c r="A386" s="11" t="n"/>
      <c r="B386" s="11" t="n"/>
      <c r="C386" s="12">
        <f>IF(A386="","",$B$9*TAN(RADIANS(A386)))</f>
        <v/>
      </c>
      <c r="D386" s="12">
        <f>IF(C386="","",C386*(1+B386/100))</f>
        <v/>
      </c>
      <c r="E386" s="12">
        <f>IF(A386="","",$B$10*TAN(RADIANS(A386)))</f>
        <v/>
      </c>
      <c r="G386" s="8" t="n">
        <v>368</v>
      </c>
      <c r="H386" s="8">
        <f>$K$13</f>
        <v/>
      </c>
      <c r="I386" s="7" t="inlineStr">
        <is>
          <t>橫</t>
        </is>
      </c>
      <c r="J386" s="8" t="n">
        <v>2</v>
      </c>
      <c r="K386" s="7" t="inlineStr">
        <is>
          <t>左下</t>
        </is>
      </c>
      <c r="L386" s="8">
        <f>$O$13-($M$13+$L$13)/2+(-1)*$M$13/2</f>
        <v/>
      </c>
      <c r="M386" s="8">
        <f>$P$13-$M$13/2+$L$13/2+1*2*$L$13+(1)*$L$13/2</f>
        <v/>
      </c>
      <c r="N386" s="8">
        <f>L386-$B$7/2</f>
        <v/>
      </c>
      <c r="O386" s="8">
        <f>M386-$B$8/2</f>
        <v/>
      </c>
      <c r="P386" s="8">
        <f>SQRT(N386^2+O386^2)</f>
        <v/>
      </c>
      <c r="Q386" s="8">
        <f>IF(OR($H$7&lt;&gt;"OK",P386=""),"",IF(P386&lt;=$D$19,$A$19,IF(P386&gt;=INDEX($D$19:$D$2018,$H$6),INDEX($A$19:$A$2018,$H$6),INDEX($A$19:$A$2018,MATCH(P386,$D$19:INDEX($D$19:$D$2018,$H$6),1))+(P386-INDEX($D$19:$D$2018,MATCH(P386,$D$19:INDEX($D$19:$D$2018,$H$6),1)))*(INDEX($A$19:$A$2018,MATCH(P386,$D$19:INDEX($D$19:$D$2018,$H$6),1)+1)-INDEX($A$19:$A$2018,MATCH(P386,$D$19:INDEX($D$19:$D$2018,$H$6),1)))/(INDEX($D$19:$D$2018,MATCH(P386,$D$19:INDEX($D$19:$D$2018,$H$6),1)+1)-INDEX($D$19:$D$2018,MATCH(P386,$D$19:INDEX($D$19:$D$2018,$H$6),1))))))</f>
        <v/>
      </c>
      <c r="R386" s="8">
        <f>IF(P386=0,0,-Y386*N386/P386)</f>
        <v/>
      </c>
      <c r="S386" s="8">
        <f>IF(P386=0,0,Y386*O386/P386)</f>
        <v/>
      </c>
      <c r="T386" s="8">
        <f>IF(Y386=0,$B$7/2,$B$7/2-Z386*R386/Y386)</f>
        <v/>
      </c>
      <c r="U386" s="8">
        <f>IF(Y386=0,$B$8/2,$B$8/2+Z386*S386/Y386)</f>
        <v/>
      </c>
      <c r="V386" s="8">
        <f>SQRT((T386-L386)^2+(U386-M386)^2)</f>
        <v/>
      </c>
      <c r="Y386">
        <f>$B$10*TAN(RADIANS(Q386))</f>
        <v/>
      </c>
      <c r="Z386">
        <f>IF(OR($H$7&lt;&gt;"OK",Q386=""),"",IF(Q386&lt;=$A$19,$D$19,IF(Q386&gt;=INDEX($A$19:$A$2018,$H$6),INDEX($D$19:$D$2018,$H$6),INDEX($D$19:$D$2018,MATCH(Q386,$A$19:INDEX($A$19:$A$2018,$H$6),1))+(Q386-INDEX($A$19:$A$2018,MATCH(Q386,$A$19:INDEX($A$19:$A$2018,$H$6),1)))*(INDEX($D$19:$D$2018,MATCH(Q386,$A$19:INDEX($A$19:$A$2018,$H$6),1)+1)-INDEX($D$19:$D$2018,MATCH(Q386,$A$19:INDEX($A$19:$A$2018,$H$6),1)))/(INDEX($A$19:$A$2018,MATCH(Q386,$A$19:INDEX($A$19:$A$2018,$H$6),1)+1)-INDEX($A$19:$A$2018,MATCH(Q386,$A$19:INDEX($A$19:$A$2018,$H$6),1))))))</f>
        <v/>
      </c>
    </row>
    <row r="387">
      <c r="A387" s="11" t="n"/>
      <c r="B387" s="11" t="n"/>
      <c r="C387" s="12">
        <f>IF(A387="","",$B$9*TAN(RADIANS(A387)))</f>
        <v/>
      </c>
      <c r="D387" s="12">
        <f>IF(C387="","",C387*(1+B387/100))</f>
        <v/>
      </c>
      <c r="E387" s="12">
        <f>IF(A387="","",$B$10*TAN(RADIANS(A387)))</f>
        <v/>
      </c>
      <c r="G387" s="8" t="n">
        <v>369</v>
      </c>
      <c r="H387" s="8">
        <f>$K$13</f>
        <v/>
      </c>
      <c r="I387" s="7" t="inlineStr">
        <is>
          <t>橫</t>
        </is>
      </c>
      <c r="J387" s="8" t="n">
        <v>3</v>
      </c>
      <c r="K387" s="7" t="inlineStr">
        <is>
          <t>左上</t>
        </is>
      </c>
      <c r="L387" s="8">
        <f>$O$13-($M$13+$L$13)/2+(-1)*$M$13/2</f>
        <v/>
      </c>
      <c r="M387" s="8">
        <f>$P$13-$M$13/2+$L$13/2+2*2*$L$13+(-1)*$L$13/2</f>
        <v/>
      </c>
      <c r="N387" s="8">
        <f>L387-$B$7/2</f>
        <v/>
      </c>
      <c r="O387" s="8">
        <f>M387-$B$8/2</f>
        <v/>
      </c>
      <c r="P387" s="8">
        <f>SQRT(N387^2+O387^2)</f>
        <v/>
      </c>
      <c r="Q387" s="8">
        <f>IF(OR($H$7&lt;&gt;"OK",P387=""),"",IF(P387&lt;=$D$19,$A$19,IF(P387&gt;=INDEX($D$19:$D$2018,$H$6),INDEX($A$19:$A$2018,$H$6),INDEX($A$19:$A$2018,MATCH(P387,$D$19:INDEX($D$19:$D$2018,$H$6),1))+(P387-INDEX($D$19:$D$2018,MATCH(P387,$D$19:INDEX($D$19:$D$2018,$H$6),1)))*(INDEX($A$19:$A$2018,MATCH(P387,$D$19:INDEX($D$19:$D$2018,$H$6),1)+1)-INDEX($A$19:$A$2018,MATCH(P387,$D$19:INDEX($D$19:$D$2018,$H$6),1)))/(INDEX($D$19:$D$2018,MATCH(P387,$D$19:INDEX($D$19:$D$2018,$H$6),1)+1)-INDEX($D$19:$D$2018,MATCH(P387,$D$19:INDEX($D$19:$D$2018,$H$6),1))))))</f>
        <v/>
      </c>
      <c r="R387" s="8">
        <f>IF(P387=0,0,-Y387*N387/P387)</f>
        <v/>
      </c>
      <c r="S387" s="8">
        <f>IF(P387=0,0,Y387*O387/P387)</f>
        <v/>
      </c>
      <c r="T387" s="8">
        <f>IF(Y387=0,$B$7/2,$B$7/2-Z387*R387/Y387)</f>
        <v/>
      </c>
      <c r="U387" s="8">
        <f>IF(Y387=0,$B$8/2,$B$8/2+Z387*S387/Y387)</f>
        <v/>
      </c>
      <c r="V387" s="8">
        <f>SQRT((T387-L387)^2+(U387-M387)^2)</f>
        <v/>
      </c>
      <c r="Y387">
        <f>$B$10*TAN(RADIANS(Q387))</f>
        <v/>
      </c>
      <c r="Z387">
        <f>IF(OR($H$7&lt;&gt;"OK",Q387=""),"",IF(Q387&lt;=$A$19,$D$19,IF(Q387&gt;=INDEX($A$19:$A$2018,$H$6),INDEX($D$19:$D$2018,$H$6),INDEX($D$19:$D$2018,MATCH(Q387,$A$19:INDEX($A$19:$A$2018,$H$6),1))+(Q387-INDEX($A$19:$A$2018,MATCH(Q387,$A$19:INDEX($A$19:$A$2018,$H$6),1)))*(INDEX($D$19:$D$2018,MATCH(Q387,$A$19:INDEX($A$19:$A$2018,$H$6),1)+1)-INDEX($D$19:$D$2018,MATCH(Q387,$A$19:INDEX($A$19:$A$2018,$H$6),1)))/(INDEX($A$19:$A$2018,MATCH(Q387,$A$19:INDEX($A$19:$A$2018,$H$6),1)+1)-INDEX($A$19:$A$2018,MATCH(Q387,$A$19:INDEX($A$19:$A$2018,$H$6),1))))))</f>
        <v/>
      </c>
    </row>
    <row r="388">
      <c r="A388" s="11" t="n"/>
      <c r="B388" s="11" t="n"/>
      <c r="C388" s="12">
        <f>IF(A388="","",$B$9*TAN(RADIANS(A388)))</f>
        <v/>
      </c>
      <c r="D388" s="12">
        <f>IF(C388="","",C388*(1+B388/100))</f>
        <v/>
      </c>
      <c r="E388" s="12">
        <f>IF(A388="","",$B$10*TAN(RADIANS(A388)))</f>
        <v/>
      </c>
      <c r="G388" s="8" t="n">
        <v>370</v>
      </c>
      <c r="H388" s="8">
        <f>$K$13</f>
        <v/>
      </c>
      <c r="I388" s="7" t="inlineStr">
        <is>
          <t>橫</t>
        </is>
      </c>
      <c r="J388" s="8" t="n">
        <v>3</v>
      </c>
      <c r="K388" s="7" t="inlineStr">
        <is>
          <t>右上</t>
        </is>
      </c>
      <c r="L388" s="8">
        <f>$O$13-($M$13+$L$13)/2+(1)*$M$13/2</f>
        <v/>
      </c>
      <c r="M388" s="8">
        <f>$P$13-$M$13/2+$L$13/2+2*2*$L$13+(-1)*$L$13/2</f>
        <v/>
      </c>
      <c r="N388" s="8">
        <f>L388-$B$7/2</f>
        <v/>
      </c>
      <c r="O388" s="8">
        <f>M388-$B$8/2</f>
        <v/>
      </c>
      <c r="P388" s="8">
        <f>SQRT(N388^2+O388^2)</f>
        <v/>
      </c>
      <c r="Q388" s="8">
        <f>IF(OR($H$7&lt;&gt;"OK",P388=""),"",IF(P388&lt;=$D$19,$A$19,IF(P388&gt;=INDEX($D$19:$D$2018,$H$6),INDEX($A$19:$A$2018,$H$6),INDEX($A$19:$A$2018,MATCH(P388,$D$19:INDEX($D$19:$D$2018,$H$6),1))+(P388-INDEX($D$19:$D$2018,MATCH(P388,$D$19:INDEX($D$19:$D$2018,$H$6),1)))*(INDEX($A$19:$A$2018,MATCH(P388,$D$19:INDEX($D$19:$D$2018,$H$6),1)+1)-INDEX($A$19:$A$2018,MATCH(P388,$D$19:INDEX($D$19:$D$2018,$H$6),1)))/(INDEX($D$19:$D$2018,MATCH(P388,$D$19:INDEX($D$19:$D$2018,$H$6),1)+1)-INDEX($D$19:$D$2018,MATCH(P388,$D$19:INDEX($D$19:$D$2018,$H$6),1))))))</f>
        <v/>
      </c>
      <c r="R388" s="8">
        <f>IF(P388=0,0,-Y388*N388/P388)</f>
        <v/>
      </c>
      <c r="S388" s="8">
        <f>IF(P388=0,0,Y388*O388/P388)</f>
        <v/>
      </c>
      <c r="T388" s="8">
        <f>IF(Y388=0,$B$7/2,$B$7/2-Z388*R388/Y388)</f>
        <v/>
      </c>
      <c r="U388" s="8">
        <f>IF(Y388=0,$B$8/2,$B$8/2+Z388*S388/Y388)</f>
        <v/>
      </c>
      <c r="V388" s="8">
        <f>SQRT((T388-L388)^2+(U388-M388)^2)</f>
        <v/>
      </c>
      <c r="Y388">
        <f>$B$10*TAN(RADIANS(Q388))</f>
        <v/>
      </c>
      <c r="Z388">
        <f>IF(OR($H$7&lt;&gt;"OK",Q388=""),"",IF(Q388&lt;=$A$19,$D$19,IF(Q388&gt;=INDEX($A$19:$A$2018,$H$6),INDEX($D$19:$D$2018,$H$6),INDEX($D$19:$D$2018,MATCH(Q388,$A$19:INDEX($A$19:$A$2018,$H$6),1))+(Q388-INDEX($A$19:$A$2018,MATCH(Q388,$A$19:INDEX($A$19:$A$2018,$H$6),1)))*(INDEX($D$19:$D$2018,MATCH(Q388,$A$19:INDEX($A$19:$A$2018,$H$6),1)+1)-INDEX($D$19:$D$2018,MATCH(Q388,$A$19:INDEX($A$19:$A$2018,$H$6),1)))/(INDEX($A$19:$A$2018,MATCH(Q388,$A$19:INDEX($A$19:$A$2018,$H$6),1)+1)-INDEX($A$19:$A$2018,MATCH(Q388,$A$19:INDEX($A$19:$A$2018,$H$6),1))))))</f>
        <v/>
      </c>
    </row>
    <row r="389">
      <c r="A389" s="11" t="n"/>
      <c r="B389" s="11" t="n"/>
      <c r="C389" s="12">
        <f>IF(A389="","",$B$9*TAN(RADIANS(A389)))</f>
        <v/>
      </c>
      <c r="D389" s="12">
        <f>IF(C389="","",C389*(1+B389/100))</f>
        <v/>
      </c>
      <c r="E389" s="12">
        <f>IF(A389="","",$B$10*TAN(RADIANS(A389)))</f>
        <v/>
      </c>
      <c r="G389" s="8" t="n">
        <v>371</v>
      </c>
      <c r="H389" s="8">
        <f>$K$13</f>
        <v/>
      </c>
      <c r="I389" s="7" t="inlineStr">
        <is>
          <t>橫</t>
        </is>
      </c>
      <c r="J389" s="8" t="n">
        <v>3</v>
      </c>
      <c r="K389" s="7" t="inlineStr">
        <is>
          <t>右下</t>
        </is>
      </c>
      <c r="L389" s="8">
        <f>$O$13-($M$13+$L$13)/2+(1)*$M$13/2</f>
        <v/>
      </c>
      <c r="M389" s="8">
        <f>$P$13-$M$13/2+$L$13/2+2*2*$L$13+(1)*$L$13/2</f>
        <v/>
      </c>
      <c r="N389" s="8">
        <f>L389-$B$7/2</f>
        <v/>
      </c>
      <c r="O389" s="8">
        <f>M389-$B$8/2</f>
        <v/>
      </c>
      <c r="P389" s="8">
        <f>SQRT(N389^2+O389^2)</f>
        <v/>
      </c>
      <c r="Q389" s="8">
        <f>IF(OR($H$7&lt;&gt;"OK",P389=""),"",IF(P389&lt;=$D$19,$A$19,IF(P389&gt;=INDEX($D$19:$D$2018,$H$6),INDEX($A$19:$A$2018,$H$6),INDEX($A$19:$A$2018,MATCH(P389,$D$19:INDEX($D$19:$D$2018,$H$6),1))+(P389-INDEX($D$19:$D$2018,MATCH(P389,$D$19:INDEX($D$19:$D$2018,$H$6),1)))*(INDEX($A$19:$A$2018,MATCH(P389,$D$19:INDEX($D$19:$D$2018,$H$6),1)+1)-INDEX($A$19:$A$2018,MATCH(P389,$D$19:INDEX($D$19:$D$2018,$H$6),1)))/(INDEX($D$19:$D$2018,MATCH(P389,$D$19:INDEX($D$19:$D$2018,$H$6),1)+1)-INDEX($D$19:$D$2018,MATCH(P389,$D$19:INDEX($D$19:$D$2018,$H$6),1))))))</f>
        <v/>
      </c>
      <c r="R389" s="8">
        <f>IF(P389=0,0,-Y389*N389/P389)</f>
        <v/>
      </c>
      <c r="S389" s="8">
        <f>IF(P389=0,0,Y389*O389/P389)</f>
        <v/>
      </c>
      <c r="T389" s="8">
        <f>IF(Y389=0,$B$7/2,$B$7/2-Z389*R389/Y389)</f>
        <v/>
      </c>
      <c r="U389" s="8">
        <f>IF(Y389=0,$B$8/2,$B$8/2+Z389*S389/Y389)</f>
        <v/>
      </c>
      <c r="V389" s="8">
        <f>SQRT((T389-L389)^2+(U389-M389)^2)</f>
        <v/>
      </c>
      <c r="Y389">
        <f>$B$10*TAN(RADIANS(Q389))</f>
        <v/>
      </c>
      <c r="Z389">
        <f>IF(OR($H$7&lt;&gt;"OK",Q389=""),"",IF(Q389&lt;=$A$19,$D$19,IF(Q389&gt;=INDEX($A$19:$A$2018,$H$6),INDEX($D$19:$D$2018,$H$6),INDEX($D$19:$D$2018,MATCH(Q389,$A$19:INDEX($A$19:$A$2018,$H$6),1))+(Q389-INDEX($A$19:$A$2018,MATCH(Q389,$A$19:INDEX($A$19:$A$2018,$H$6),1)))*(INDEX($D$19:$D$2018,MATCH(Q389,$A$19:INDEX($A$19:$A$2018,$H$6),1)+1)-INDEX($D$19:$D$2018,MATCH(Q389,$A$19:INDEX($A$19:$A$2018,$H$6),1)))/(INDEX($A$19:$A$2018,MATCH(Q389,$A$19:INDEX($A$19:$A$2018,$H$6),1)+1)-INDEX($A$19:$A$2018,MATCH(Q389,$A$19:INDEX($A$19:$A$2018,$H$6),1))))))</f>
        <v/>
      </c>
    </row>
    <row r="390">
      <c r="A390" s="11" t="n"/>
      <c r="B390" s="11" t="n"/>
      <c r="C390" s="12">
        <f>IF(A390="","",$B$9*TAN(RADIANS(A390)))</f>
        <v/>
      </c>
      <c r="D390" s="12">
        <f>IF(C390="","",C390*(1+B390/100))</f>
        <v/>
      </c>
      <c r="E390" s="12">
        <f>IF(A390="","",$B$10*TAN(RADIANS(A390)))</f>
        <v/>
      </c>
      <c r="G390" s="8" t="n">
        <v>372</v>
      </c>
      <c r="H390" s="8">
        <f>$K$13</f>
        <v/>
      </c>
      <c r="I390" s="7" t="inlineStr">
        <is>
          <t>橫</t>
        </is>
      </c>
      <c r="J390" s="8" t="n">
        <v>3</v>
      </c>
      <c r="K390" s="7" t="inlineStr">
        <is>
          <t>左下</t>
        </is>
      </c>
      <c r="L390" s="8">
        <f>$O$13-($M$13+$L$13)/2+(-1)*$M$13/2</f>
        <v/>
      </c>
      <c r="M390" s="8">
        <f>$P$13-$M$13/2+$L$13/2+2*2*$L$13+(1)*$L$13/2</f>
        <v/>
      </c>
      <c r="N390" s="8">
        <f>L390-$B$7/2</f>
        <v/>
      </c>
      <c r="O390" s="8">
        <f>M390-$B$8/2</f>
        <v/>
      </c>
      <c r="P390" s="8">
        <f>SQRT(N390^2+O390^2)</f>
        <v/>
      </c>
      <c r="Q390" s="8">
        <f>IF(OR($H$7&lt;&gt;"OK",P390=""),"",IF(P390&lt;=$D$19,$A$19,IF(P390&gt;=INDEX($D$19:$D$2018,$H$6),INDEX($A$19:$A$2018,$H$6),INDEX($A$19:$A$2018,MATCH(P390,$D$19:INDEX($D$19:$D$2018,$H$6),1))+(P390-INDEX($D$19:$D$2018,MATCH(P390,$D$19:INDEX($D$19:$D$2018,$H$6),1)))*(INDEX($A$19:$A$2018,MATCH(P390,$D$19:INDEX($D$19:$D$2018,$H$6),1)+1)-INDEX($A$19:$A$2018,MATCH(P390,$D$19:INDEX($D$19:$D$2018,$H$6),1)))/(INDEX($D$19:$D$2018,MATCH(P390,$D$19:INDEX($D$19:$D$2018,$H$6),1)+1)-INDEX($D$19:$D$2018,MATCH(P390,$D$19:INDEX($D$19:$D$2018,$H$6),1))))))</f>
        <v/>
      </c>
      <c r="R390" s="8">
        <f>IF(P390=0,0,-Y390*N390/P390)</f>
        <v/>
      </c>
      <c r="S390" s="8">
        <f>IF(P390=0,0,Y390*O390/P390)</f>
        <v/>
      </c>
      <c r="T390" s="8">
        <f>IF(Y390=0,$B$7/2,$B$7/2-Z390*R390/Y390)</f>
        <v/>
      </c>
      <c r="U390" s="8">
        <f>IF(Y390=0,$B$8/2,$B$8/2+Z390*S390/Y390)</f>
        <v/>
      </c>
      <c r="V390" s="8">
        <f>SQRT((T390-L390)^2+(U390-M390)^2)</f>
        <v/>
      </c>
      <c r="Y390">
        <f>$B$10*TAN(RADIANS(Q390))</f>
        <v/>
      </c>
      <c r="Z390">
        <f>IF(OR($H$7&lt;&gt;"OK",Q390=""),"",IF(Q390&lt;=$A$19,$D$19,IF(Q390&gt;=INDEX($A$19:$A$2018,$H$6),INDEX($D$19:$D$2018,$H$6),INDEX($D$19:$D$2018,MATCH(Q390,$A$19:INDEX($A$19:$A$2018,$H$6),1))+(Q390-INDEX($A$19:$A$2018,MATCH(Q390,$A$19:INDEX($A$19:$A$2018,$H$6),1)))*(INDEX($D$19:$D$2018,MATCH(Q390,$A$19:INDEX($A$19:$A$2018,$H$6),1)+1)-INDEX($D$19:$D$2018,MATCH(Q390,$A$19:INDEX($A$19:$A$2018,$H$6),1)))/(INDEX($A$19:$A$2018,MATCH(Q390,$A$19:INDEX($A$19:$A$2018,$H$6),1)+1)-INDEX($A$19:$A$2018,MATCH(Q390,$A$19:INDEX($A$19:$A$2018,$H$6),1))))))</f>
        <v/>
      </c>
    </row>
    <row r="391">
      <c r="A391" s="11" t="n"/>
      <c r="B391" s="11" t="n"/>
      <c r="C391" s="12">
        <f>IF(A391="","",$B$9*TAN(RADIANS(A391)))</f>
        <v/>
      </c>
      <c r="D391" s="12">
        <f>IF(C391="","",C391*(1+B391/100))</f>
        <v/>
      </c>
      <c r="E391" s="12">
        <f>IF(A391="","",$B$10*TAN(RADIANS(A391)))</f>
        <v/>
      </c>
      <c r="G391" s="8" t="n">
        <v>373</v>
      </c>
      <c r="H391" s="8">
        <f>$K$13</f>
        <v/>
      </c>
      <c r="I391" s="7" t="inlineStr">
        <is>
          <t>橫</t>
        </is>
      </c>
      <c r="J391" s="8" t="n">
        <v>4</v>
      </c>
      <c r="K391" s="7" t="inlineStr">
        <is>
          <t>左上</t>
        </is>
      </c>
      <c r="L391" s="8">
        <f>$O$13-($M$13+$L$13)/2+(-1)*$M$13/2</f>
        <v/>
      </c>
      <c r="M391" s="8">
        <f>$P$13-$M$13/2+$L$13/2+3*2*$L$13+(-1)*$L$13/2</f>
        <v/>
      </c>
      <c r="N391" s="8">
        <f>L391-$B$7/2</f>
        <v/>
      </c>
      <c r="O391" s="8">
        <f>M391-$B$8/2</f>
        <v/>
      </c>
      <c r="P391" s="8">
        <f>SQRT(N391^2+O391^2)</f>
        <v/>
      </c>
      <c r="Q391" s="8">
        <f>IF(OR($H$7&lt;&gt;"OK",P391=""),"",IF(P391&lt;=$D$19,$A$19,IF(P391&gt;=INDEX($D$19:$D$2018,$H$6),INDEX($A$19:$A$2018,$H$6),INDEX($A$19:$A$2018,MATCH(P391,$D$19:INDEX($D$19:$D$2018,$H$6),1))+(P391-INDEX($D$19:$D$2018,MATCH(P391,$D$19:INDEX($D$19:$D$2018,$H$6),1)))*(INDEX($A$19:$A$2018,MATCH(P391,$D$19:INDEX($D$19:$D$2018,$H$6),1)+1)-INDEX($A$19:$A$2018,MATCH(P391,$D$19:INDEX($D$19:$D$2018,$H$6),1)))/(INDEX($D$19:$D$2018,MATCH(P391,$D$19:INDEX($D$19:$D$2018,$H$6),1)+1)-INDEX($D$19:$D$2018,MATCH(P391,$D$19:INDEX($D$19:$D$2018,$H$6),1))))))</f>
        <v/>
      </c>
      <c r="R391" s="8">
        <f>IF(P391=0,0,-Y391*N391/P391)</f>
        <v/>
      </c>
      <c r="S391" s="8">
        <f>IF(P391=0,0,Y391*O391/P391)</f>
        <v/>
      </c>
      <c r="T391" s="8">
        <f>IF(Y391=0,$B$7/2,$B$7/2-Z391*R391/Y391)</f>
        <v/>
      </c>
      <c r="U391" s="8">
        <f>IF(Y391=0,$B$8/2,$B$8/2+Z391*S391/Y391)</f>
        <v/>
      </c>
      <c r="V391" s="8">
        <f>SQRT((T391-L391)^2+(U391-M391)^2)</f>
        <v/>
      </c>
      <c r="Y391">
        <f>$B$10*TAN(RADIANS(Q391))</f>
        <v/>
      </c>
      <c r="Z391">
        <f>IF(OR($H$7&lt;&gt;"OK",Q391=""),"",IF(Q391&lt;=$A$19,$D$19,IF(Q391&gt;=INDEX($A$19:$A$2018,$H$6),INDEX($D$19:$D$2018,$H$6),INDEX($D$19:$D$2018,MATCH(Q391,$A$19:INDEX($A$19:$A$2018,$H$6),1))+(Q391-INDEX($A$19:$A$2018,MATCH(Q391,$A$19:INDEX($A$19:$A$2018,$H$6),1)))*(INDEX($D$19:$D$2018,MATCH(Q391,$A$19:INDEX($A$19:$A$2018,$H$6),1)+1)-INDEX($D$19:$D$2018,MATCH(Q391,$A$19:INDEX($A$19:$A$2018,$H$6),1)))/(INDEX($A$19:$A$2018,MATCH(Q391,$A$19:INDEX($A$19:$A$2018,$H$6),1)+1)-INDEX($A$19:$A$2018,MATCH(Q391,$A$19:INDEX($A$19:$A$2018,$H$6),1))))))</f>
        <v/>
      </c>
    </row>
    <row r="392">
      <c r="A392" s="11" t="n"/>
      <c r="B392" s="11" t="n"/>
      <c r="C392" s="12">
        <f>IF(A392="","",$B$9*TAN(RADIANS(A392)))</f>
        <v/>
      </c>
      <c r="D392" s="12">
        <f>IF(C392="","",C392*(1+B392/100))</f>
        <v/>
      </c>
      <c r="E392" s="12">
        <f>IF(A392="","",$B$10*TAN(RADIANS(A392)))</f>
        <v/>
      </c>
      <c r="G392" s="8" t="n">
        <v>374</v>
      </c>
      <c r="H392" s="8">
        <f>$K$13</f>
        <v/>
      </c>
      <c r="I392" s="7" t="inlineStr">
        <is>
          <t>橫</t>
        </is>
      </c>
      <c r="J392" s="8" t="n">
        <v>4</v>
      </c>
      <c r="K392" s="7" t="inlineStr">
        <is>
          <t>右上</t>
        </is>
      </c>
      <c r="L392" s="8">
        <f>$O$13-($M$13+$L$13)/2+(1)*$M$13/2</f>
        <v/>
      </c>
      <c r="M392" s="8">
        <f>$P$13-$M$13/2+$L$13/2+3*2*$L$13+(-1)*$L$13/2</f>
        <v/>
      </c>
      <c r="N392" s="8">
        <f>L392-$B$7/2</f>
        <v/>
      </c>
      <c r="O392" s="8">
        <f>M392-$B$8/2</f>
        <v/>
      </c>
      <c r="P392" s="8">
        <f>SQRT(N392^2+O392^2)</f>
        <v/>
      </c>
      <c r="Q392" s="8">
        <f>IF(OR($H$7&lt;&gt;"OK",P392=""),"",IF(P392&lt;=$D$19,$A$19,IF(P392&gt;=INDEX($D$19:$D$2018,$H$6),INDEX($A$19:$A$2018,$H$6),INDEX($A$19:$A$2018,MATCH(P392,$D$19:INDEX($D$19:$D$2018,$H$6),1))+(P392-INDEX($D$19:$D$2018,MATCH(P392,$D$19:INDEX($D$19:$D$2018,$H$6),1)))*(INDEX($A$19:$A$2018,MATCH(P392,$D$19:INDEX($D$19:$D$2018,$H$6),1)+1)-INDEX($A$19:$A$2018,MATCH(P392,$D$19:INDEX($D$19:$D$2018,$H$6),1)))/(INDEX($D$19:$D$2018,MATCH(P392,$D$19:INDEX($D$19:$D$2018,$H$6),1)+1)-INDEX($D$19:$D$2018,MATCH(P392,$D$19:INDEX($D$19:$D$2018,$H$6),1))))))</f>
        <v/>
      </c>
      <c r="R392" s="8">
        <f>IF(P392=0,0,-Y392*N392/P392)</f>
        <v/>
      </c>
      <c r="S392" s="8">
        <f>IF(P392=0,0,Y392*O392/P392)</f>
        <v/>
      </c>
      <c r="T392" s="8">
        <f>IF(Y392=0,$B$7/2,$B$7/2-Z392*R392/Y392)</f>
        <v/>
      </c>
      <c r="U392" s="8">
        <f>IF(Y392=0,$B$8/2,$B$8/2+Z392*S392/Y392)</f>
        <v/>
      </c>
      <c r="V392" s="8">
        <f>SQRT((T392-L392)^2+(U392-M392)^2)</f>
        <v/>
      </c>
      <c r="Y392">
        <f>$B$10*TAN(RADIANS(Q392))</f>
        <v/>
      </c>
      <c r="Z392">
        <f>IF(OR($H$7&lt;&gt;"OK",Q392=""),"",IF(Q392&lt;=$A$19,$D$19,IF(Q392&gt;=INDEX($A$19:$A$2018,$H$6),INDEX($D$19:$D$2018,$H$6),INDEX($D$19:$D$2018,MATCH(Q392,$A$19:INDEX($A$19:$A$2018,$H$6),1))+(Q392-INDEX($A$19:$A$2018,MATCH(Q392,$A$19:INDEX($A$19:$A$2018,$H$6),1)))*(INDEX($D$19:$D$2018,MATCH(Q392,$A$19:INDEX($A$19:$A$2018,$H$6),1)+1)-INDEX($D$19:$D$2018,MATCH(Q392,$A$19:INDEX($A$19:$A$2018,$H$6),1)))/(INDEX($A$19:$A$2018,MATCH(Q392,$A$19:INDEX($A$19:$A$2018,$H$6),1)+1)-INDEX($A$19:$A$2018,MATCH(Q392,$A$19:INDEX($A$19:$A$2018,$H$6),1))))))</f>
        <v/>
      </c>
    </row>
    <row r="393">
      <c r="A393" s="11" t="n"/>
      <c r="B393" s="11" t="n"/>
      <c r="C393" s="12">
        <f>IF(A393="","",$B$9*TAN(RADIANS(A393)))</f>
        <v/>
      </c>
      <c r="D393" s="12">
        <f>IF(C393="","",C393*(1+B393/100))</f>
        <v/>
      </c>
      <c r="E393" s="12">
        <f>IF(A393="","",$B$10*TAN(RADIANS(A393)))</f>
        <v/>
      </c>
      <c r="G393" s="8" t="n">
        <v>375</v>
      </c>
      <c r="H393" s="8">
        <f>$K$13</f>
        <v/>
      </c>
      <c r="I393" s="7" t="inlineStr">
        <is>
          <t>橫</t>
        </is>
      </c>
      <c r="J393" s="8" t="n">
        <v>4</v>
      </c>
      <c r="K393" s="7" t="inlineStr">
        <is>
          <t>右下</t>
        </is>
      </c>
      <c r="L393" s="8">
        <f>$O$13-($M$13+$L$13)/2+(1)*$M$13/2</f>
        <v/>
      </c>
      <c r="M393" s="8">
        <f>$P$13-$M$13/2+$L$13/2+3*2*$L$13+(1)*$L$13/2</f>
        <v/>
      </c>
      <c r="N393" s="8">
        <f>L393-$B$7/2</f>
        <v/>
      </c>
      <c r="O393" s="8">
        <f>M393-$B$8/2</f>
        <v/>
      </c>
      <c r="P393" s="8">
        <f>SQRT(N393^2+O393^2)</f>
        <v/>
      </c>
      <c r="Q393" s="8">
        <f>IF(OR($H$7&lt;&gt;"OK",P393=""),"",IF(P393&lt;=$D$19,$A$19,IF(P393&gt;=INDEX($D$19:$D$2018,$H$6),INDEX($A$19:$A$2018,$H$6),INDEX($A$19:$A$2018,MATCH(P393,$D$19:INDEX($D$19:$D$2018,$H$6),1))+(P393-INDEX($D$19:$D$2018,MATCH(P393,$D$19:INDEX($D$19:$D$2018,$H$6),1)))*(INDEX($A$19:$A$2018,MATCH(P393,$D$19:INDEX($D$19:$D$2018,$H$6),1)+1)-INDEX($A$19:$A$2018,MATCH(P393,$D$19:INDEX($D$19:$D$2018,$H$6),1)))/(INDEX($D$19:$D$2018,MATCH(P393,$D$19:INDEX($D$19:$D$2018,$H$6),1)+1)-INDEX($D$19:$D$2018,MATCH(P393,$D$19:INDEX($D$19:$D$2018,$H$6),1))))))</f>
        <v/>
      </c>
      <c r="R393" s="8">
        <f>IF(P393=0,0,-Y393*N393/P393)</f>
        <v/>
      </c>
      <c r="S393" s="8">
        <f>IF(P393=0,0,Y393*O393/P393)</f>
        <v/>
      </c>
      <c r="T393" s="8">
        <f>IF(Y393=0,$B$7/2,$B$7/2-Z393*R393/Y393)</f>
        <v/>
      </c>
      <c r="U393" s="8">
        <f>IF(Y393=0,$B$8/2,$B$8/2+Z393*S393/Y393)</f>
        <v/>
      </c>
      <c r="V393" s="8">
        <f>SQRT((T393-L393)^2+(U393-M393)^2)</f>
        <v/>
      </c>
      <c r="Y393">
        <f>$B$10*TAN(RADIANS(Q393))</f>
        <v/>
      </c>
      <c r="Z393">
        <f>IF(OR($H$7&lt;&gt;"OK",Q393=""),"",IF(Q393&lt;=$A$19,$D$19,IF(Q393&gt;=INDEX($A$19:$A$2018,$H$6),INDEX($D$19:$D$2018,$H$6),INDEX($D$19:$D$2018,MATCH(Q393,$A$19:INDEX($A$19:$A$2018,$H$6),1))+(Q393-INDEX($A$19:$A$2018,MATCH(Q393,$A$19:INDEX($A$19:$A$2018,$H$6),1)))*(INDEX($D$19:$D$2018,MATCH(Q393,$A$19:INDEX($A$19:$A$2018,$H$6),1)+1)-INDEX($D$19:$D$2018,MATCH(Q393,$A$19:INDEX($A$19:$A$2018,$H$6),1)))/(INDEX($A$19:$A$2018,MATCH(Q393,$A$19:INDEX($A$19:$A$2018,$H$6),1)+1)-INDEX($A$19:$A$2018,MATCH(Q393,$A$19:INDEX($A$19:$A$2018,$H$6),1))))))</f>
        <v/>
      </c>
    </row>
    <row r="394">
      <c r="A394" s="11" t="n"/>
      <c r="B394" s="11" t="n"/>
      <c r="C394" s="12">
        <f>IF(A394="","",$B$9*TAN(RADIANS(A394)))</f>
        <v/>
      </c>
      <c r="D394" s="12">
        <f>IF(C394="","",C394*(1+B394/100))</f>
        <v/>
      </c>
      <c r="E394" s="12">
        <f>IF(A394="","",$B$10*TAN(RADIANS(A394)))</f>
        <v/>
      </c>
      <c r="G394" s="8" t="n">
        <v>376</v>
      </c>
      <c r="H394" s="8">
        <f>$K$13</f>
        <v/>
      </c>
      <c r="I394" s="7" t="inlineStr">
        <is>
          <t>橫</t>
        </is>
      </c>
      <c r="J394" s="8" t="n">
        <v>4</v>
      </c>
      <c r="K394" s="7" t="inlineStr">
        <is>
          <t>左下</t>
        </is>
      </c>
      <c r="L394" s="8">
        <f>$O$13-($M$13+$L$13)/2+(-1)*$M$13/2</f>
        <v/>
      </c>
      <c r="M394" s="8">
        <f>$P$13-$M$13/2+$L$13/2+3*2*$L$13+(1)*$L$13/2</f>
        <v/>
      </c>
      <c r="N394" s="8">
        <f>L394-$B$7/2</f>
        <v/>
      </c>
      <c r="O394" s="8">
        <f>M394-$B$8/2</f>
        <v/>
      </c>
      <c r="P394" s="8">
        <f>SQRT(N394^2+O394^2)</f>
        <v/>
      </c>
      <c r="Q394" s="8">
        <f>IF(OR($H$7&lt;&gt;"OK",P394=""),"",IF(P394&lt;=$D$19,$A$19,IF(P394&gt;=INDEX($D$19:$D$2018,$H$6),INDEX($A$19:$A$2018,$H$6),INDEX($A$19:$A$2018,MATCH(P394,$D$19:INDEX($D$19:$D$2018,$H$6),1))+(P394-INDEX($D$19:$D$2018,MATCH(P394,$D$19:INDEX($D$19:$D$2018,$H$6),1)))*(INDEX($A$19:$A$2018,MATCH(P394,$D$19:INDEX($D$19:$D$2018,$H$6),1)+1)-INDEX($A$19:$A$2018,MATCH(P394,$D$19:INDEX($D$19:$D$2018,$H$6),1)))/(INDEX($D$19:$D$2018,MATCH(P394,$D$19:INDEX($D$19:$D$2018,$H$6),1)+1)-INDEX($D$19:$D$2018,MATCH(P394,$D$19:INDEX($D$19:$D$2018,$H$6),1))))))</f>
        <v/>
      </c>
      <c r="R394" s="8">
        <f>IF(P394=0,0,-Y394*N394/P394)</f>
        <v/>
      </c>
      <c r="S394" s="8">
        <f>IF(P394=0,0,Y394*O394/P394)</f>
        <v/>
      </c>
      <c r="T394" s="8">
        <f>IF(Y394=0,$B$7/2,$B$7/2-Z394*R394/Y394)</f>
        <v/>
      </c>
      <c r="U394" s="8">
        <f>IF(Y394=0,$B$8/2,$B$8/2+Z394*S394/Y394)</f>
        <v/>
      </c>
      <c r="V394" s="8">
        <f>SQRT((T394-L394)^2+(U394-M394)^2)</f>
        <v/>
      </c>
      <c r="Y394">
        <f>$B$10*TAN(RADIANS(Q394))</f>
        <v/>
      </c>
      <c r="Z394">
        <f>IF(OR($H$7&lt;&gt;"OK",Q394=""),"",IF(Q394&lt;=$A$19,$D$19,IF(Q394&gt;=INDEX($A$19:$A$2018,$H$6),INDEX($D$19:$D$2018,$H$6),INDEX($D$19:$D$2018,MATCH(Q394,$A$19:INDEX($A$19:$A$2018,$H$6),1))+(Q394-INDEX($A$19:$A$2018,MATCH(Q394,$A$19:INDEX($A$19:$A$2018,$H$6),1)))*(INDEX($D$19:$D$2018,MATCH(Q394,$A$19:INDEX($A$19:$A$2018,$H$6),1)+1)-INDEX($D$19:$D$2018,MATCH(Q394,$A$19:INDEX($A$19:$A$2018,$H$6),1)))/(INDEX($A$19:$A$2018,MATCH(Q394,$A$19:INDEX($A$19:$A$2018,$H$6),1)+1)-INDEX($A$19:$A$2018,MATCH(Q394,$A$19:INDEX($A$19:$A$2018,$H$6),1))))))</f>
        <v/>
      </c>
    </row>
    <row r="395">
      <c r="A395" s="11" t="n"/>
      <c r="B395" s="11" t="n"/>
      <c r="C395" s="12">
        <f>IF(A395="","",$B$9*TAN(RADIANS(A395)))</f>
        <v/>
      </c>
      <c r="D395" s="12">
        <f>IF(C395="","",C395*(1+B395/100))</f>
        <v/>
      </c>
      <c r="E395" s="12">
        <f>IF(A395="","",$B$10*TAN(RADIANS(A395)))</f>
        <v/>
      </c>
      <c r="G395" s="8" t="n">
        <v>377</v>
      </c>
      <c r="H395" s="8">
        <f>$K$13</f>
        <v/>
      </c>
      <c r="I395" s="7" t="inlineStr">
        <is>
          <t>橫</t>
        </is>
      </c>
      <c r="J395" s="8" t="n">
        <v>5</v>
      </c>
      <c r="K395" s="7" t="inlineStr">
        <is>
          <t>左上</t>
        </is>
      </c>
      <c r="L395" s="8">
        <f>$O$13-($M$13+$L$13)/2+(-1)*$M$13/2</f>
        <v/>
      </c>
      <c r="M395" s="8">
        <f>$P$13-$M$13/2+$L$13/2+4*2*$L$13+(-1)*$L$13/2</f>
        <v/>
      </c>
      <c r="N395" s="8">
        <f>L395-$B$7/2</f>
        <v/>
      </c>
      <c r="O395" s="8">
        <f>M395-$B$8/2</f>
        <v/>
      </c>
      <c r="P395" s="8">
        <f>SQRT(N395^2+O395^2)</f>
        <v/>
      </c>
      <c r="Q395" s="8">
        <f>IF(OR($H$7&lt;&gt;"OK",P395=""),"",IF(P395&lt;=$D$19,$A$19,IF(P395&gt;=INDEX($D$19:$D$2018,$H$6),INDEX($A$19:$A$2018,$H$6),INDEX($A$19:$A$2018,MATCH(P395,$D$19:INDEX($D$19:$D$2018,$H$6),1))+(P395-INDEX($D$19:$D$2018,MATCH(P395,$D$19:INDEX($D$19:$D$2018,$H$6),1)))*(INDEX($A$19:$A$2018,MATCH(P395,$D$19:INDEX($D$19:$D$2018,$H$6),1)+1)-INDEX($A$19:$A$2018,MATCH(P395,$D$19:INDEX($D$19:$D$2018,$H$6),1)))/(INDEX($D$19:$D$2018,MATCH(P395,$D$19:INDEX($D$19:$D$2018,$H$6),1)+1)-INDEX($D$19:$D$2018,MATCH(P395,$D$19:INDEX($D$19:$D$2018,$H$6),1))))))</f>
        <v/>
      </c>
      <c r="R395" s="8">
        <f>IF(P395=0,0,-Y395*N395/P395)</f>
        <v/>
      </c>
      <c r="S395" s="8">
        <f>IF(P395=0,0,Y395*O395/P395)</f>
        <v/>
      </c>
      <c r="T395" s="8">
        <f>IF(Y395=0,$B$7/2,$B$7/2-Z395*R395/Y395)</f>
        <v/>
      </c>
      <c r="U395" s="8">
        <f>IF(Y395=0,$B$8/2,$B$8/2+Z395*S395/Y395)</f>
        <v/>
      </c>
      <c r="V395" s="8">
        <f>SQRT((T395-L395)^2+(U395-M395)^2)</f>
        <v/>
      </c>
      <c r="Y395">
        <f>$B$10*TAN(RADIANS(Q395))</f>
        <v/>
      </c>
      <c r="Z395">
        <f>IF(OR($H$7&lt;&gt;"OK",Q395=""),"",IF(Q395&lt;=$A$19,$D$19,IF(Q395&gt;=INDEX($A$19:$A$2018,$H$6),INDEX($D$19:$D$2018,$H$6),INDEX($D$19:$D$2018,MATCH(Q395,$A$19:INDEX($A$19:$A$2018,$H$6),1))+(Q395-INDEX($A$19:$A$2018,MATCH(Q395,$A$19:INDEX($A$19:$A$2018,$H$6),1)))*(INDEX($D$19:$D$2018,MATCH(Q395,$A$19:INDEX($A$19:$A$2018,$H$6),1)+1)-INDEX($D$19:$D$2018,MATCH(Q395,$A$19:INDEX($A$19:$A$2018,$H$6),1)))/(INDEX($A$19:$A$2018,MATCH(Q395,$A$19:INDEX($A$19:$A$2018,$H$6),1)+1)-INDEX($A$19:$A$2018,MATCH(Q395,$A$19:INDEX($A$19:$A$2018,$H$6),1))))))</f>
        <v/>
      </c>
    </row>
    <row r="396">
      <c r="A396" s="11" t="n"/>
      <c r="B396" s="11" t="n"/>
      <c r="C396" s="12">
        <f>IF(A396="","",$B$9*TAN(RADIANS(A396)))</f>
        <v/>
      </c>
      <c r="D396" s="12">
        <f>IF(C396="","",C396*(1+B396/100))</f>
        <v/>
      </c>
      <c r="E396" s="12">
        <f>IF(A396="","",$B$10*TAN(RADIANS(A396)))</f>
        <v/>
      </c>
      <c r="G396" s="8" t="n">
        <v>378</v>
      </c>
      <c r="H396" s="8">
        <f>$K$13</f>
        <v/>
      </c>
      <c r="I396" s="7" t="inlineStr">
        <is>
          <t>橫</t>
        </is>
      </c>
      <c r="J396" s="8" t="n">
        <v>5</v>
      </c>
      <c r="K396" s="7" t="inlineStr">
        <is>
          <t>右上</t>
        </is>
      </c>
      <c r="L396" s="8">
        <f>$O$13-($M$13+$L$13)/2+(1)*$M$13/2</f>
        <v/>
      </c>
      <c r="M396" s="8">
        <f>$P$13-$M$13/2+$L$13/2+4*2*$L$13+(-1)*$L$13/2</f>
        <v/>
      </c>
      <c r="N396" s="8">
        <f>L396-$B$7/2</f>
        <v/>
      </c>
      <c r="O396" s="8">
        <f>M396-$B$8/2</f>
        <v/>
      </c>
      <c r="P396" s="8">
        <f>SQRT(N396^2+O396^2)</f>
        <v/>
      </c>
      <c r="Q396" s="8">
        <f>IF(OR($H$7&lt;&gt;"OK",P396=""),"",IF(P396&lt;=$D$19,$A$19,IF(P396&gt;=INDEX($D$19:$D$2018,$H$6),INDEX($A$19:$A$2018,$H$6),INDEX($A$19:$A$2018,MATCH(P396,$D$19:INDEX($D$19:$D$2018,$H$6),1))+(P396-INDEX($D$19:$D$2018,MATCH(P396,$D$19:INDEX($D$19:$D$2018,$H$6),1)))*(INDEX($A$19:$A$2018,MATCH(P396,$D$19:INDEX($D$19:$D$2018,$H$6),1)+1)-INDEX($A$19:$A$2018,MATCH(P396,$D$19:INDEX($D$19:$D$2018,$H$6),1)))/(INDEX($D$19:$D$2018,MATCH(P396,$D$19:INDEX($D$19:$D$2018,$H$6),1)+1)-INDEX($D$19:$D$2018,MATCH(P396,$D$19:INDEX($D$19:$D$2018,$H$6),1))))))</f>
        <v/>
      </c>
      <c r="R396" s="8">
        <f>IF(P396=0,0,-Y396*N396/P396)</f>
        <v/>
      </c>
      <c r="S396" s="8">
        <f>IF(P396=0,0,Y396*O396/P396)</f>
        <v/>
      </c>
      <c r="T396" s="8">
        <f>IF(Y396=0,$B$7/2,$B$7/2-Z396*R396/Y396)</f>
        <v/>
      </c>
      <c r="U396" s="8">
        <f>IF(Y396=0,$B$8/2,$B$8/2+Z396*S396/Y396)</f>
        <v/>
      </c>
      <c r="V396" s="8">
        <f>SQRT((T396-L396)^2+(U396-M396)^2)</f>
        <v/>
      </c>
      <c r="Y396">
        <f>$B$10*TAN(RADIANS(Q396))</f>
        <v/>
      </c>
      <c r="Z396">
        <f>IF(OR($H$7&lt;&gt;"OK",Q396=""),"",IF(Q396&lt;=$A$19,$D$19,IF(Q396&gt;=INDEX($A$19:$A$2018,$H$6),INDEX($D$19:$D$2018,$H$6),INDEX($D$19:$D$2018,MATCH(Q396,$A$19:INDEX($A$19:$A$2018,$H$6),1))+(Q396-INDEX($A$19:$A$2018,MATCH(Q396,$A$19:INDEX($A$19:$A$2018,$H$6),1)))*(INDEX($D$19:$D$2018,MATCH(Q396,$A$19:INDEX($A$19:$A$2018,$H$6),1)+1)-INDEX($D$19:$D$2018,MATCH(Q396,$A$19:INDEX($A$19:$A$2018,$H$6),1)))/(INDEX($A$19:$A$2018,MATCH(Q396,$A$19:INDEX($A$19:$A$2018,$H$6),1)+1)-INDEX($A$19:$A$2018,MATCH(Q396,$A$19:INDEX($A$19:$A$2018,$H$6),1))))))</f>
        <v/>
      </c>
    </row>
    <row r="397">
      <c r="A397" s="11" t="n"/>
      <c r="B397" s="11" t="n"/>
      <c r="C397" s="12">
        <f>IF(A397="","",$B$9*TAN(RADIANS(A397)))</f>
        <v/>
      </c>
      <c r="D397" s="12">
        <f>IF(C397="","",C397*(1+B397/100))</f>
        <v/>
      </c>
      <c r="E397" s="12">
        <f>IF(A397="","",$B$10*TAN(RADIANS(A397)))</f>
        <v/>
      </c>
      <c r="G397" s="8" t="n">
        <v>379</v>
      </c>
      <c r="H397" s="8">
        <f>$K$13</f>
        <v/>
      </c>
      <c r="I397" s="7" t="inlineStr">
        <is>
          <t>橫</t>
        </is>
      </c>
      <c r="J397" s="8" t="n">
        <v>5</v>
      </c>
      <c r="K397" s="7" t="inlineStr">
        <is>
          <t>右下</t>
        </is>
      </c>
      <c r="L397" s="8">
        <f>$O$13-($M$13+$L$13)/2+(1)*$M$13/2</f>
        <v/>
      </c>
      <c r="M397" s="8">
        <f>$P$13-$M$13/2+$L$13/2+4*2*$L$13+(1)*$L$13/2</f>
        <v/>
      </c>
      <c r="N397" s="8">
        <f>L397-$B$7/2</f>
        <v/>
      </c>
      <c r="O397" s="8">
        <f>M397-$B$8/2</f>
        <v/>
      </c>
      <c r="P397" s="8">
        <f>SQRT(N397^2+O397^2)</f>
        <v/>
      </c>
      <c r="Q397" s="8">
        <f>IF(OR($H$7&lt;&gt;"OK",P397=""),"",IF(P397&lt;=$D$19,$A$19,IF(P397&gt;=INDEX($D$19:$D$2018,$H$6),INDEX($A$19:$A$2018,$H$6),INDEX($A$19:$A$2018,MATCH(P397,$D$19:INDEX($D$19:$D$2018,$H$6),1))+(P397-INDEX($D$19:$D$2018,MATCH(P397,$D$19:INDEX($D$19:$D$2018,$H$6),1)))*(INDEX($A$19:$A$2018,MATCH(P397,$D$19:INDEX($D$19:$D$2018,$H$6),1)+1)-INDEX($A$19:$A$2018,MATCH(P397,$D$19:INDEX($D$19:$D$2018,$H$6),1)))/(INDEX($D$19:$D$2018,MATCH(P397,$D$19:INDEX($D$19:$D$2018,$H$6),1)+1)-INDEX($D$19:$D$2018,MATCH(P397,$D$19:INDEX($D$19:$D$2018,$H$6),1))))))</f>
        <v/>
      </c>
      <c r="R397" s="8">
        <f>IF(P397=0,0,-Y397*N397/P397)</f>
        <v/>
      </c>
      <c r="S397" s="8">
        <f>IF(P397=0,0,Y397*O397/P397)</f>
        <v/>
      </c>
      <c r="T397" s="8">
        <f>IF(Y397=0,$B$7/2,$B$7/2-Z397*R397/Y397)</f>
        <v/>
      </c>
      <c r="U397" s="8">
        <f>IF(Y397=0,$B$8/2,$B$8/2+Z397*S397/Y397)</f>
        <v/>
      </c>
      <c r="V397" s="8">
        <f>SQRT((T397-L397)^2+(U397-M397)^2)</f>
        <v/>
      </c>
      <c r="Y397">
        <f>$B$10*TAN(RADIANS(Q397))</f>
        <v/>
      </c>
      <c r="Z397">
        <f>IF(OR($H$7&lt;&gt;"OK",Q397=""),"",IF(Q397&lt;=$A$19,$D$19,IF(Q397&gt;=INDEX($A$19:$A$2018,$H$6),INDEX($D$19:$D$2018,$H$6),INDEX($D$19:$D$2018,MATCH(Q397,$A$19:INDEX($A$19:$A$2018,$H$6),1))+(Q397-INDEX($A$19:$A$2018,MATCH(Q397,$A$19:INDEX($A$19:$A$2018,$H$6),1)))*(INDEX($D$19:$D$2018,MATCH(Q397,$A$19:INDEX($A$19:$A$2018,$H$6),1)+1)-INDEX($D$19:$D$2018,MATCH(Q397,$A$19:INDEX($A$19:$A$2018,$H$6),1)))/(INDEX($A$19:$A$2018,MATCH(Q397,$A$19:INDEX($A$19:$A$2018,$H$6),1)+1)-INDEX($A$19:$A$2018,MATCH(Q397,$A$19:INDEX($A$19:$A$2018,$H$6),1))))))</f>
        <v/>
      </c>
    </row>
    <row r="398">
      <c r="A398" s="11" t="n"/>
      <c r="B398" s="11" t="n"/>
      <c r="C398" s="12">
        <f>IF(A398="","",$B$9*TAN(RADIANS(A398)))</f>
        <v/>
      </c>
      <c r="D398" s="12">
        <f>IF(C398="","",C398*(1+B398/100))</f>
        <v/>
      </c>
      <c r="E398" s="12">
        <f>IF(A398="","",$B$10*TAN(RADIANS(A398)))</f>
        <v/>
      </c>
      <c r="G398" s="8" t="n">
        <v>380</v>
      </c>
      <c r="H398" s="8">
        <f>$K$13</f>
        <v/>
      </c>
      <c r="I398" s="7" t="inlineStr">
        <is>
          <t>橫</t>
        </is>
      </c>
      <c r="J398" s="8" t="n">
        <v>5</v>
      </c>
      <c r="K398" s="7" t="inlineStr">
        <is>
          <t>左下</t>
        </is>
      </c>
      <c r="L398" s="8">
        <f>$O$13-($M$13+$L$13)/2+(-1)*$M$13/2</f>
        <v/>
      </c>
      <c r="M398" s="8">
        <f>$P$13-$M$13/2+$L$13/2+4*2*$L$13+(1)*$L$13/2</f>
        <v/>
      </c>
      <c r="N398" s="8">
        <f>L398-$B$7/2</f>
        <v/>
      </c>
      <c r="O398" s="8">
        <f>M398-$B$8/2</f>
        <v/>
      </c>
      <c r="P398" s="8">
        <f>SQRT(N398^2+O398^2)</f>
        <v/>
      </c>
      <c r="Q398" s="8">
        <f>IF(OR($H$7&lt;&gt;"OK",P398=""),"",IF(P398&lt;=$D$19,$A$19,IF(P398&gt;=INDEX($D$19:$D$2018,$H$6),INDEX($A$19:$A$2018,$H$6),INDEX($A$19:$A$2018,MATCH(P398,$D$19:INDEX($D$19:$D$2018,$H$6),1))+(P398-INDEX($D$19:$D$2018,MATCH(P398,$D$19:INDEX($D$19:$D$2018,$H$6),1)))*(INDEX($A$19:$A$2018,MATCH(P398,$D$19:INDEX($D$19:$D$2018,$H$6),1)+1)-INDEX($A$19:$A$2018,MATCH(P398,$D$19:INDEX($D$19:$D$2018,$H$6),1)))/(INDEX($D$19:$D$2018,MATCH(P398,$D$19:INDEX($D$19:$D$2018,$H$6),1)+1)-INDEX($D$19:$D$2018,MATCH(P398,$D$19:INDEX($D$19:$D$2018,$H$6),1))))))</f>
        <v/>
      </c>
      <c r="R398" s="8">
        <f>IF(P398=0,0,-Y398*N398/P398)</f>
        <v/>
      </c>
      <c r="S398" s="8">
        <f>IF(P398=0,0,Y398*O398/P398)</f>
        <v/>
      </c>
      <c r="T398" s="8">
        <f>IF(Y398=0,$B$7/2,$B$7/2-Z398*R398/Y398)</f>
        <v/>
      </c>
      <c r="U398" s="8">
        <f>IF(Y398=0,$B$8/2,$B$8/2+Z398*S398/Y398)</f>
        <v/>
      </c>
      <c r="V398" s="8">
        <f>SQRT((T398-L398)^2+(U398-M398)^2)</f>
        <v/>
      </c>
      <c r="Y398">
        <f>$B$10*TAN(RADIANS(Q398))</f>
        <v/>
      </c>
      <c r="Z398">
        <f>IF(OR($H$7&lt;&gt;"OK",Q398=""),"",IF(Q398&lt;=$A$19,$D$19,IF(Q398&gt;=INDEX($A$19:$A$2018,$H$6),INDEX($D$19:$D$2018,$H$6),INDEX($D$19:$D$2018,MATCH(Q398,$A$19:INDEX($A$19:$A$2018,$H$6),1))+(Q398-INDEX($A$19:$A$2018,MATCH(Q398,$A$19:INDEX($A$19:$A$2018,$H$6),1)))*(INDEX($D$19:$D$2018,MATCH(Q398,$A$19:INDEX($A$19:$A$2018,$H$6),1)+1)-INDEX($D$19:$D$2018,MATCH(Q398,$A$19:INDEX($A$19:$A$2018,$H$6),1)))/(INDEX($A$19:$A$2018,MATCH(Q398,$A$19:INDEX($A$19:$A$2018,$H$6),1)+1)-INDEX($A$19:$A$2018,MATCH(Q398,$A$19:INDEX($A$19:$A$2018,$H$6),1))))))</f>
        <v/>
      </c>
    </row>
    <row r="399">
      <c r="A399" s="11" t="n"/>
      <c r="B399" s="11" t="n"/>
      <c r="C399" s="12">
        <f>IF(A399="","",$B$9*TAN(RADIANS(A399)))</f>
        <v/>
      </c>
      <c r="D399" s="12">
        <f>IF(C399="","",C399*(1+B399/100))</f>
        <v/>
      </c>
      <c r="E399" s="12">
        <f>IF(A399="","",$B$10*TAN(RADIANS(A399)))</f>
        <v/>
      </c>
      <c r="G399" s="8" t="n">
        <v>381</v>
      </c>
      <c r="H399" s="8">
        <f>$K$13</f>
        <v/>
      </c>
      <c r="I399" s="7" t="inlineStr">
        <is>
          <t>豎</t>
        </is>
      </c>
      <c r="J399" s="8" t="n">
        <v>1</v>
      </c>
      <c r="K399" s="7" t="inlineStr">
        <is>
          <t>左上</t>
        </is>
      </c>
      <c r="L399" s="8">
        <f>$O$13+($M$13+$L$13)/2-$M$13/2+$L$13/2+0*2*$L$13+(-1)*$L$13/2</f>
        <v/>
      </c>
      <c r="M399" s="8">
        <f>$P$13+(-1)*$M$13/2</f>
        <v/>
      </c>
      <c r="N399" s="8">
        <f>L399-$B$7/2</f>
        <v/>
      </c>
      <c r="O399" s="8">
        <f>M399-$B$8/2</f>
        <v/>
      </c>
      <c r="P399" s="8">
        <f>SQRT(N399^2+O399^2)</f>
        <v/>
      </c>
      <c r="Q399" s="8">
        <f>IF(OR($H$7&lt;&gt;"OK",P399=""),"",IF(P399&lt;=$D$19,$A$19,IF(P399&gt;=INDEX($D$19:$D$2018,$H$6),INDEX($A$19:$A$2018,$H$6),INDEX($A$19:$A$2018,MATCH(P399,$D$19:INDEX($D$19:$D$2018,$H$6),1))+(P399-INDEX($D$19:$D$2018,MATCH(P399,$D$19:INDEX($D$19:$D$2018,$H$6),1)))*(INDEX($A$19:$A$2018,MATCH(P399,$D$19:INDEX($D$19:$D$2018,$H$6),1)+1)-INDEX($A$19:$A$2018,MATCH(P399,$D$19:INDEX($D$19:$D$2018,$H$6),1)))/(INDEX($D$19:$D$2018,MATCH(P399,$D$19:INDEX($D$19:$D$2018,$H$6),1)+1)-INDEX($D$19:$D$2018,MATCH(P399,$D$19:INDEX($D$19:$D$2018,$H$6),1))))))</f>
        <v/>
      </c>
      <c r="R399" s="8">
        <f>IF(P399=0,0,-Y399*N399/P399)</f>
        <v/>
      </c>
      <c r="S399" s="8">
        <f>IF(P399=0,0,Y399*O399/P399)</f>
        <v/>
      </c>
      <c r="T399" s="8">
        <f>IF(Y399=0,$B$7/2,$B$7/2-Z399*R399/Y399)</f>
        <v/>
      </c>
      <c r="U399" s="8">
        <f>IF(Y399=0,$B$8/2,$B$8/2+Z399*S399/Y399)</f>
        <v/>
      </c>
      <c r="V399" s="8">
        <f>SQRT((T399-L399)^2+(U399-M399)^2)</f>
        <v/>
      </c>
      <c r="Y399">
        <f>$B$10*TAN(RADIANS(Q399))</f>
        <v/>
      </c>
      <c r="Z399">
        <f>IF(OR($H$7&lt;&gt;"OK",Q399=""),"",IF(Q399&lt;=$A$19,$D$19,IF(Q399&gt;=INDEX($A$19:$A$2018,$H$6),INDEX($D$19:$D$2018,$H$6),INDEX($D$19:$D$2018,MATCH(Q399,$A$19:INDEX($A$19:$A$2018,$H$6),1))+(Q399-INDEX($A$19:$A$2018,MATCH(Q399,$A$19:INDEX($A$19:$A$2018,$H$6),1)))*(INDEX($D$19:$D$2018,MATCH(Q399,$A$19:INDEX($A$19:$A$2018,$H$6),1)+1)-INDEX($D$19:$D$2018,MATCH(Q399,$A$19:INDEX($A$19:$A$2018,$H$6),1)))/(INDEX($A$19:$A$2018,MATCH(Q399,$A$19:INDEX($A$19:$A$2018,$H$6),1)+1)-INDEX($A$19:$A$2018,MATCH(Q399,$A$19:INDEX($A$19:$A$2018,$H$6),1))))))</f>
        <v/>
      </c>
    </row>
    <row r="400">
      <c r="A400" s="11" t="n"/>
      <c r="B400" s="11" t="n"/>
      <c r="C400" s="12">
        <f>IF(A400="","",$B$9*TAN(RADIANS(A400)))</f>
        <v/>
      </c>
      <c r="D400" s="12">
        <f>IF(C400="","",C400*(1+B400/100))</f>
        <v/>
      </c>
      <c r="E400" s="12">
        <f>IF(A400="","",$B$10*TAN(RADIANS(A400)))</f>
        <v/>
      </c>
      <c r="G400" s="8" t="n">
        <v>382</v>
      </c>
      <c r="H400" s="8">
        <f>$K$13</f>
        <v/>
      </c>
      <c r="I400" s="7" t="inlineStr">
        <is>
          <t>豎</t>
        </is>
      </c>
      <c r="J400" s="8" t="n">
        <v>1</v>
      </c>
      <c r="K400" s="7" t="inlineStr">
        <is>
          <t>右上</t>
        </is>
      </c>
      <c r="L400" s="8">
        <f>$O$13+($M$13+$L$13)/2-$M$13/2+$L$13/2+0*2*$L$13+(1)*$L$13/2</f>
        <v/>
      </c>
      <c r="M400" s="8">
        <f>$P$13+(-1)*$M$13/2</f>
        <v/>
      </c>
      <c r="N400" s="8">
        <f>L400-$B$7/2</f>
        <v/>
      </c>
      <c r="O400" s="8">
        <f>M400-$B$8/2</f>
        <v/>
      </c>
      <c r="P400" s="8">
        <f>SQRT(N400^2+O400^2)</f>
        <v/>
      </c>
      <c r="Q400" s="8">
        <f>IF(OR($H$7&lt;&gt;"OK",P400=""),"",IF(P400&lt;=$D$19,$A$19,IF(P400&gt;=INDEX($D$19:$D$2018,$H$6),INDEX($A$19:$A$2018,$H$6),INDEX($A$19:$A$2018,MATCH(P400,$D$19:INDEX($D$19:$D$2018,$H$6),1))+(P400-INDEX($D$19:$D$2018,MATCH(P400,$D$19:INDEX($D$19:$D$2018,$H$6),1)))*(INDEX($A$19:$A$2018,MATCH(P400,$D$19:INDEX($D$19:$D$2018,$H$6),1)+1)-INDEX($A$19:$A$2018,MATCH(P400,$D$19:INDEX($D$19:$D$2018,$H$6),1)))/(INDEX($D$19:$D$2018,MATCH(P400,$D$19:INDEX($D$19:$D$2018,$H$6),1)+1)-INDEX($D$19:$D$2018,MATCH(P400,$D$19:INDEX($D$19:$D$2018,$H$6),1))))))</f>
        <v/>
      </c>
      <c r="R400" s="8">
        <f>IF(P400=0,0,-Y400*N400/P400)</f>
        <v/>
      </c>
      <c r="S400" s="8">
        <f>IF(P400=0,0,Y400*O400/P400)</f>
        <v/>
      </c>
      <c r="T400" s="8">
        <f>IF(Y400=0,$B$7/2,$B$7/2-Z400*R400/Y400)</f>
        <v/>
      </c>
      <c r="U400" s="8">
        <f>IF(Y400=0,$B$8/2,$B$8/2+Z400*S400/Y400)</f>
        <v/>
      </c>
      <c r="V400" s="8">
        <f>SQRT((T400-L400)^2+(U400-M400)^2)</f>
        <v/>
      </c>
      <c r="Y400">
        <f>$B$10*TAN(RADIANS(Q400))</f>
        <v/>
      </c>
      <c r="Z400">
        <f>IF(OR($H$7&lt;&gt;"OK",Q400=""),"",IF(Q400&lt;=$A$19,$D$19,IF(Q400&gt;=INDEX($A$19:$A$2018,$H$6),INDEX($D$19:$D$2018,$H$6),INDEX($D$19:$D$2018,MATCH(Q400,$A$19:INDEX($A$19:$A$2018,$H$6),1))+(Q400-INDEX($A$19:$A$2018,MATCH(Q400,$A$19:INDEX($A$19:$A$2018,$H$6),1)))*(INDEX($D$19:$D$2018,MATCH(Q400,$A$19:INDEX($A$19:$A$2018,$H$6),1)+1)-INDEX($D$19:$D$2018,MATCH(Q400,$A$19:INDEX($A$19:$A$2018,$H$6),1)))/(INDEX($A$19:$A$2018,MATCH(Q400,$A$19:INDEX($A$19:$A$2018,$H$6),1)+1)-INDEX($A$19:$A$2018,MATCH(Q400,$A$19:INDEX($A$19:$A$2018,$H$6),1))))))</f>
        <v/>
      </c>
    </row>
    <row r="401">
      <c r="A401" s="11" t="n"/>
      <c r="B401" s="11" t="n"/>
      <c r="C401" s="12">
        <f>IF(A401="","",$B$9*TAN(RADIANS(A401)))</f>
        <v/>
      </c>
      <c r="D401" s="12">
        <f>IF(C401="","",C401*(1+B401/100))</f>
        <v/>
      </c>
      <c r="E401" s="12">
        <f>IF(A401="","",$B$10*TAN(RADIANS(A401)))</f>
        <v/>
      </c>
      <c r="G401" s="8" t="n">
        <v>383</v>
      </c>
      <c r="H401" s="8">
        <f>$K$13</f>
        <v/>
      </c>
      <c r="I401" s="7" t="inlineStr">
        <is>
          <t>豎</t>
        </is>
      </c>
      <c r="J401" s="8" t="n">
        <v>1</v>
      </c>
      <c r="K401" s="7" t="inlineStr">
        <is>
          <t>右下</t>
        </is>
      </c>
      <c r="L401" s="8">
        <f>$O$13+($M$13+$L$13)/2-$M$13/2+$L$13/2+0*2*$L$13+(1)*$L$13/2</f>
        <v/>
      </c>
      <c r="M401" s="8">
        <f>$P$13+(1)*$M$13/2</f>
        <v/>
      </c>
      <c r="N401" s="8">
        <f>L401-$B$7/2</f>
        <v/>
      </c>
      <c r="O401" s="8">
        <f>M401-$B$8/2</f>
        <v/>
      </c>
      <c r="P401" s="8">
        <f>SQRT(N401^2+O401^2)</f>
        <v/>
      </c>
      <c r="Q401" s="8">
        <f>IF(OR($H$7&lt;&gt;"OK",P401=""),"",IF(P401&lt;=$D$19,$A$19,IF(P401&gt;=INDEX($D$19:$D$2018,$H$6),INDEX($A$19:$A$2018,$H$6),INDEX($A$19:$A$2018,MATCH(P401,$D$19:INDEX($D$19:$D$2018,$H$6),1))+(P401-INDEX($D$19:$D$2018,MATCH(P401,$D$19:INDEX($D$19:$D$2018,$H$6),1)))*(INDEX($A$19:$A$2018,MATCH(P401,$D$19:INDEX($D$19:$D$2018,$H$6),1)+1)-INDEX($A$19:$A$2018,MATCH(P401,$D$19:INDEX($D$19:$D$2018,$H$6),1)))/(INDEX($D$19:$D$2018,MATCH(P401,$D$19:INDEX($D$19:$D$2018,$H$6),1)+1)-INDEX($D$19:$D$2018,MATCH(P401,$D$19:INDEX($D$19:$D$2018,$H$6),1))))))</f>
        <v/>
      </c>
      <c r="R401" s="8">
        <f>IF(P401=0,0,-Y401*N401/P401)</f>
        <v/>
      </c>
      <c r="S401" s="8">
        <f>IF(P401=0,0,Y401*O401/P401)</f>
        <v/>
      </c>
      <c r="T401" s="8">
        <f>IF(Y401=0,$B$7/2,$B$7/2-Z401*R401/Y401)</f>
        <v/>
      </c>
      <c r="U401" s="8">
        <f>IF(Y401=0,$B$8/2,$B$8/2+Z401*S401/Y401)</f>
        <v/>
      </c>
      <c r="V401" s="8">
        <f>SQRT((T401-L401)^2+(U401-M401)^2)</f>
        <v/>
      </c>
      <c r="Y401">
        <f>$B$10*TAN(RADIANS(Q401))</f>
        <v/>
      </c>
      <c r="Z401">
        <f>IF(OR($H$7&lt;&gt;"OK",Q401=""),"",IF(Q401&lt;=$A$19,$D$19,IF(Q401&gt;=INDEX($A$19:$A$2018,$H$6),INDEX($D$19:$D$2018,$H$6),INDEX($D$19:$D$2018,MATCH(Q401,$A$19:INDEX($A$19:$A$2018,$H$6),1))+(Q401-INDEX($A$19:$A$2018,MATCH(Q401,$A$19:INDEX($A$19:$A$2018,$H$6),1)))*(INDEX($D$19:$D$2018,MATCH(Q401,$A$19:INDEX($A$19:$A$2018,$H$6),1)+1)-INDEX($D$19:$D$2018,MATCH(Q401,$A$19:INDEX($A$19:$A$2018,$H$6),1)))/(INDEX($A$19:$A$2018,MATCH(Q401,$A$19:INDEX($A$19:$A$2018,$H$6),1)+1)-INDEX($A$19:$A$2018,MATCH(Q401,$A$19:INDEX($A$19:$A$2018,$H$6),1))))))</f>
        <v/>
      </c>
    </row>
    <row r="402">
      <c r="A402" s="11" t="n"/>
      <c r="B402" s="11" t="n"/>
      <c r="C402" s="12">
        <f>IF(A402="","",$B$9*TAN(RADIANS(A402)))</f>
        <v/>
      </c>
      <c r="D402" s="12">
        <f>IF(C402="","",C402*(1+B402/100))</f>
        <v/>
      </c>
      <c r="E402" s="12">
        <f>IF(A402="","",$B$10*TAN(RADIANS(A402)))</f>
        <v/>
      </c>
      <c r="G402" s="8" t="n">
        <v>384</v>
      </c>
      <c r="H402" s="8">
        <f>$K$13</f>
        <v/>
      </c>
      <c r="I402" s="7" t="inlineStr">
        <is>
          <t>豎</t>
        </is>
      </c>
      <c r="J402" s="8" t="n">
        <v>1</v>
      </c>
      <c r="K402" s="7" t="inlineStr">
        <is>
          <t>左下</t>
        </is>
      </c>
      <c r="L402" s="8">
        <f>$O$13+($M$13+$L$13)/2-$M$13/2+$L$13/2+0*2*$L$13+(-1)*$L$13/2</f>
        <v/>
      </c>
      <c r="M402" s="8">
        <f>$P$13+(1)*$M$13/2</f>
        <v/>
      </c>
      <c r="N402" s="8">
        <f>L402-$B$7/2</f>
        <v/>
      </c>
      <c r="O402" s="8">
        <f>M402-$B$8/2</f>
        <v/>
      </c>
      <c r="P402" s="8">
        <f>SQRT(N402^2+O402^2)</f>
        <v/>
      </c>
      <c r="Q402" s="8">
        <f>IF(OR($H$7&lt;&gt;"OK",P402=""),"",IF(P402&lt;=$D$19,$A$19,IF(P402&gt;=INDEX($D$19:$D$2018,$H$6),INDEX($A$19:$A$2018,$H$6),INDEX($A$19:$A$2018,MATCH(P402,$D$19:INDEX($D$19:$D$2018,$H$6),1))+(P402-INDEX($D$19:$D$2018,MATCH(P402,$D$19:INDEX($D$19:$D$2018,$H$6),1)))*(INDEX($A$19:$A$2018,MATCH(P402,$D$19:INDEX($D$19:$D$2018,$H$6),1)+1)-INDEX($A$19:$A$2018,MATCH(P402,$D$19:INDEX($D$19:$D$2018,$H$6),1)))/(INDEX($D$19:$D$2018,MATCH(P402,$D$19:INDEX($D$19:$D$2018,$H$6),1)+1)-INDEX($D$19:$D$2018,MATCH(P402,$D$19:INDEX($D$19:$D$2018,$H$6),1))))))</f>
        <v/>
      </c>
      <c r="R402" s="8">
        <f>IF(P402=0,0,-Y402*N402/P402)</f>
        <v/>
      </c>
      <c r="S402" s="8">
        <f>IF(P402=0,0,Y402*O402/P402)</f>
        <v/>
      </c>
      <c r="T402" s="8">
        <f>IF(Y402=0,$B$7/2,$B$7/2-Z402*R402/Y402)</f>
        <v/>
      </c>
      <c r="U402" s="8">
        <f>IF(Y402=0,$B$8/2,$B$8/2+Z402*S402/Y402)</f>
        <v/>
      </c>
      <c r="V402" s="8">
        <f>SQRT((T402-L402)^2+(U402-M402)^2)</f>
        <v/>
      </c>
      <c r="Y402">
        <f>$B$10*TAN(RADIANS(Q402))</f>
        <v/>
      </c>
      <c r="Z402">
        <f>IF(OR($H$7&lt;&gt;"OK",Q402=""),"",IF(Q402&lt;=$A$19,$D$19,IF(Q402&gt;=INDEX($A$19:$A$2018,$H$6),INDEX($D$19:$D$2018,$H$6),INDEX($D$19:$D$2018,MATCH(Q402,$A$19:INDEX($A$19:$A$2018,$H$6),1))+(Q402-INDEX($A$19:$A$2018,MATCH(Q402,$A$19:INDEX($A$19:$A$2018,$H$6),1)))*(INDEX($D$19:$D$2018,MATCH(Q402,$A$19:INDEX($A$19:$A$2018,$H$6),1)+1)-INDEX($D$19:$D$2018,MATCH(Q402,$A$19:INDEX($A$19:$A$2018,$H$6),1)))/(INDEX($A$19:$A$2018,MATCH(Q402,$A$19:INDEX($A$19:$A$2018,$H$6),1)+1)-INDEX($A$19:$A$2018,MATCH(Q402,$A$19:INDEX($A$19:$A$2018,$H$6),1))))))</f>
        <v/>
      </c>
    </row>
    <row r="403">
      <c r="A403" s="11" t="n"/>
      <c r="B403" s="11" t="n"/>
      <c r="C403" s="12">
        <f>IF(A403="","",$B$9*TAN(RADIANS(A403)))</f>
        <v/>
      </c>
      <c r="D403" s="12">
        <f>IF(C403="","",C403*(1+B403/100))</f>
        <v/>
      </c>
      <c r="E403" s="12">
        <f>IF(A403="","",$B$10*TAN(RADIANS(A403)))</f>
        <v/>
      </c>
      <c r="G403" s="8" t="n">
        <v>385</v>
      </c>
      <c r="H403" s="8">
        <f>$K$13</f>
        <v/>
      </c>
      <c r="I403" s="7" t="inlineStr">
        <is>
          <t>豎</t>
        </is>
      </c>
      <c r="J403" s="8" t="n">
        <v>2</v>
      </c>
      <c r="K403" s="7" t="inlineStr">
        <is>
          <t>左上</t>
        </is>
      </c>
      <c r="L403" s="8">
        <f>$O$13+($M$13+$L$13)/2-$M$13/2+$L$13/2+1*2*$L$13+(-1)*$L$13/2</f>
        <v/>
      </c>
      <c r="M403" s="8">
        <f>$P$13+(-1)*$M$13/2</f>
        <v/>
      </c>
      <c r="N403" s="8">
        <f>L403-$B$7/2</f>
        <v/>
      </c>
      <c r="O403" s="8">
        <f>M403-$B$8/2</f>
        <v/>
      </c>
      <c r="P403" s="8">
        <f>SQRT(N403^2+O403^2)</f>
        <v/>
      </c>
      <c r="Q403" s="8">
        <f>IF(OR($H$7&lt;&gt;"OK",P403=""),"",IF(P403&lt;=$D$19,$A$19,IF(P403&gt;=INDEX($D$19:$D$2018,$H$6),INDEX($A$19:$A$2018,$H$6),INDEX($A$19:$A$2018,MATCH(P403,$D$19:INDEX($D$19:$D$2018,$H$6),1))+(P403-INDEX($D$19:$D$2018,MATCH(P403,$D$19:INDEX($D$19:$D$2018,$H$6),1)))*(INDEX($A$19:$A$2018,MATCH(P403,$D$19:INDEX($D$19:$D$2018,$H$6),1)+1)-INDEX($A$19:$A$2018,MATCH(P403,$D$19:INDEX($D$19:$D$2018,$H$6),1)))/(INDEX($D$19:$D$2018,MATCH(P403,$D$19:INDEX($D$19:$D$2018,$H$6),1)+1)-INDEX($D$19:$D$2018,MATCH(P403,$D$19:INDEX($D$19:$D$2018,$H$6),1))))))</f>
        <v/>
      </c>
      <c r="R403" s="8">
        <f>IF(P403=0,0,-Y403*N403/P403)</f>
        <v/>
      </c>
      <c r="S403" s="8">
        <f>IF(P403=0,0,Y403*O403/P403)</f>
        <v/>
      </c>
      <c r="T403" s="8">
        <f>IF(Y403=0,$B$7/2,$B$7/2-Z403*R403/Y403)</f>
        <v/>
      </c>
      <c r="U403" s="8">
        <f>IF(Y403=0,$B$8/2,$B$8/2+Z403*S403/Y403)</f>
        <v/>
      </c>
      <c r="V403" s="8">
        <f>SQRT((T403-L403)^2+(U403-M403)^2)</f>
        <v/>
      </c>
      <c r="Y403">
        <f>$B$10*TAN(RADIANS(Q403))</f>
        <v/>
      </c>
      <c r="Z403">
        <f>IF(OR($H$7&lt;&gt;"OK",Q403=""),"",IF(Q403&lt;=$A$19,$D$19,IF(Q403&gt;=INDEX($A$19:$A$2018,$H$6),INDEX($D$19:$D$2018,$H$6),INDEX($D$19:$D$2018,MATCH(Q403,$A$19:INDEX($A$19:$A$2018,$H$6),1))+(Q403-INDEX($A$19:$A$2018,MATCH(Q403,$A$19:INDEX($A$19:$A$2018,$H$6),1)))*(INDEX($D$19:$D$2018,MATCH(Q403,$A$19:INDEX($A$19:$A$2018,$H$6),1)+1)-INDEX($D$19:$D$2018,MATCH(Q403,$A$19:INDEX($A$19:$A$2018,$H$6),1)))/(INDEX($A$19:$A$2018,MATCH(Q403,$A$19:INDEX($A$19:$A$2018,$H$6),1)+1)-INDEX($A$19:$A$2018,MATCH(Q403,$A$19:INDEX($A$19:$A$2018,$H$6),1))))))</f>
        <v/>
      </c>
    </row>
    <row r="404">
      <c r="A404" s="11" t="n"/>
      <c r="B404" s="11" t="n"/>
      <c r="C404" s="12">
        <f>IF(A404="","",$B$9*TAN(RADIANS(A404)))</f>
        <v/>
      </c>
      <c r="D404" s="12">
        <f>IF(C404="","",C404*(1+B404/100))</f>
        <v/>
      </c>
      <c r="E404" s="12">
        <f>IF(A404="","",$B$10*TAN(RADIANS(A404)))</f>
        <v/>
      </c>
      <c r="G404" s="8" t="n">
        <v>386</v>
      </c>
      <c r="H404" s="8">
        <f>$K$13</f>
        <v/>
      </c>
      <c r="I404" s="7" t="inlineStr">
        <is>
          <t>豎</t>
        </is>
      </c>
      <c r="J404" s="8" t="n">
        <v>2</v>
      </c>
      <c r="K404" s="7" t="inlineStr">
        <is>
          <t>右上</t>
        </is>
      </c>
      <c r="L404" s="8">
        <f>$O$13+($M$13+$L$13)/2-$M$13/2+$L$13/2+1*2*$L$13+(1)*$L$13/2</f>
        <v/>
      </c>
      <c r="M404" s="8">
        <f>$P$13+(-1)*$M$13/2</f>
        <v/>
      </c>
      <c r="N404" s="8">
        <f>L404-$B$7/2</f>
        <v/>
      </c>
      <c r="O404" s="8">
        <f>M404-$B$8/2</f>
        <v/>
      </c>
      <c r="P404" s="8">
        <f>SQRT(N404^2+O404^2)</f>
        <v/>
      </c>
      <c r="Q404" s="8">
        <f>IF(OR($H$7&lt;&gt;"OK",P404=""),"",IF(P404&lt;=$D$19,$A$19,IF(P404&gt;=INDEX($D$19:$D$2018,$H$6),INDEX($A$19:$A$2018,$H$6),INDEX($A$19:$A$2018,MATCH(P404,$D$19:INDEX($D$19:$D$2018,$H$6),1))+(P404-INDEX($D$19:$D$2018,MATCH(P404,$D$19:INDEX($D$19:$D$2018,$H$6),1)))*(INDEX($A$19:$A$2018,MATCH(P404,$D$19:INDEX($D$19:$D$2018,$H$6),1)+1)-INDEX($A$19:$A$2018,MATCH(P404,$D$19:INDEX($D$19:$D$2018,$H$6),1)))/(INDEX($D$19:$D$2018,MATCH(P404,$D$19:INDEX($D$19:$D$2018,$H$6),1)+1)-INDEX($D$19:$D$2018,MATCH(P404,$D$19:INDEX($D$19:$D$2018,$H$6),1))))))</f>
        <v/>
      </c>
      <c r="R404" s="8">
        <f>IF(P404=0,0,-Y404*N404/P404)</f>
        <v/>
      </c>
      <c r="S404" s="8">
        <f>IF(P404=0,0,Y404*O404/P404)</f>
        <v/>
      </c>
      <c r="T404" s="8">
        <f>IF(Y404=0,$B$7/2,$B$7/2-Z404*R404/Y404)</f>
        <v/>
      </c>
      <c r="U404" s="8">
        <f>IF(Y404=0,$B$8/2,$B$8/2+Z404*S404/Y404)</f>
        <v/>
      </c>
      <c r="V404" s="8">
        <f>SQRT((T404-L404)^2+(U404-M404)^2)</f>
        <v/>
      </c>
      <c r="Y404">
        <f>$B$10*TAN(RADIANS(Q404))</f>
        <v/>
      </c>
      <c r="Z404">
        <f>IF(OR($H$7&lt;&gt;"OK",Q404=""),"",IF(Q404&lt;=$A$19,$D$19,IF(Q404&gt;=INDEX($A$19:$A$2018,$H$6),INDEX($D$19:$D$2018,$H$6),INDEX($D$19:$D$2018,MATCH(Q404,$A$19:INDEX($A$19:$A$2018,$H$6),1))+(Q404-INDEX($A$19:$A$2018,MATCH(Q404,$A$19:INDEX($A$19:$A$2018,$H$6),1)))*(INDEX($D$19:$D$2018,MATCH(Q404,$A$19:INDEX($A$19:$A$2018,$H$6),1)+1)-INDEX($D$19:$D$2018,MATCH(Q404,$A$19:INDEX($A$19:$A$2018,$H$6),1)))/(INDEX($A$19:$A$2018,MATCH(Q404,$A$19:INDEX($A$19:$A$2018,$H$6),1)+1)-INDEX($A$19:$A$2018,MATCH(Q404,$A$19:INDEX($A$19:$A$2018,$H$6),1))))))</f>
        <v/>
      </c>
    </row>
    <row r="405">
      <c r="A405" s="11" t="n"/>
      <c r="B405" s="11" t="n"/>
      <c r="C405" s="12">
        <f>IF(A405="","",$B$9*TAN(RADIANS(A405)))</f>
        <v/>
      </c>
      <c r="D405" s="12">
        <f>IF(C405="","",C405*(1+B405/100))</f>
        <v/>
      </c>
      <c r="E405" s="12">
        <f>IF(A405="","",$B$10*TAN(RADIANS(A405)))</f>
        <v/>
      </c>
      <c r="G405" s="8" t="n">
        <v>387</v>
      </c>
      <c r="H405" s="8">
        <f>$K$13</f>
        <v/>
      </c>
      <c r="I405" s="7" t="inlineStr">
        <is>
          <t>豎</t>
        </is>
      </c>
      <c r="J405" s="8" t="n">
        <v>2</v>
      </c>
      <c r="K405" s="7" t="inlineStr">
        <is>
          <t>右下</t>
        </is>
      </c>
      <c r="L405" s="8">
        <f>$O$13+($M$13+$L$13)/2-$M$13/2+$L$13/2+1*2*$L$13+(1)*$L$13/2</f>
        <v/>
      </c>
      <c r="M405" s="8">
        <f>$P$13+(1)*$M$13/2</f>
        <v/>
      </c>
      <c r="N405" s="8">
        <f>L405-$B$7/2</f>
        <v/>
      </c>
      <c r="O405" s="8">
        <f>M405-$B$8/2</f>
        <v/>
      </c>
      <c r="P405" s="8">
        <f>SQRT(N405^2+O405^2)</f>
        <v/>
      </c>
      <c r="Q405" s="8">
        <f>IF(OR($H$7&lt;&gt;"OK",P405=""),"",IF(P405&lt;=$D$19,$A$19,IF(P405&gt;=INDEX($D$19:$D$2018,$H$6),INDEX($A$19:$A$2018,$H$6),INDEX($A$19:$A$2018,MATCH(P405,$D$19:INDEX($D$19:$D$2018,$H$6),1))+(P405-INDEX($D$19:$D$2018,MATCH(P405,$D$19:INDEX($D$19:$D$2018,$H$6),1)))*(INDEX($A$19:$A$2018,MATCH(P405,$D$19:INDEX($D$19:$D$2018,$H$6),1)+1)-INDEX($A$19:$A$2018,MATCH(P405,$D$19:INDEX($D$19:$D$2018,$H$6),1)))/(INDEX($D$19:$D$2018,MATCH(P405,$D$19:INDEX($D$19:$D$2018,$H$6),1)+1)-INDEX($D$19:$D$2018,MATCH(P405,$D$19:INDEX($D$19:$D$2018,$H$6),1))))))</f>
        <v/>
      </c>
      <c r="R405" s="8">
        <f>IF(P405=0,0,-Y405*N405/P405)</f>
        <v/>
      </c>
      <c r="S405" s="8">
        <f>IF(P405=0,0,Y405*O405/P405)</f>
        <v/>
      </c>
      <c r="T405" s="8">
        <f>IF(Y405=0,$B$7/2,$B$7/2-Z405*R405/Y405)</f>
        <v/>
      </c>
      <c r="U405" s="8">
        <f>IF(Y405=0,$B$8/2,$B$8/2+Z405*S405/Y405)</f>
        <v/>
      </c>
      <c r="V405" s="8">
        <f>SQRT((T405-L405)^2+(U405-M405)^2)</f>
        <v/>
      </c>
      <c r="Y405">
        <f>$B$10*TAN(RADIANS(Q405))</f>
        <v/>
      </c>
      <c r="Z405">
        <f>IF(OR($H$7&lt;&gt;"OK",Q405=""),"",IF(Q405&lt;=$A$19,$D$19,IF(Q405&gt;=INDEX($A$19:$A$2018,$H$6),INDEX($D$19:$D$2018,$H$6),INDEX($D$19:$D$2018,MATCH(Q405,$A$19:INDEX($A$19:$A$2018,$H$6),1))+(Q405-INDEX($A$19:$A$2018,MATCH(Q405,$A$19:INDEX($A$19:$A$2018,$H$6),1)))*(INDEX($D$19:$D$2018,MATCH(Q405,$A$19:INDEX($A$19:$A$2018,$H$6),1)+1)-INDEX($D$19:$D$2018,MATCH(Q405,$A$19:INDEX($A$19:$A$2018,$H$6),1)))/(INDEX($A$19:$A$2018,MATCH(Q405,$A$19:INDEX($A$19:$A$2018,$H$6),1)+1)-INDEX($A$19:$A$2018,MATCH(Q405,$A$19:INDEX($A$19:$A$2018,$H$6),1))))))</f>
        <v/>
      </c>
    </row>
    <row r="406">
      <c r="A406" s="11" t="n"/>
      <c r="B406" s="11" t="n"/>
      <c r="C406" s="12">
        <f>IF(A406="","",$B$9*TAN(RADIANS(A406)))</f>
        <v/>
      </c>
      <c r="D406" s="12">
        <f>IF(C406="","",C406*(1+B406/100))</f>
        <v/>
      </c>
      <c r="E406" s="12">
        <f>IF(A406="","",$B$10*TAN(RADIANS(A406)))</f>
        <v/>
      </c>
      <c r="G406" s="8" t="n">
        <v>388</v>
      </c>
      <c r="H406" s="8">
        <f>$K$13</f>
        <v/>
      </c>
      <c r="I406" s="7" t="inlineStr">
        <is>
          <t>豎</t>
        </is>
      </c>
      <c r="J406" s="8" t="n">
        <v>2</v>
      </c>
      <c r="K406" s="7" t="inlineStr">
        <is>
          <t>左下</t>
        </is>
      </c>
      <c r="L406" s="8">
        <f>$O$13+($M$13+$L$13)/2-$M$13/2+$L$13/2+1*2*$L$13+(-1)*$L$13/2</f>
        <v/>
      </c>
      <c r="M406" s="8">
        <f>$P$13+(1)*$M$13/2</f>
        <v/>
      </c>
      <c r="N406" s="8">
        <f>L406-$B$7/2</f>
        <v/>
      </c>
      <c r="O406" s="8">
        <f>M406-$B$8/2</f>
        <v/>
      </c>
      <c r="P406" s="8">
        <f>SQRT(N406^2+O406^2)</f>
        <v/>
      </c>
      <c r="Q406" s="8">
        <f>IF(OR($H$7&lt;&gt;"OK",P406=""),"",IF(P406&lt;=$D$19,$A$19,IF(P406&gt;=INDEX($D$19:$D$2018,$H$6),INDEX($A$19:$A$2018,$H$6),INDEX($A$19:$A$2018,MATCH(P406,$D$19:INDEX($D$19:$D$2018,$H$6),1))+(P406-INDEX($D$19:$D$2018,MATCH(P406,$D$19:INDEX($D$19:$D$2018,$H$6),1)))*(INDEX($A$19:$A$2018,MATCH(P406,$D$19:INDEX($D$19:$D$2018,$H$6),1)+1)-INDEX($A$19:$A$2018,MATCH(P406,$D$19:INDEX($D$19:$D$2018,$H$6),1)))/(INDEX($D$19:$D$2018,MATCH(P406,$D$19:INDEX($D$19:$D$2018,$H$6),1)+1)-INDEX($D$19:$D$2018,MATCH(P406,$D$19:INDEX($D$19:$D$2018,$H$6),1))))))</f>
        <v/>
      </c>
      <c r="R406" s="8">
        <f>IF(P406=0,0,-Y406*N406/P406)</f>
        <v/>
      </c>
      <c r="S406" s="8">
        <f>IF(P406=0,0,Y406*O406/P406)</f>
        <v/>
      </c>
      <c r="T406" s="8">
        <f>IF(Y406=0,$B$7/2,$B$7/2-Z406*R406/Y406)</f>
        <v/>
      </c>
      <c r="U406" s="8">
        <f>IF(Y406=0,$B$8/2,$B$8/2+Z406*S406/Y406)</f>
        <v/>
      </c>
      <c r="V406" s="8">
        <f>SQRT((T406-L406)^2+(U406-M406)^2)</f>
        <v/>
      </c>
      <c r="Y406">
        <f>$B$10*TAN(RADIANS(Q406))</f>
        <v/>
      </c>
      <c r="Z406">
        <f>IF(OR($H$7&lt;&gt;"OK",Q406=""),"",IF(Q406&lt;=$A$19,$D$19,IF(Q406&gt;=INDEX($A$19:$A$2018,$H$6),INDEX($D$19:$D$2018,$H$6),INDEX($D$19:$D$2018,MATCH(Q406,$A$19:INDEX($A$19:$A$2018,$H$6),1))+(Q406-INDEX($A$19:$A$2018,MATCH(Q406,$A$19:INDEX($A$19:$A$2018,$H$6),1)))*(INDEX($D$19:$D$2018,MATCH(Q406,$A$19:INDEX($A$19:$A$2018,$H$6),1)+1)-INDEX($D$19:$D$2018,MATCH(Q406,$A$19:INDEX($A$19:$A$2018,$H$6),1)))/(INDEX($A$19:$A$2018,MATCH(Q406,$A$19:INDEX($A$19:$A$2018,$H$6),1)+1)-INDEX($A$19:$A$2018,MATCH(Q406,$A$19:INDEX($A$19:$A$2018,$H$6),1))))))</f>
        <v/>
      </c>
    </row>
    <row r="407">
      <c r="A407" s="11" t="n"/>
      <c r="B407" s="11" t="n"/>
      <c r="C407" s="12">
        <f>IF(A407="","",$B$9*TAN(RADIANS(A407)))</f>
        <v/>
      </c>
      <c r="D407" s="12">
        <f>IF(C407="","",C407*(1+B407/100))</f>
        <v/>
      </c>
      <c r="E407" s="12">
        <f>IF(A407="","",$B$10*TAN(RADIANS(A407)))</f>
        <v/>
      </c>
      <c r="G407" s="8" t="n">
        <v>389</v>
      </c>
      <c r="H407" s="8">
        <f>$K$13</f>
        <v/>
      </c>
      <c r="I407" s="7" t="inlineStr">
        <is>
          <t>豎</t>
        </is>
      </c>
      <c r="J407" s="8" t="n">
        <v>3</v>
      </c>
      <c r="K407" s="7" t="inlineStr">
        <is>
          <t>左上</t>
        </is>
      </c>
      <c r="L407" s="8">
        <f>$O$13+($M$13+$L$13)/2-$M$13/2+$L$13/2+2*2*$L$13+(-1)*$L$13/2</f>
        <v/>
      </c>
      <c r="M407" s="8">
        <f>$P$13+(-1)*$M$13/2</f>
        <v/>
      </c>
      <c r="N407" s="8">
        <f>L407-$B$7/2</f>
        <v/>
      </c>
      <c r="O407" s="8">
        <f>M407-$B$8/2</f>
        <v/>
      </c>
      <c r="P407" s="8">
        <f>SQRT(N407^2+O407^2)</f>
        <v/>
      </c>
      <c r="Q407" s="8">
        <f>IF(OR($H$7&lt;&gt;"OK",P407=""),"",IF(P407&lt;=$D$19,$A$19,IF(P407&gt;=INDEX($D$19:$D$2018,$H$6),INDEX($A$19:$A$2018,$H$6),INDEX($A$19:$A$2018,MATCH(P407,$D$19:INDEX($D$19:$D$2018,$H$6),1))+(P407-INDEX($D$19:$D$2018,MATCH(P407,$D$19:INDEX($D$19:$D$2018,$H$6),1)))*(INDEX($A$19:$A$2018,MATCH(P407,$D$19:INDEX($D$19:$D$2018,$H$6),1)+1)-INDEX($A$19:$A$2018,MATCH(P407,$D$19:INDEX($D$19:$D$2018,$H$6),1)))/(INDEX($D$19:$D$2018,MATCH(P407,$D$19:INDEX($D$19:$D$2018,$H$6),1)+1)-INDEX($D$19:$D$2018,MATCH(P407,$D$19:INDEX($D$19:$D$2018,$H$6),1))))))</f>
        <v/>
      </c>
      <c r="R407" s="8">
        <f>IF(P407=0,0,-Y407*N407/P407)</f>
        <v/>
      </c>
      <c r="S407" s="8">
        <f>IF(P407=0,0,Y407*O407/P407)</f>
        <v/>
      </c>
      <c r="T407" s="8">
        <f>IF(Y407=0,$B$7/2,$B$7/2-Z407*R407/Y407)</f>
        <v/>
      </c>
      <c r="U407" s="8">
        <f>IF(Y407=0,$B$8/2,$B$8/2+Z407*S407/Y407)</f>
        <v/>
      </c>
      <c r="V407" s="8">
        <f>SQRT((T407-L407)^2+(U407-M407)^2)</f>
        <v/>
      </c>
      <c r="Y407">
        <f>$B$10*TAN(RADIANS(Q407))</f>
        <v/>
      </c>
      <c r="Z407">
        <f>IF(OR($H$7&lt;&gt;"OK",Q407=""),"",IF(Q407&lt;=$A$19,$D$19,IF(Q407&gt;=INDEX($A$19:$A$2018,$H$6),INDEX($D$19:$D$2018,$H$6),INDEX($D$19:$D$2018,MATCH(Q407,$A$19:INDEX($A$19:$A$2018,$H$6),1))+(Q407-INDEX($A$19:$A$2018,MATCH(Q407,$A$19:INDEX($A$19:$A$2018,$H$6),1)))*(INDEX($D$19:$D$2018,MATCH(Q407,$A$19:INDEX($A$19:$A$2018,$H$6),1)+1)-INDEX($D$19:$D$2018,MATCH(Q407,$A$19:INDEX($A$19:$A$2018,$H$6),1)))/(INDEX($A$19:$A$2018,MATCH(Q407,$A$19:INDEX($A$19:$A$2018,$H$6),1)+1)-INDEX($A$19:$A$2018,MATCH(Q407,$A$19:INDEX($A$19:$A$2018,$H$6),1))))))</f>
        <v/>
      </c>
    </row>
    <row r="408">
      <c r="A408" s="11" t="n"/>
      <c r="B408" s="11" t="n"/>
      <c r="C408" s="12">
        <f>IF(A408="","",$B$9*TAN(RADIANS(A408)))</f>
        <v/>
      </c>
      <c r="D408" s="12">
        <f>IF(C408="","",C408*(1+B408/100))</f>
        <v/>
      </c>
      <c r="E408" s="12">
        <f>IF(A408="","",$B$10*TAN(RADIANS(A408)))</f>
        <v/>
      </c>
      <c r="G408" s="8" t="n">
        <v>390</v>
      </c>
      <c r="H408" s="8">
        <f>$K$13</f>
        <v/>
      </c>
      <c r="I408" s="7" t="inlineStr">
        <is>
          <t>豎</t>
        </is>
      </c>
      <c r="J408" s="8" t="n">
        <v>3</v>
      </c>
      <c r="K408" s="7" t="inlineStr">
        <is>
          <t>右上</t>
        </is>
      </c>
      <c r="L408" s="8">
        <f>$O$13+($M$13+$L$13)/2-$M$13/2+$L$13/2+2*2*$L$13+(1)*$L$13/2</f>
        <v/>
      </c>
      <c r="M408" s="8">
        <f>$P$13+(-1)*$M$13/2</f>
        <v/>
      </c>
      <c r="N408" s="8">
        <f>L408-$B$7/2</f>
        <v/>
      </c>
      <c r="O408" s="8">
        <f>M408-$B$8/2</f>
        <v/>
      </c>
      <c r="P408" s="8">
        <f>SQRT(N408^2+O408^2)</f>
        <v/>
      </c>
      <c r="Q408" s="8">
        <f>IF(OR($H$7&lt;&gt;"OK",P408=""),"",IF(P408&lt;=$D$19,$A$19,IF(P408&gt;=INDEX($D$19:$D$2018,$H$6),INDEX($A$19:$A$2018,$H$6),INDEX($A$19:$A$2018,MATCH(P408,$D$19:INDEX($D$19:$D$2018,$H$6),1))+(P408-INDEX($D$19:$D$2018,MATCH(P408,$D$19:INDEX($D$19:$D$2018,$H$6),1)))*(INDEX($A$19:$A$2018,MATCH(P408,$D$19:INDEX($D$19:$D$2018,$H$6),1)+1)-INDEX($A$19:$A$2018,MATCH(P408,$D$19:INDEX($D$19:$D$2018,$H$6),1)))/(INDEX($D$19:$D$2018,MATCH(P408,$D$19:INDEX($D$19:$D$2018,$H$6),1)+1)-INDEX($D$19:$D$2018,MATCH(P408,$D$19:INDEX($D$19:$D$2018,$H$6),1))))))</f>
        <v/>
      </c>
      <c r="R408" s="8">
        <f>IF(P408=0,0,-Y408*N408/P408)</f>
        <v/>
      </c>
      <c r="S408" s="8">
        <f>IF(P408=0,0,Y408*O408/P408)</f>
        <v/>
      </c>
      <c r="T408" s="8">
        <f>IF(Y408=0,$B$7/2,$B$7/2-Z408*R408/Y408)</f>
        <v/>
      </c>
      <c r="U408" s="8">
        <f>IF(Y408=0,$B$8/2,$B$8/2+Z408*S408/Y408)</f>
        <v/>
      </c>
      <c r="V408" s="8">
        <f>SQRT((T408-L408)^2+(U408-M408)^2)</f>
        <v/>
      </c>
      <c r="Y408">
        <f>$B$10*TAN(RADIANS(Q408))</f>
        <v/>
      </c>
      <c r="Z408">
        <f>IF(OR($H$7&lt;&gt;"OK",Q408=""),"",IF(Q408&lt;=$A$19,$D$19,IF(Q408&gt;=INDEX($A$19:$A$2018,$H$6),INDEX($D$19:$D$2018,$H$6),INDEX($D$19:$D$2018,MATCH(Q408,$A$19:INDEX($A$19:$A$2018,$H$6),1))+(Q408-INDEX($A$19:$A$2018,MATCH(Q408,$A$19:INDEX($A$19:$A$2018,$H$6),1)))*(INDEX($D$19:$D$2018,MATCH(Q408,$A$19:INDEX($A$19:$A$2018,$H$6),1)+1)-INDEX($D$19:$D$2018,MATCH(Q408,$A$19:INDEX($A$19:$A$2018,$H$6),1)))/(INDEX($A$19:$A$2018,MATCH(Q408,$A$19:INDEX($A$19:$A$2018,$H$6),1)+1)-INDEX($A$19:$A$2018,MATCH(Q408,$A$19:INDEX($A$19:$A$2018,$H$6),1))))))</f>
        <v/>
      </c>
    </row>
    <row r="409">
      <c r="A409" s="11" t="n"/>
      <c r="B409" s="11" t="n"/>
      <c r="C409" s="12">
        <f>IF(A409="","",$B$9*TAN(RADIANS(A409)))</f>
        <v/>
      </c>
      <c r="D409" s="12">
        <f>IF(C409="","",C409*(1+B409/100))</f>
        <v/>
      </c>
      <c r="E409" s="12">
        <f>IF(A409="","",$B$10*TAN(RADIANS(A409)))</f>
        <v/>
      </c>
      <c r="G409" s="8" t="n">
        <v>391</v>
      </c>
      <c r="H409" s="8">
        <f>$K$13</f>
        <v/>
      </c>
      <c r="I409" s="7" t="inlineStr">
        <is>
          <t>豎</t>
        </is>
      </c>
      <c r="J409" s="8" t="n">
        <v>3</v>
      </c>
      <c r="K409" s="7" t="inlineStr">
        <is>
          <t>右下</t>
        </is>
      </c>
      <c r="L409" s="8">
        <f>$O$13+($M$13+$L$13)/2-$M$13/2+$L$13/2+2*2*$L$13+(1)*$L$13/2</f>
        <v/>
      </c>
      <c r="M409" s="8">
        <f>$P$13+(1)*$M$13/2</f>
        <v/>
      </c>
      <c r="N409" s="8">
        <f>L409-$B$7/2</f>
        <v/>
      </c>
      <c r="O409" s="8">
        <f>M409-$B$8/2</f>
        <v/>
      </c>
      <c r="P409" s="8">
        <f>SQRT(N409^2+O409^2)</f>
        <v/>
      </c>
      <c r="Q409" s="8">
        <f>IF(OR($H$7&lt;&gt;"OK",P409=""),"",IF(P409&lt;=$D$19,$A$19,IF(P409&gt;=INDEX($D$19:$D$2018,$H$6),INDEX($A$19:$A$2018,$H$6),INDEX($A$19:$A$2018,MATCH(P409,$D$19:INDEX($D$19:$D$2018,$H$6),1))+(P409-INDEX($D$19:$D$2018,MATCH(P409,$D$19:INDEX($D$19:$D$2018,$H$6),1)))*(INDEX($A$19:$A$2018,MATCH(P409,$D$19:INDEX($D$19:$D$2018,$H$6),1)+1)-INDEX($A$19:$A$2018,MATCH(P409,$D$19:INDEX($D$19:$D$2018,$H$6),1)))/(INDEX($D$19:$D$2018,MATCH(P409,$D$19:INDEX($D$19:$D$2018,$H$6),1)+1)-INDEX($D$19:$D$2018,MATCH(P409,$D$19:INDEX($D$19:$D$2018,$H$6),1))))))</f>
        <v/>
      </c>
      <c r="R409" s="8">
        <f>IF(P409=0,0,-Y409*N409/P409)</f>
        <v/>
      </c>
      <c r="S409" s="8">
        <f>IF(P409=0,0,Y409*O409/P409)</f>
        <v/>
      </c>
      <c r="T409" s="8">
        <f>IF(Y409=0,$B$7/2,$B$7/2-Z409*R409/Y409)</f>
        <v/>
      </c>
      <c r="U409" s="8">
        <f>IF(Y409=0,$B$8/2,$B$8/2+Z409*S409/Y409)</f>
        <v/>
      </c>
      <c r="V409" s="8">
        <f>SQRT((T409-L409)^2+(U409-M409)^2)</f>
        <v/>
      </c>
      <c r="Y409">
        <f>$B$10*TAN(RADIANS(Q409))</f>
        <v/>
      </c>
      <c r="Z409">
        <f>IF(OR($H$7&lt;&gt;"OK",Q409=""),"",IF(Q409&lt;=$A$19,$D$19,IF(Q409&gt;=INDEX($A$19:$A$2018,$H$6),INDEX($D$19:$D$2018,$H$6),INDEX($D$19:$D$2018,MATCH(Q409,$A$19:INDEX($A$19:$A$2018,$H$6),1))+(Q409-INDEX($A$19:$A$2018,MATCH(Q409,$A$19:INDEX($A$19:$A$2018,$H$6),1)))*(INDEX($D$19:$D$2018,MATCH(Q409,$A$19:INDEX($A$19:$A$2018,$H$6),1)+1)-INDEX($D$19:$D$2018,MATCH(Q409,$A$19:INDEX($A$19:$A$2018,$H$6),1)))/(INDEX($A$19:$A$2018,MATCH(Q409,$A$19:INDEX($A$19:$A$2018,$H$6),1)+1)-INDEX($A$19:$A$2018,MATCH(Q409,$A$19:INDEX($A$19:$A$2018,$H$6),1))))))</f>
        <v/>
      </c>
    </row>
    <row r="410">
      <c r="A410" s="11" t="n"/>
      <c r="B410" s="11" t="n"/>
      <c r="C410" s="12">
        <f>IF(A410="","",$B$9*TAN(RADIANS(A410)))</f>
        <v/>
      </c>
      <c r="D410" s="12">
        <f>IF(C410="","",C410*(1+B410/100))</f>
        <v/>
      </c>
      <c r="E410" s="12">
        <f>IF(A410="","",$B$10*TAN(RADIANS(A410)))</f>
        <v/>
      </c>
      <c r="G410" s="8" t="n">
        <v>392</v>
      </c>
      <c r="H410" s="8">
        <f>$K$13</f>
        <v/>
      </c>
      <c r="I410" s="7" t="inlineStr">
        <is>
          <t>豎</t>
        </is>
      </c>
      <c r="J410" s="8" t="n">
        <v>3</v>
      </c>
      <c r="K410" s="7" t="inlineStr">
        <is>
          <t>左下</t>
        </is>
      </c>
      <c r="L410" s="8">
        <f>$O$13+($M$13+$L$13)/2-$M$13/2+$L$13/2+2*2*$L$13+(-1)*$L$13/2</f>
        <v/>
      </c>
      <c r="M410" s="8">
        <f>$P$13+(1)*$M$13/2</f>
        <v/>
      </c>
      <c r="N410" s="8">
        <f>L410-$B$7/2</f>
        <v/>
      </c>
      <c r="O410" s="8">
        <f>M410-$B$8/2</f>
        <v/>
      </c>
      <c r="P410" s="8">
        <f>SQRT(N410^2+O410^2)</f>
        <v/>
      </c>
      <c r="Q410" s="8">
        <f>IF(OR($H$7&lt;&gt;"OK",P410=""),"",IF(P410&lt;=$D$19,$A$19,IF(P410&gt;=INDEX($D$19:$D$2018,$H$6),INDEX($A$19:$A$2018,$H$6),INDEX($A$19:$A$2018,MATCH(P410,$D$19:INDEX($D$19:$D$2018,$H$6),1))+(P410-INDEX($D$19:$D$2018,MATCH(P410,$D$19:INDEX($D$19:$D$2018,$H$6),1)))*(INDEX($A$19:$A$2018,MATCH(P410,$D$19:INDEX($D$19:$D$2018,$H$6),1)+1)-INDEX($A$19:$A$2018,MATCH(P410,$D$19:INDEX($D$19:$D$2018,$H$6),1)))/(INDEX($D$19:$D$2018,MATCH(P410,$D$19:INDEX($D$19:$D$2018,$H$6),1)+1)-INDEX($D$19:$D$2018,MATCH(P410,$D$19:INDEX($D$19:$D$2018,$H$6),1))))))</f>
        <v/>
      </c>
      <c r="R410" s="8">
        <f>IF(P410=0,0,-Y410*N410/P410)</f>
        <v/>
      </c>
      <c r="S410" s="8">
        <f>IF(P410=0,0,Y410*O410/P410)</f>
        <v/>
      </c>
      <c r="T410" s="8">
        <f>IF(Y410=0,$B$7/2,$B$7/2-Z410*R410/Y410)</f>
        <v/>
      </c>
      <c r="U410" s="8">
        <f>IF(Y410=0,$B$8/2,$B$8/2+Z410*S410/Y410)</f>
        <v/>
      </c>
      <c r="V410" s="8">
        <f>SQRT((T410-L410)^2+(U410-M410)^2)</f>
        <v/>
      </c>
      <c r="Y410">
        <f>$B$10*TAN(RADIANS(Q410))</f>
        <v/>
      </c>
      <c r="Z410">
        <f>IF(OR($H$7&lt;&gt;"OK",Q410=""),"",IF(Q410&lt;=$A$19,$D$19,IF(Q410&gt;=INDEX($A$19:$A$2018,$H$6),INDEX($D$19:$D$2018,$H$6),INDEX($D$19:$D$2018,MATCH(Q410,$A$19:INDEX($A$19:$A$2018,$H$6),1))+(Q410-INDEX($A$19:$A$2018,MATCH(Q410,$A$19:INDEX($A$19:$A$2018,$H$6),1)))*(INDEX($D$19:$D$2018,MATCH(Q410,$A$19:INDEX($A$19:$A$2018,$H$6),1)+1)-INDEX($D$19:$D$2018,MATCH(Q410,$A$19:INDEX($A$19:$A$2018,$H$6),1)))/(INDEX($A$19:$A$2018,MATCH(Q410,$A$19:INDEX($A$19:$A$2018,$H$6),1)+1)-INDEX($A$19:$A$2018,MATCH(Q410,$A$19:INDEX($A$19:$A$2018,$H$6),1))))))</f>
        <v/>
      </c>
    </row>
    <row r="411">
      <c r="A411" s="11" t="n"/>
      <c r="B411" s="11" t="n"/>
      <c r="C411" s="12">
        <f>IF(A411="","",$B$9*TAN(RADIANS(A411)))</f>
        <v/>
      </c>
      <c r="D411" s="12">
        <f>IF(C411="","",C411*(1+B411/100))</f>
        <v/>
      </c>
      <c r="E411" s="12">
        <f>IF(A411="","",$B$10*TAN(RADIANS(A411)))</f>
        <v/>
      </c>
      <c r="G411" s="8" t="n">
        <v>393</v>
      </c>
      <c r="H411" s="8">
        <f>$K$13</f>
        <v/>
      </c>
      <c r="I411" s="7" t="inlineStr">
        <is>
          <t>豎</t>
        </is>
      </c>
      <c r="J411" s="8" t="n">
        <v>4</v>
      </c>
      <c r="K411" s="7" t="inlineStr">
        <is>
          <t>左上</t>
        </is>
      </c>
      <c r="L411" s="8">
        <f>$O$13+($M$13+$L$13)/2-$M$13/2+$L$13/2+3*2*$L$13+(-1)*$L$13/2</f>
        <v/>
      </c>
      <c r="M411" s="8">
        <f>$P$13+(-1)*$M$13/2</f>
        <v/>
      </c>
      <c r="N411" s="8">
        <f>L411-$B$7/2</f>
        <v/>
      </c>
      <c r="O411" s="8">
        <f>M411-$B$8/2</f>
        <v/>
      </c>
      <c r="P411" s="8">
        <f>SQRT(N411^2+O411^2)</f>
        <v/>
      </c>
      <c r="Q411" s="8">
        <f>IF(OR($H$7&lt;&gt;"OK",P411=""),"",IF(P411&lt;=$D$19,$A$19,IF(P411&gt;=INDEX($D$19:$D$2018,$H$6),INDEX($A$19:$A$2018,$H$6),INDEX($A$19:$A$2018,MATCH(P411,$D$19:INDEX($D$19:$D$2018,$H$6),1))+(P411-INDEX($D$19:$D$2018,MATCH(P411,$D$19:INDEX($D$19:$D$2018,$H$6),1)))*(INDEX($A$19:$A$2018,MATCH(P411,$D$19:INDEX($D$19:$D$2018,$H$6),1)+1)-INDEX($A$19:$A$2018,MATCH(P411,$D$19:INDEX($D$19:$D$2018,$H$6),1)))/(INDEX($D$19:$D$2018,MATCH(P411,$D$19:INDEX($D$19:$D$2018,$H$6),1)+1)-INDEX($D$19:$D$2018,MATCH(P411,$D$19:INDEX($D$19:$D$2018,$H$6),1))))))</f>
        <v/>
      </c>
      <c r="R411" s="8">
        <f>IF(P411=0,0,-Y411*N411/P411)</f>
        <v/>
      </c>
      <c r="S411" s="8">
        <f>IF(P411=0,0,Y411*O411/P411)</f>
        <v/>
      </c>
      <c r="T411" s="8">
        <f>IF(Y411=0,$B$7/2,$B$7/2-Z411*R411/Y411)</f>
        <v/>
      </c>
      <c r="U411" s="8">
        <f>IF(Y411=0,$B$8/2,$B$8/2+Z411*S411/Y411)</f>
        <v/>
      </c>
      <c r="V411" s="8">
        <f>SQRT((T411-L411)^2+(U411-M411)^2)</f>
        <v/>
      </c>
      <c r="Y411">
        <f>$B$10*TAN(RADIANS(Q411))</f>
        <v/>
      </c>
      <c r="Z411">
        <f>IF(OR($H$7&lt;&gt;"OK",Q411=""),"",IF(Q411&lt;=$A$19,$D$19,IF(Q411&gt;=INDEX($A$19:$A$2018,$H$6),INDEX($D$19:$D$2018,$H$6),INDEX($D$19:$D$2018,MATCH(Q411,$A$19:INDEX($A$19:$A$2018,$H$6),1))+(Q411-INDEX($A$19:$A$2018,MATCH(Q411,$A$19:INDEX($A$19:$A$2018,$H$6),1)))*(INDEX($D$19:$D$2018,MATCH(Q411,$A$19:INDEX($A$19:$A$2018,$H$6),1)+1)-INDEX($D$19:$D$2018,MATCH(Q411,$A$19:INDEX($A$19:$A$2018,$H$6),1)))/(INDEX($A$19:$A$2018,MATCH(Q411,$A$19:INDEX($A$19:$A$2018,$H$6),1)+1)-INDEX($A$19:$A$2018,MATCH(Q411,$A$19:INDEX($A$19:$A$2018,$H$6),1))))))</f>
        <v/>
      </c>
    </row>
    <row r="412">
      <c r="A412" s="11" t="n"/>
      <c r="B412" s="11" t="n"/>
      <c r="C412" s="12">
        <f>IF(A412="","",$B$9*TAN(RADIANS(A412)))</f>
        <v/>
      </c>
      <c r="D412" s="12">
        <f>IF(C412="","",C412*(1+B412/100))</f>
        <v/>
      </c>
      <c r="E412" s="12">
        <f>IF(A412="","",$B$10*TAN(RADIANS(A412)))</f>
        <v/>
      </c>
      <c r="G412" s="8" t="n">
        <v>394</v>
      </c>
      <c r="H412" s="8">
        <f>$K$13</f>
        <v/>
      </c>
      <c r="I412" s="7" t="inlineStr">
        <is>
          <t>豎</t>
        </is>
      </c>
      <c r="J412" s="8" t="n">
        <v>4</v>
      </c>
      <c r="K412" s="7" t="inlineStr">
        <is>
          <t>右上</t>
        </is>
      </c>
      <c r="L412" s="8">
        <f>$O$13+($M$13+$L$13)/2-$M$13/2+$L$13/2+3*2*$L$13+(1)*$L$13/2</f>
        <v/>
      </c>
      <c r="M412" s="8">
        <f>$P$13+(-1)*$M$13/2</f>
        <v/>
      </c>
      <c r="N412" s="8">
        <f>L412-$B$7/2</f>
        <v/>
      </c>
      <c r="O412" s="8">
        <f>M412-$B$8/2</f>
        <v/>
      </c>
      <c r="P412" s="8">
        <f>SQRT(N412^2+O412^2)</f>
        <v/>
      </c>
      <c r="Q412" s="8">
        <f>IF(OR($H$7&lt;&gt;"OK",P412=""),"",IF(P412&lt;=$D$19,$A$19,IF(P412&gt;=INDEX($D$19:$D$2018,$H$6),INDEX($A$19:$A$2018,$H$6),INDEX($A$19:$A$2018,MATCH(P412,$D$19:INDEX($D$19:$D$2018,$H$6),1))+(P412-INDEX($D$19:$D$2018,MATCH(P412,$D$19:INDEX($D$19:$D$2018,$H$6),1)))*(INDEX($A$19:$A$2018,MATCH(P412,$D$19:INDEX($D$19:$D$2018,$H$6),1)+1)-INDEX($A$19:$A$2018,MATCH(P412,$D$19:INDEX($D$19:$D$2018,$H$6),1)))/(INDEX($D$19:$D$2018,MATCH(P412,$D$19:INDEX($D$19:$D$2018,$H$6),1)+1)-INDEX($D$19:$D$2018,MATCH(P412,$D$19:INDEX($D$19:$D$2018,$H$6),1))))))</f>
        <v/>
      </c>
      <c r="R412" s="8">
        <f>IF(P412=0,0,-Y412*N412/P412)</f>
        <v/>
      </c>
      <c r="S412" s="8">
        <f>IF(P412=0,0,Y412*O412/P412)</f>
        <v/>
      </c>
      <c r="T412" s="8">
        <f>IF(Y412=0,$B$7/2,$B$7/2-Z412*R412/Y412)</f>
        <v/>
      </c>
      <c r="U412" s="8">
        <f>IF(Y412=0,$B$8/2,$B$8/2+Z412*S412/Y412)</f>
        <v/>
      </c>
      <c r="V412" s="8">
        <f>SQRT((T412-L412)^2+(U412-M412)^2)</f>
        <v/>
      </c>
      <c r="Y412">
        <f>$B$10*TAN(RADIANS(Q412))</f>
        <v/>
      </c>
      <c r="Z412">
        <f>IF(OR($H$7&lt;&gt;"OK",Q412=""),"",IF(Q412&lt;=$A$19,$D$19,IF(Q412&gt;=INDEX($A$19:$A$2018,$H$6),INDEX($D$19:$D$2018,$H$6),INDEX($D$19:$D$2018,MATCH(Q412,$A$19:INDEX($A$19:$A$2018,$H$6),1))+(Q412-INDEX($A$19:$A$2018,MATCH(Q412,$A$19:INDEX($A$19:$A$2018,$H$6),1)))*(INDEX($D$19:$D$2018,MATCH(Q412,$A$19:INDEX($A$19:$A$2018,$H$6),1)+1)-INDEX($D$19:$D$2018,MATCH(Q412,$A$19:INDEX($A$19:$A$2018,$H$6),1)))/(INDEX($A$19:$A$2018,MATCH(Q412,$A$19:INDEX($A$19:$A$2018,$H$6),1)+1)-INDEX($A$19:$A$2018,MATCH(Q412,$A$19:INDEX($A$19:$A$2018,$H$6),1))))))</f>
        <v/>
      </c>
    </row>
    <row r="413">
      <c r="A413" s="11" t="n"/>
      <c r="B413" s="11" t="n"/>
      <c r="C413" s="12">
        <f>IF(A413="","",$B$9*TAN(RADIANS(A413)))</f>
        <v/>
      </c>
      <c r="D413" s="12">
        <f>IF(C413="","",C413*(1+B413/100))</f>
        <v/>
      </c>
      <c r="E413" s="12">
        <f>IF(A413="","",$B$10*TAN(RADIANS(A413)))</f>
        <v/>
      </c>
      <c r="G413" s="8" t="n">
        <v>395</v>
      </c>
      <c r="H413" s="8">
        <f>$K$13</f>
        <v/>
      </c>
      <c r="I413" s="7" t="inlineStr">
        <is>
          <t>豎</t>
        </is>
      </c>
      <c r="J413" s="8" t="n">
        <v>4</v>
      </c>
      <c r="K413" s="7" t="inlineStr">
        <is>
          <t>右下</t>
        </is>
      </c>
      <c r="L413" s="8">
        <f>$O$13+($M$13+$L$13)/2-$M$13/2+$L$13/2+3*2*$L$13+(1)*$L$13/2</f>
        <v/>
      </c>
      <c r="M413" s="8">
        <f>$P$13+(1)*$M$13/2</f>
        <v/>
      </c>
      <c r="N413" s="8">
        <f>L413-$B$7/2</f>
        <v/>
      </c>
      <c r="O413" s="8">
        <f>M413-$B$8/2</f>
        <v/>
      </c>
      <c r="P413" s="8">
        <f>SQRT(N413^2+O413^2)</f>
        <v/>
      </c>
      <c r="Q413" s="8">
        <f>IF(OR($H$7&lt;&gt;"OK",P413=""),"",IF(P413&lt;=$D$19,$A$19,IF(P413&gt;=INDEX($D$19:$D$2018,$H$6),INDEX($A$19:$A$2018,$H$6),INDEX($A$19:$A$2018,MATCH(P413,$D$19:INDEX($D$19:$D$2018,$H$6),1))+(P413-INDEX($D$19:$D$2018,MATCH(P413,$D$19:INDEX($D$19:$D$2018,$H$6),1)))*(INDEX($A$19:$A$2018,MATCH(P413,$D$19:INDEX($D$19:$D$2018,$H$6),1)+1)-INDEX($A$19:$A$2018,MATCH(P413,$D$19:INDEX($D$19:$D$2018,$H$6),1)))/(INDEX($D$19:$D$2018,MATCH(P413,$D$19:INDEX($D$19:$D$2018,$H$6),1)+1)-INDEX($D$19:$D$2018,MATCH(P413,$D$19:INDEX($D$19:$D$2018,$H$6),1))))))</f>
        <v/>
      </c>
      <c r="R413" s="8">
        <f>IF(P413=0,0,-Y413*N413/P413)</f>
        <v/>
      </c>
      <c r="S413" s="8">
        <f>IF(P413=0,0,Y413*O413/P413)</f>
        <v/>
      </c>
      <c r="T413" s="8">
        <f>IF(Y413=0,$B$7/2,$B$7/2-Z413*R413/Y413)</f>
        <v/>
      </c>
      <c r="U413" s="8">
        <f>IF(Y413=0,$B$8/2,$B$8/2+Z413*S413/Y413)</f>
        <v/>
      </c>
      <c r="V413" s="8">
        <f>SQRT((T413-L413)^2+(U413-M413)^2)</f>
        <v/>
      </c>
      <c r="Y413">
        <f>$B$10*TAN(RADIANS(Q413))</f>
        <v/>
      </c>
      <c r="Z413">
        <f>IF(OR($H$7&lt;&gt;"OK",Q413=""),"",IF(Q413&lt;=$A$19,$D$19,IF(Q413&gt;=INDEX($A$19:$A$2018,$H$6),INDEX($D$19:$D$2018,$H$6),INDEX($D$19:$D$2018,MATCH(Q413,$A$19:INDEX($A$19:$A$2018,$H$6),1))+(Q413-INDEX($A$19:$A$2018,MATCH(Q413,$A$19:INDEX($A$19:$A$2018,$H$6),1)))*(INDEX($D$19:$D$2018,MATCH(Q413,$A$19:INDEX($A$19:$A$2018,$H$6),1)+1)-INDEX($D$19:$D$2018,MATCH(Q413,$A$19:INDEX($A$19:$A$2018,$H$6),1)))/(INDEX($A$19:$A$2018,MATCH(Q413,$A$19:INDEX($A$19:$A$2018,$H$6),1)+1)-INDEX($A$19:$A$2018,MATCH(Q413,$A$19:INDEX($A$19:$A$2018,$H$6),1))))))</f>
        <v/>
      </c>
    </row>
    <row r="414">
      <c r="A414" s="11" t="n"/>
      <c r="B414" s="11" t="n"/>
      <c r="C414" s="12">
        <f>IF(A414="","",$B$9*TAN(RADIANS(A414)))</f>
        <v/>
      </c>
      <c r="D414" s="12">
        <f>IF(C414="","",C414*(1+B414/100))</f>
        <v/>
      </c>
      <c r="E414" s="12">
        <f>IF(A414="","",$B$10*TAN(RADIANS(A414)))</f>
        <v/>
      </c>
      <c r="G414" s="8" t="n">
        <v>396</v>
      </c>
      <c r="H414" s="8">
        <f>$K$13</f>
        <v/>
      </c>
      <c r="I414" s="7" t="inlineStr">
        <is>
          <t>豎</t>
        </is>
      </c>
      <c r="J414" s="8" t="n">
        <v>4</v>
      </c>
      <c r="K414" s="7" t="inlineStr">
        <is>
          <t>左下</t>
        </is>
      </c>
      <c r="L414" s="8">
        <f>$O$13+($M$13+$L$13)/2-$M$13/2+$L$13/2+3*2*$L$13+(-1)*$L$13/2</f>
        <v/>
      </c>
      <c r="M414" s="8">
        <f>$P$13+(1)*$M$13/2</f>
        <v/>
      </c>
      <c r="N414" s="8">
        <f>L414-$B$7/2</f>
        <v/>
      </c>
      <c r="O414" s="8">
        <f>M414-$B$8/2</f>
        <v/>
      </c>
      <c r="P414" s="8">
        <f>SQRT(N414^2+O414^2)</f>
        <v/>
      </c>
      <c r="Q414" s="8">
        <f>IF(OR($H$7&lt;&gt;"OK",P414=""),"",IF(P414&lt;=$D$19,$A$19,IF(P414&gt;=INDEX($D$19:$D$2018,$H$6),INDEX($A$19:$A$2018,$H$6),INDEX($A$19:$A$2018,MATCH(P414,$D$19:INDEX($D$19:$D$2018,$H$6),1))+(P414-INDEX($D$19:$D$2018,MATCH(P414,$D$19:INDEX($D$19:$D$2018,$H$6),1)))*(INDEX($A$19:$A$2018,MATCH(P414,$D$19:INDEX($D$19:$D$2018,$H$6),1)+1)-INDEX($A$19:$A$2018,MATCH(P414,$D$19:INDEX($D$19:$D$2018,$H$6),1)))/(INDEX($D$19:$D$2018,MATCH(P414,$D$19:INDEX($D$19:$D$2018,$H$6),1)+1)-INDEX($D$19:$D$2018,MATCH(P414,$D$19:INDEX($D$19:$D$2018,$H$6),1))))))</f>
        <v/>
      </c>
      <c r="R414" s="8">
        <f>IF(P414=0,0,-Y414*N414/P414)</f>
        <v/>
      </c>
      <c r="S414" s="8">
        <f>IF(P414=0,0,Y414*O414/P414)</f>
        <v/>
      </c>
      <c r="T414" s="8">
        <f>IF(Y414=0,$B$7/2,$B$7/2-Z414*R414/Y414)</f>
        <v/>
      </c>
      <c r="U414" s="8">
        <f>IF(Y414=0,$B$8/2,$B$8/2+Z414*S414/Y414)</f>
        <v/>
      </c>
      <c r="V414" s="8">
        <f>SQRT((T414-L414)^2+(U414-M414)^2)</f>
        <v/>
      </c>
      <c r="Y414">
        <f>$B$10*TAN(RADIANS(Q414))</f>
        <v/>
      </c>
      <c r="Z414">
        <f>IF(OR($H$7&lt;&gt;"OK",Q414=""),"",IF(Q414&lt;=$A$19,$D$19,IF(Q414&gt;=INDEX($A$19:$A$2018,$H$6),INDEX($D$19:$D$2018,$H$6),INDEX($D$19:$D$2018,MATCH(Q414,$A$19:INDEX($A$19:$A$2018,$H$6),1))+(Q414-INDEX($A$19:$A$2018,MATCH(Q414,$A$19:INDEX($A$19:$A$2018,$H$6),1)))*(INDEX($D$19:$D$2018,MATCH(Q414,$A$19:INDEX($A$19:$A$2018,$H$6),1)+1)-INDEX($D$19:$D$2018,MATCH(Q414,$A$19:INDEX($A$19:$A$2018,$H$6),1)))/(INDEX($A$19:$A$2018,MATCH(Q414,$A$19:INDEX($A$19:$A$2018,$H$6),1)+1)-INDEX($A$19:$A$2018,MATCH(Q414,$A$19:INDEX($A$19:$A$2018,$H$6),1))))))</f>
        <v/>
      </c>
    </row>
    <row r="415">
      <c r="A415" s="11" t="n"/>
      <c r="B415" s="11" t="n"/>
      <c r="C415" s="12">
        <f>IF(A415="","",$B$9*TAN(RADIANS(A415)))</f>
        <v/>
      </c>
      <c r="D415" s="12">
        <f>IF(C415="","",C415*(1+B415/100))</f>
        <v/>
      </c>
      <c r="E415" s="12">
        <f>IF(A415="","",$B$10*TAN(RADIANS(A415)))</f>
        <v/>
      </c>
      <c r="G415" s="8" t="n">
        <v>397</v>
      </c>
      <c r="H415" s="8">
        <f>$K$13</f>
        <v/>
      </c>
      <c r="I415" s="7" t="inlineStr">
        <is>
          <t>豎</t>
        </is>
      </c>
      <c r="J415" s="8" t="n">
        <v>5</v>
      </c>
      <c r="K415" s="7" t="inlineStr">
        <is>
          <t>左上</t>
        </is>
      </c>
      <c r="L415" s="8">
        <f>$O$13+($M$13+$L$13)/2-$M$13/2+$L$13/2+4*2*$L$13+(-1)*$L$13/2</f>
        <v/>
      </c>
      <c r="M415" s="8">
        <f>$P$13+(-1)*$M$13/2</f>
        <v/>
      </c>
      <c r="N415" s="8">
        <f>L415-$B$7/2</f>
        <v/>
      </c>
      <c r="O415" s="8">
        <f>M415-$B$8/2</f>
        <v/>
      </c>
      <c r="P415" s="8">
        <f>SQRT(N415^2+O415^2)</f>
        <v/>
      </c>
      <c r="Q415" s="8">
        <f>IF(OR($H$7&lt;&gt;"OK",P415=""),"",IF(P415&lt;=$D$19,$A$19,IF(P415&gt;=INDEX($D$19:$D$2018,$H$6),INDEX($A$19:$A$2018,$H$6),INDEX($A$19:$A$2018,MATCH(P415,$D$19:INDEX($D$19:$D$2018,$H$6),1))+(P415-INDEX($D$19:$D$2018,MATCH(P415,$D$19:INDEX($D$19:$D$2018,$H$6),1)))*(INDEX($A$19:$A$2018,MATCH(P415,$D$19:INDEX($D$19:$D$2018,$H$6),1)+1)-INDEX($A$19:$A$2018,MATCH(P415,$D$19:INDEX($D$19:$D$2018,$H$6),1)))/(INDEX($D$19:$D$2018,MATCH(P415,$D$19:INDEX($D$19:$D$2018,$H$6),1)+1)-INDEX($D$19:$D$2018,MATCH(P415,$D$19:INDEX($D$19:$D$2018,$H$6),1))))))</f>
        <v/>
      </c>
      <c r="R415" s="8">
        <f>IF(P415=0,0,-Y415*N415/P415)</f>
        <v/>
      </c>
      <c r="S415" s="8">
        <f>IF(P415=0,0,Y415*O415/P415)</f>
        <v/>
      </c>
      <c r="T415" s="8">
        <f>IF(Y415=0,$B$7/2,$B$7/2-Z415*R415/Y415)</f>
        <v/>
      </c>
      <c r="U415" s="8">
        <f>IF(Y415=0,$B$8/2,$B$8/2+Z415*S415/Y415)</f>
        <v/>
      </c>
      <c r="V415" s="8">
        <f>SQRT((T415-L415)^2+(U415-M415)^2)</f>
        <v/>
      </c>
      <c r="Y415">
        <f>$B$10*TAN(RADIANS(Q415))</f>
        <v/>
      </c>
      <c r="Z415">
        <f>IF(OR($H$7&lt;&gt;"OK",Q415=""),"",IF(Q415&lt;=$A$19,$D$19,IF(Q415&gt;=INDEX($A$19:$A$2018,$H$6),INDEX($D$19:$D$2018,$H$6),INDEX($D$19:$D$2018,MATCH(Q415,$A$19:INDEX($A$19:$A$2018,$H$6),1))+(Q415-INDEX($A$19:$A$2018,MATCH(Q415,$A$19:INDEX($A$19:$A$2018,$H$6),1)))*(INDEX($D$19:$D$2018,MATCH(Q415,$A$19:INDEX($A$19:$A$2018,$H$6),1)+1)-INDEX($D$19:$D$2018,MATCH(Q415,$A$19:INDEX($A$19:$A$2018,$H$6),1)))/(INDEX($A$19:$A$2018,MATCH(Q415,$A$19:INDEX($A$19:$A$2018,$H$6),1)+1)-INDEX($A$19:$A$2018,MATCH(Q415,$A$19:INDEX($A$19:$A$2018,$H$6),1))))))</f>
        <v/>
      </c>
    </row>
    <row r="416">
      <c r="A416" s="11" t="n"/>
      <c r="B416" s="11" t="n"/>
      <c r="C416" s="12">
        <f>IF(A416="","",$B$9*TAN(RADIANS(A416)))</f>
        <v/>
      </c>
      <c r="D416" s="12">
        <f>IF(C416="","",C416*(1+B416/100))</f>
        <v/>
      </c>
      <c r="E416" s="12">
        <f>IF(A416="","",$B$10*TAN(RADIANS(A416)))</f>
        <v/>
      </c>
      <c r="G416" s="8" t="n">
        <v>398</v>
      </c>
      <c r="H416" s="8">
        <f>$K$13</f>
        <v/>
      </c>
      <c r="I416" s="7" t="inlineStr">
        <is>
          <t>豎</t>
        </is>
      </c>
      <c r="J416" s="8" t="n">
        <v>5</v>
      </c>
      <c r="K416" s="7" t="inlineStr">
        <is>
          <t>右上</t>
        </is>
      </c>
      <c r="L416" s="8">
        <f>$O$13+($M$13+$L$13)/2-$M$13/2+$L$13/2+4*2*$L$13+(1)*$L$13/2</f>
        <v/>
      </c>
      <c r="M416" s="8">
        <f>$P$13+(-1)*$M$13/2</f>
        <v/>
      </c>
      <c r="N416" s="8">
        <f>L416-$B$7/2</f>
        <v/>
      </c>
      <c r="O416" s="8">
        <f>M416-$B$8/2</f>
        <v/>
      </c>
      <c r="P416" s="8">
        <f>SQRT(N416^2+O416^2)</f>
        <v/>
      </c>
      <c r="Q416" s="8">
        <f>IF(OR($H$7&lt;&gt;"OK",P416=""),"",IF(P416&lt;=$D$19,$A$19,IF(P416&gt;=INDEX($D$19:$D$2018,$H$6),INDEX($A$19:$A$2018,$H$6),INDEX($A$19:$A$2018,MATCH(P416,$D$19:INDEX($D$19:$D$2018,$H$6),1))+(P416-INDEX($D$19:$D$2018,MATCH(P416,$D$19:INDEX($D$19:$D$2018,$H$6),1)))*(INDEX($A$19:$A$2018,MATCH(P416,$D$19:INDEX($D$19:$D$2018,$H$6),1)+1)-INDEX($A$19:$A$2018,MATCH(P416,$D$19:INDEX($D$19:$D$2018,$H$6),1)))/(INDEX($D$19:$D$2018,MATCH(P416,$D$19:INDEX($D$19:$D$2018,$H$6),1)+1)-INDEX($D$19:$D$2018,MATCH(P416,$D$19:INDEX($D$19:$D$2018,$H$6),1))))))</f>
        <v/>
      </c>
      <c r="R416" s="8">
        <f>IF(P416=0,0,-Y416*N416/P416)</f>
        <v/>
      </c>
      <c r="S416" s="8">
        <f>IF(P416=0,0,Y416*O416/P416)</f>
        <v/>
      </c>
      <c r="T416" s="8">
        <f>IF(Y416=0,$B$7/2,$B$7/2-Z416*R416/Y416)</f>
        <v/>
      </c>
      <c r="U416" s="8">
        <f>IF(Y416=0,$B$8/2,$B$8/2+Z416*S416/Y416)</f>
        <v/>
      </c>
      <c r="V416" s="8">
        <f>SQRT((T416-L416)^2+(U416-M416)^2)</f>
        <v/>
      </c>
      <c r="Y416">
        <f>$B$10*TAN(RADIANS(Q416))</f>
        <v/>
      </c>
      <c r="Z416">
        <f>IF(OR($H$7&lt;&gt;"OK",Q416=""),"",IF(Q416&lt;=$A$19,$D$19,IF(Q416&gt;=INDEX($A$19:$A$2018,$H$6),INDEX($D$19:$D$2018,$H$6),INDEX($D$19:$D$2018,MATCH(Q416,$A$19:INDEX($A$19:$A$2018,$H$6),1))+(Q416-INDEX($A$19:$A$2018,MATCH(Q416,$A$19:INDEX($A$19:$A$2018,$H$6),1)))*(INDEX($D$19:$D$2018,MATCH(Q416,$A$19:INDEX($A$19:$A$2018,$H$6),1)+1)-INDEX($D$19:$D$2018,MATCH(Q416,$A$19:INDEX($A$19:$A$2018,$H$6),1)))/(INDEX($A$19:$A$2018,MATCH(Q416,$A$19:INDEX($A$19:$A$2018,$H$6),1)+1)-INDEX($A$19:$A$2018,MATCH(Q416,$A$19:INDEX($A$19:$A$2018,$H$6),1))))))</f>
        <v/>
      </c>
    </row>
    <row r="417">
      <c r="A417" s="11" t="n"/>
      <c r="B417" s="11" t="n"/>
      <c r="C417" s="12">
        <f>IF(A417="","",$B$9*TAN(RADIANS(A417)))</f>
        <v/>
      </c>
      <c r="D417" s="12">
        <f>IF(C417="","",C417*(1+B417/100))</f>
        <v/>
      </c>
      <c r="E417" s="12">
        <f>IF(A417="","",$B$10*TAN(RADIANS(A417)))</f>
        <v/>
      </c>
      <c r="G417" s="8" t="n">
        <v>399</v>
      </c>
      <c r="H417" s="8">
        <f>$K$13</f>
        <v/>
      </c>
      <c r="I417" s="7" t="inlineStr">
        <is>
          <t>豎</t>
        </is>
      </c>
      <c r="J417" s="8" t="n">
        <v>5</v>
      </c>
      <c r="K417" s="7" t="inlineStr">
        <is>
          <t>右下</t>
        </is>
      </c>
      <c r="L417" s="8">
        <f>$O$13+($M$13+$L$13)/2-$M$13/2+$L$13/2+4*2*$L$13+(1)*$L$13/2</f>
        <v/>
      </c>
      <c r="M417" s="8">
        <f>$P$13+(1)*$M$13/2</f>
        <v/>
      </c>
      <c r="N417" s="8">
        <f>L417-$B$7/2</f>
        <v/>
      </c>
      <c r="O417" s="8">
        <f>M417-$B$8/2</f>
        <v/>
      </c>
      <c r="P417" s="8">
        <f>SQRT(N417^2+O417^2)</f>
        <v/>
      </c>
      <c r="Q417" s="8">
        <f>IF(OR($H$7&lt;&gt;"OK",P417=""),"",IF(P417&lt;=$D$19,$A$19,IF(P417&gt;=INDEX($D$19:$D$2018,$H$6),INDEX($A$19:$A$2018,$H$6),INDEX($A$19:$A$2018,MATCH(P417,$D$19:INDEX($D$19:$D$2018,$H$6),1))+(P417-INDEX($D$19:$D$2018,MATCH(P417,$D$19:INDEX($D$19:$D$2018,$H$6),1)))*(INDEX($A$19:$A$2018,MATCH(P417,$D$19:INDEX($D$19:$D$2018,$H$6),1)+1)-INDEX($A$19:$A$2018,MATCH(P417,$D$19:INDEX($D$19:$D$2018,$H$6),1)))/(INDEX($D$19:$D$2018,MATCH(P417,$D$19:INDEX($D$19:$D$2018,$H$6),1)+1)-INDEX($D$19:$D$2018,MATCH(P417,$D$19:INDEX($D$19:$D$2018,$H$6),1))))))</f>
        <v/>
      </c>
      <c r="R417" s="8">
        <f>IF(P417=0,0,-Y417*N417/P417)</f>
        <v/>
      </c>
      <c r="S417" s="8">
        <f>IF(P417=0,0,Y417*O417/P417)</f>
        <v/>
      </c>
      <c r="T417" s="8">
        <f>IF(Y417=0,$B$7/2,$B$7/2-Z417*R417/Y417)</f>
        <v/>
      </c>
      <c r="U417" s="8">
        <f>IF(Y417=0,$B$8/2,$B$8/2+Z417*S417/Y417)</f>
        <v/>
      </c>
      <c r="V417" s="8">
        <f>SQRT((T417-L417)^2+(U417-M417)^2)</f>
        <v/>
      </c>
      <c r="Y417">
        <f>$B$10*TAN(RADIANS(Q417))</f>
        <v/>
      </c>
      <c r="Z417">
        <f>IF(OR($H$7&lt;&gt;"OK",Q417=""),"",IF(Q417&lt;=$A$19,$D$19,IF(Q417&gt;=INDEX($A$19:$A$2018,$H$6),INDEX($D$19:$D$2018,$H$6),INDEX($D$19:$D$2018,MATCH(Q417,$A$19:INDEX($A$19:$A$2018,$H$6),1))+(Q417-INDEX($A$19:$A$2018,MATCH(Q417,$A$19:INDEX($A$19:$A$2018,$H$6),1)))*(INDEX($D$19:$D$2018,MATCH(Q417,$A$19:INDEX($A$19:$A$2018,$H$6),1)+1)-INDEX($D$19:$D$2018,MATCH(Q417,$A$19:INDEX($A$19:$A$2018,$H$6),1)))/(INDEX($A$19:$A$2018,MATCH(Q417,$A$19:INDEX($A$19:$A$2018,$H$6),1)+1)-INDEX($A$19:$A$2018,MATCH(Q417,$A$19:INDEX($A$19:$A$2018,$H$6),1))))))</f>
        <v/>
      </c>
    </row>
    <row r="418">
      <c r="A418" s="11" t="n"/>
      <c r="B418" s="11" t="n"/>
      <c r="C418" s="12">
        <f>IF(A418="","",$B$9*TAN(RADIANS(A418)))</f>
        <v/>
      </c>
      <c r="D418" s="12">
        <f>IF(C418="","",C418*(1+B418/100))</f>
        <v/>
      </c>
      <c r="E418" s="12">
        <f>IF(A418="","",$B$10*TAN(RADIANS(A418)))</f>
        <v/>
      </c>
      <c r="G418" s="8" t="n">
        <v>400</v>
      </c>
      <c r="H418" s="8">
        <f>$K$13</f>
        <v/>
      </c>
      <c r="I418" s="7" t="inlineStr">
        <is>
          <t>豎</t>
        </is>
      </c>
      <c r="J418" s="8" t="n">
        <v>5</v>
      </c>
      <c r="K418" s="7" t="inlineStr">
        <is>
          <t>左下</t>
        </is>
      </c>
      <c r="L418" s="8">
        <f>$O$13+($M$13+$L$13)/2-$M$13/2+$L$13/2+4*2*$L$13+(-1)*$L$13/2</f>
        <v/>
      </c>
      <c r="M418" s="8">
        <f>$P$13+(1)*$M$13/2</f>
        <v/>
      </c>
      <c r="N418" s="8">
        <f>L418-$B$7/2</f>
        <v/>
      </c>
      <c r="O418" s="8">
        <f>M418-$B$8/2</f>
        <v/>
      </c>
      <c r="P418" s="8">
        <f>SQRT(N418^2+O418^2)</f>
        <v/>
      </c>
      <c r="Q418" s="8">
        <f>IF(OR($H$7&lt;&gt;"OK",P418=""),"",IF(P418&lt;=$D$19,$A$19,IF(P418&gt;=INDEX($D$19:$D$2018,$H$6),INDEX($A$19:$A$2018,$H$6),INDEX($A$19:$A$2018,MATCH(P418,$D$19:INDEX($D$19:$D$2018,$H$6),1))+(P418-INDEX($D$19:$D$2018,MATCH(P418,$D$19:INDEX($D$19:$D$2018,$H$6),1)))*(INDEX($A$19:$A$2018,MATCH(P418,$D$19:INDEX($D$19:$D$2018,$H$6),1)+1)-INDEX($A$19:$A$2018,MATCH(P418,$D$19:INDEX($D$19:$D$2018,$H$6),1)))/(INDEX($D$19:$D$2018,MATCH(P418,$D$19:INDEX($D$19:$D$2018,$H$6),1)+1)-INDEX($D$19:$D$2018,MATCH(P418,$D$19:INDEX($D$19:$D$2018,$H$6),1))))))</f>
        <v/>
      </c>
      <c r="R418" s="8">
        <f>IF(P418=0,0,-Y418*N418/P418)</f>
        <v/>
      </c>
      <c r="S418" s="8">
        <f>IF(P418=0,0,Y418*O418/P418)</f>
        <v/>
      </c>
      <c r="T418" s="8">
        <f>IF(Y418=0,$B$7/2,$B$7/2-Z418*R418/Y418)</f>
        <v/>
      </c>
      <c r="U418" s="8">
        <f>IF(Y418=0,$B$8/2,$B$8/2+Z418*S418/Y418)</f>
        <v/>
      </c>
      <c r="V418" s="8">
        <f>SQRT((T418-L418)^2+(U418-M418)^2)</f>
        <v/>
      </c>
      <c r="Y418">
        <f>$B$10*TAN(RADIANS(Q418))</f>
        <v/>
      </c>
      <c r="Z418">
        <f>IF(OR($H$7&lt;&gt;"OK",Q418=""),"",IF(Q418&lt;=$A$19,$D$19,IF(Q418&gt;=INDEX($A$19:$A$2018,$H$6),INDEX($D$19:$D$2018,$H$6),INDEX($D$19:$D$2018,MATCH(Q418,$A$19:INDEX($A$19:$A$2018,$H$6),1))+(Q418-INDEX($A$19:$A$2018,MATCH(Q418,$A$19:INDEX($A$19:$A$2018,$H$6),1)))*(INDEX($D$19:$D$2018,MATCH(Q418,$A$19:INDEX($A$19:$A$2018,$H$6),1)+1)-INDEX($D$19:$D$2018,MATCH(Q418,$A$19:INDEX($A$19:$A$2018,$H$6),1)))/(INDEX($A$19:$A$2018,MATCH(Q418,$A$19:INDEX($A$19:$A$2018,$H$6),1)+1)-INDEX($A$19:$A$2018,MATCH(Q418,$A$19:INDEX($A$19:$A$2018,$H$6),1))))))</f>
        <v/>
      </c>
    </row>
    <row r="419">
      <c r="A419" s="11" t="n"/>
      <c r="B419" s="11" t="n"/>
      <c r="C419" s="12">
        <f>IF(A419="","",$B$9*TAN(RADIANS(A419)))</f>
        <v/>
      </c>
      <c r="D419" s="12">
        <f>IF(C419="","",C419*(1+B419/100))</f>
        <v/>
      </c>
      <c r="E419" s="12">
        <f>IF(A419="","",$B$10*TAN(RADIANS(A419)))</f>
        <v/>
      </c>
      <c r="G419" s="8" t="n">
        <v>401</v>
      </c>
      <c r="H419" s="8">
        <f>$K$14</f>
        <v/>
      </c>
      <c r="I419" s="7" t="inlineStr">
        <is>
          <t>橫</t>
        </is>
      </c>
      <c r="J419" s="8" t="n">
        <v>1</v>
      </c>
      <c r="K419" s="7" t="inlineStr">
        <is>
          <t>左上</t>
        </is>
      </c>
      <c r="L419" s="8">
        <f>$O$14-($M$14+$L$14)/2+(-1)*$M$14/2</f>
        <v/>
      </c>
      <c r="M419" s="8">
        <f>$P$14-$M$14/2+$L$14/2+0*2*$L$14+(-1)*$L$14/2</f>
        <v/>
      </c>
      <c r="N419" s="8">
        <f>L419-$B$7/2</f>
        <v/>
      </c>
      <c r="O419" s="8">
        <f>M419-$B$8/2</f>
        <v/>
      </c>
      <c r="P419" s="8">
        <f>SQRT(N419^2+O419^2)</f>
        <v/>
      </c>
      <c r="Q419" s="8">
        <f>IF(OR($H$7&lt;&gt;"OK",P419=""),"",IF(P419&lt;=$D$19,$A$19,IF(P419&gt;=INDEX($D$19:$D$2018,$H$6),INDEX($A$19:$A$2018,$H$6),INDEX($A$19:$A$2018,MATCH(P419,$D$19:INDEX($D$19:$D$2018,$H$6),1))+(P419-INDEX($D$19:$D$2018,MATCH(P419,$D$19:INDEX($D$19:$D$2018,$H$6),1)))*(INDEX($A$19:$A$2018,MATCH(P419,$D$19:INDEX($D$19:$D$2018,$H$6),1)+1)-INDEX($A$19:$A$2018,MATCH(P419,$D$19:INDEX($D$19:$D$2018,$H$6),1)))/(INDEX($D$19:$D$2018,MATCH(P419,$D$19:INDEX($D$19:$D$2018,$H$6),1)+1)-INDEX($D$19:$D$2018,MATCH(P419,$D$19:INDEX($D$19:$D$2018,$H$6),1))))))</f>
        <v/>
      </c>
      <c r="R419" s="8">
        <f>IF(P419=0,0,-Y419*N419/P419)</f>
        <v/>
      </c>
      <c r="S419" s="8">
        <f>IF(P419=0,0,Y419*O419/P419)</f>
        <v/>
      </c>
      <c r="T419" s="8">
        <f>IF(Y419=0,$B$7/2,$B$7/2-Z419*R419/Y419)</f>
        <v/>
      </c>
      <c r="U419" s="8">
        <f>IF(Y419=0,$B$8/2,$B$8/2+Z419*S419/Y419)</f>
        <v/>
      </c>
      <c r="V419" s="8">
        <f>SQRT((T419-L419)^2+(U419-M419)^2)</f>
        <v/>
      </c>
      <c r="Y419">
        <f>$B$10*TAN(RADIANS(Q419))</f>
        <v/>
      </c>
      <c r="Z419">
        <f>IF(OR($H$7&lt;&gt;"OK",Q419=""),"",IF(Q419&lt;=$A$19,$D$19,IF(Q419&gt;=INDEX($A$19:$A$2018,$H$6),INDEX($D$19:$D$2018,$H$6),INDEX($D$19:$D$2018,MATCH(Q419,$A$19:INDEX($A$19:$A$2018,$H$6),1))+(Q419-INDEX($A$19:$A$2018,MATCH(Q419,$A$19:INDEX($A$19:$A$2018,$H$6),1)))*(INDEX($D$19:$D$2018,MATCH(Q419,$A$19:INDEX($A$19:$A$2018,$H$6),1)+1)-INDEX($D$19:$D$2018,MATCH(Q419,$A$19:INDEX($A$19:$A$2018,$H$6),1)))/(INDEX($A$19:$A$2018,MATCH(Q419,$A$19:INDEX($A$19:$A$2018,$H$6),1)+1)-INDEX($A$19:$A$2018,MATCH(Q419,$A$19:INDEX($A$19:$A$2018,$H$6),1))))))</f>
        <v/>
      </c>
    </row>
    <row r="420">
      <c r="A420" s="11" t="n"/>
      <c r="B420" s="11" t="n"/>
      <c r="C420" s="12">
        <f>IF(A420="","",$B$9*TAN(RADIANS(A420)))</f>
        <v/>
      </c>
      <c r="D420" s="12">
        <f>IF(C420="","",C420*(1+B420/100))</f>
        <v/>
      </c>
      <c r="E420" s="12">
        <f>IF(A420="","",$B$10*TAN(RADIANS(A420)))</f>
        <v/>
      </c>
      <c r="G420" s="8" t="n">
        <v>402</v>
      </c>
      <c r="H420" s="8">
        <f>$K$14</f>
        <v/>
      </c>
      <c r="I420" s="7" t="inlineStr">
        <is>
          <t>橫</t>
        </is>
      </c>
      <c r="J420" s="8" t="n">
        <v>1</v>
      </c>
      <c r="K420" s="7" t="inlineStr">
        <is>
          <t>右上</t>
        </is>
      </c>
      <c r="L420" s="8">
        <f>$O$14-($M$14+$L$14)/2+(1)*$M$14/2</f>
        <v/>
      </c>
      <c r="M420" s="8">
        <f>$P$14-$M$14/2+$L$14/2+0*2*$L$14+(-1)*$L$14/2</f>
        <v/>
      </c>
      <c r="N420" s="8">
        <f>L420-$B$7/2</f>
        <v/>
      </c>
      <c r="O420" s="8">
        <f>M420-$B$8/2</f>
        <v/>
      </c>
      <c r="P420" s="8">
        <f>SQRT(N420^2+O420^2)</f>
        <v/>
      </c>
      <c r="Q420" s="8">
        <f>IF(OR($H$7&lt;&gt;"OK",P420=""),"",IF(P420&lt;=$D$19,$A$19,IF(P420&gt;=INDEX($D$19:$D$2018,$H$6),INDEX($A$19:$A$2018,$H$6),INDEX($A$19:$A$2018,MATCH(P420,$D$19:INDEX($D$19:$D$2018,$H$6),1))+(P420-INDEX($D$19:$D$2018,MATCH(P420,$D$19:INDEX($D$19:$D$2018,$H$6),1)))*(INDEX($A$19:$A$2018,MATCH(P420,$D$19:INDEX($D$19:$D$2018,$H$6),1)+1)-INDEX($A$19:$A$2018,MATCH(P420,$D$19:INDEX($D$19:$D$2018,$H$6),1)))/(INDEX($D$19:$D$2018,MATCH(P420,$D$19:INDEX($D$19:$D$2018,$H$6),1)+1)-INDEX($D$19:$D$2018,MATCH(P420,$D$19:INDEX($D$19:$D$2018,$H$6),1))))))</f>
        <v/>
      </c>
      <c r="R420" s="8">
        <f>IF(P420=0,0,-Y420*N420/P420)</f>
        <v/>
      </c>
      <c r="S420" s="8">
        <f>IF(P420=0,0,Y420*O420/P420)</f>
        <v/>
      </c>
      <c r="T420" s="8">
        <f>IF(Y420=0,$B$7/2,$B$7/2-Z420*R420/Y420)</f>
        <v/>
      </c>
      <c r="U420" s="8">
        <f>IF(Y420=0,$B$8/2,$B$8/2+Z420*S420/Y420)</f>
        <v/>
      </c>
      <c r="V420" s="8">
        <f>SQRT((T420-L420)^2+(U420-M420)^2)</f>
        <v/>
      </c>
      <c r="Y420">
        <f>$B$10*TAN(RADIANS(Q420))</f>
        <v/>
      </c>
      <c r="Z420">
        <f>IF(OR($H$7&lt;&gt;"OK",Q420=""),"",IF(Q420&lt;=$A$19,$D$19,IF(Q420&gt;=INDEX($A$19:$A$2018,$H$6),INDEX($D$19:$D$2018,$H$6),INDEX($D$19:$D$2018,MATCH(Q420,$A$19:INDEX($A$19:$A$2018,$H$6),1))+(Q420-INDEX($A$19:$A$2018,MATCH(Q420,$A$19:INDEX($A$19:$A$2018,$H$6),1)))*(INDEX($D$19:$D$2018,MATCH(Q420,$A$19:INDEX($A$19:$A$2018,$H$6),1)+1)-INDEX($D$19:$D$2018,MATCH(Q420,$A$19:INDEX($A$19:$A$2018,$H$6),1)))/(INDEX($A$19:$A$2018,MATCH(Q420,$A$19:INDEX($A$19:$A$2018,$H$6),1)+1)-INDEX($A$19:$A$2018,MATCH(Q420,$A$19:INDEX($A$19:$A$2018,$H$6),1))))))</f>
        <v/>
      </c>
    </row>
    <row r="421">
      <c r="A421" s="11" t="n"/>
      <c r="B421" s="11" t="n"/>
      <c r="C421" s="12">
        <f>IF(A421="","",$B$9*TAN(RADIANS(A421)))</f>
        <v/>
      </c>
      <c r="D421" s="12">
        <f>IF(C421="","",C421*(1+B421/100))</f>
        <v/>
      </c>
      <c r="E421" s="12">
        <f>IF(A421="","",$B$10*TAN(RADIANS(A421)))</f>
        <v/>
      </c>
      <c r="G421" s="8" t="n">
        <v>403</v>
      </c>
      <c r="H421" s="8">
        <f>$K$14</f>
        <v/>
      </c>
      <c r="I421" s="7" t="inlineStr">
        <is>
          <t>橫</t>
        </is>
      </c>
      <c r="J421" s="8" t="n">
        <v>1</v>
      </c>
      <c r="K421" s="7" t="inlineStr">
        <is>
          <t>右下</t>
        </is>
      </c>
      <c r="L421" s="8">
        <f>$O$14-($M$14+$L$14)/2+(1)*$M$14/2</f>
        <v/>
      </c>
      <c r="M421" s="8">
        <f>$P$14-$M$14/2+$L$14/2+0*2*$L$14+(1)*$L$14/2</f>
        <v/>
      </c>
      <c r="N421" s="8">
        <f>L421-$B$7/2</f>
        <v/>
      </c>
      <c r="O421" s="8">
        <f>M421-$B$8/2</f>
        <v/>
      </c>
      <c r="P421" s="8">
        <f>SQRT(N421^2+O421^2)</f>
        <v/>
      </c>
      <c r="Q421" s="8">
        <f>IF(OR($H$7&lt;&gt;"OK",P421=""),"",IF(P421&lt;=$D$19,$A$19,IF(P421&gt;=INDEX($D$19:$D$2018,$H$6),INDEX($A$19:$A$2018,$H$6),INDEX($A$19:$A$2018,MATCH(P421,$D$19:INDEX($D$19:$D$2018,$H$6),1))+(P421-INDEX($D$19:$D$2018,MATCH(P421,$D$19:INDEX($D$19:$D$2018,$H$6),1)))*(INDEX($A$19:$A$2018,MATCH(P421,$D$19:INDEX($D$19:$D$2018,$H$6),1)+1)-INDEX($A$19:$A$2018,MATCH(P421,$D$19:INDEX($D$19:$D$2018,$H$6),1)))/(INDEX($D$19:$D$2018,MATCH(P421,$D$19:INDEX($D$19:$D$2018,$H$6),1)+1)-INDEX($D$19:$D$2018,MATCH(P421,$D$19:INDEX($D$19:$D$2018,$H$6),1))))))</f>
        <v/>
      </c>
      <c r="R421" s="8">
        <f>IF(P421=0,0,-Y421*N421/P421)</f>
        <v/>
      </c>
      <c r="S421" s="8">
        <f>IF(P421=0,0,Y421*O421/P421)</f>
        <v/>
      </c>
      <c r="T421" s="8">
        <f>IF(Y421=0,$B$7/2,$B$7/2-Z421*R421/Y421)</f>
        <v/>
      </c>
      <c r="U421" s="8">
        <f>IF(Y421=0,$B$8/2,$B$8/2+Z421*S421/Y421)</f>
        <v/>
      </c>
      <c r="V421" s="8">
        <f>SQRT((T421-L421)^2+(U421-M421)^2)</f>
        <v/>
      </c>
      <c r="Y421">
        <f>$B$10*TAN(RADIANS(Q421))</f>
        <v/>
      </c>
      <c r="Z421">
        <f>IF(OR($H$7&lt;&gt;"OK",Q421=""),"",IF(Q421&lt;=$A$19,$D$19,IF(Q421&gt;=INDEX($A$19:$A$2018,$H$6),INDEX($D$19:$D$2018,$H$6),INDEX($D$19:$D$2018,MATCH(Q421,$A$19:INDEX($A$19:$A$2018,$H$6),1))+(Q421-INDEX($A$19:$A$2018,MATCH(Q421,$A$19:INDEX($A$19:$A$2018,$H$6),1)))*(INDEX($D$19:$D$2018,MATCH(Q421,$A$19:INDEX($A$19:$A$2018,$H$6),1)+1)-INDEX($D$19:$D$2018,MATCH(Q421,$A$19:INDEX($A$19:$A$2018,$H$6),1)))/(INDEX($A$19:$A$2018,MATCH(Q421,$A$19:INDEX($A$19:$A$2018,$H$6),1)+1)-INDEX($A$19:$A$2018,MATCH(Q421,$A$19:INDEX($A$19:$A$2018,$H$6),1))))))</f>
        <v/>
      </c>
    </row>
    <row r="422">
      <c r="A422" s="11" t="n"/>
      <c r="B422" s="11" t="n"/>
      <c r="C422" s="12">
        <f>IF(A422="","",$B$9*TAN(RADIANS(A422)))</f>
        <v/>
      </c>
      <c r="D422" s="12">
        <f>IF(C422="","",C422*(1+B422/100))</f>
        <v/>
      </c>
      <c r="E422" s="12">
        <f>IF(A422="","",$B$10*TAN(RADIANS(A422)))</f>
        <v/>
      </c>
      <c r="G422" s="8" t="n">
        <v>404</v>
      </c>
      <c r="H422" s="8">
        <f>$K$14</f>
        <v/>
      </c>
      <c r="I422" s="7" t="inlineStr">
        <is>
          <t>橫</t>
        </is>
      </c>
      <c r="J422" s="8" t="n">
        <v>1</v>
      </c>
      <c r="K422" s="7" t="inlineStr">
        <is>
          <t>左下</t>
        </is>
      </c>
      <c r="L422" s="8">
        <f>$O$14-($M$14+$L$14)/2+(-1)*$M$14/2</f>
        <v/>
      </c>
      <c r="M422" s="8">
        <f>$P$14-$M$14/2+$L$14/2+0*2*$L$14+(1)*$L$14/2</f>
        <v/>
      </c>
      <c r="N422" s="8">
        <f>L422-$B$7/2</f>
        <v/>
      </c>
      <c r="O422" s="8">
        <f>M422-$B$8/2</f>
        <v/>
      </c>
      <c r="P422" s="8">
        <f>SQRT(N422^2+O422^2)</f>
        <v/>
      </c>
      <c r="Q422" s="8">
        <f>IF(OR($H$7&lt;&gt;"OK",P422=""),"",IF(P422&lt;=$D$19,$A$19,IF(P422&gt;=INDEX($D$19:$D$2018,$H$6),INDEX($A$19:$A$2018,$H$6),INDEX($A$19:$A$2018,MATCH(P422,$D$19:INDEX($D$19:$D$2018,$H$6),1))+(P422-INDEX($D$19:$D$2018,MATCH(P422,$D$19:INDEX($D$19:$D$2018,$H$6),1)))*(INDEX($A$19:$A$2018,MATCH(P422,$D$19:INDEX($D$19:$D$2018,$H$6),1)+1)-INDEX($A$19:$A$2018,MATCH(P422,$D$19:INDEX($D$19:$D$2018,$H$6),1)))/(INDEX($D$19:$D$2018,MATCH(P422,$D$19:INDEX($D$19:$D$2018,$H$6),1)+1)-INDEX($D$19:$D$2018,MATCH(P422,$D$19:INDEX($D$19:$D$2018,$H$6),1))))))</f>
        <v/>
      </c>
      <c r="R422" s="8">
        <f>IF(P422=0,0,-Y422*N422/P422)</f>
        <v/>
      </c>
      <c r="S422" s="8">
        <f>IF(P422=0,0,Y422*O422/P422)</f>
        <v/>
      </c>
      <c r="T422" s="8">
        <f>IF(Y422=0,$B$7/2,$B$7/2-Z422*R422/Y422)</f>
        <v/>
      </c>
      <c r="U422" s="8">
        <f>IF(Y422=0,$B$8/2,$B$8/2+Z422*S422/Y422)</f>
        <v/>
      </c>
      <c r="V422" s="8">
        <f>SQRT((T422-L422)^2+(U422-M422)^2)</f>
        <v/>
      </c>
      <c r="Y422">
        <f>$B$10*TAN(RADIANS(Q422))</f>
        <v/>
      </c>
      <c r="Z422">
        <f>IF(OR($H$7&lt;&gt;"OK",Q422=""),"",IF(Q422&lt;=$A$19,$D$19,IF(Q422&gt;=INDEX($A$19:$A$2018,$H$6),INDEX($D$19:$D$2018,$H$6),INDEX($D$19:$D$2018,MATCH(Q422,$A$19:INDEX($A$19:$A$2018,$H$6),1))+(Q422-INDEX($A$19:$A$2018,MATCH(Q422,$A$19:INDEX($A$19:$A$2018,$H$6),1)))*(INDEX($D$19:$D$2018,MATCH(Q422,$A$19:INDEX($A$19:$A$2018,$H$6),1)+1)-INDEX($D$19:$D$2018,MATCH(Q422,$A$19:INDEX($A$19:$A$2018,$H$6),1)))/(INDEX($A$19:$A$2018,MATCH(Q422,$A$19:INDEX($A$19:$A$2018,$H$6),1)+1)-INDEX($A$19:$A$2018,MATCH(Q422,$A$19:INDEX($A$19:$A$2018,$H$6),1))))))</f>
        <v/>
      </c>
    </row>
    <row r="423">
      <c r="A423" s="11" t="n"/>
      <c r="B423" s="11" t="n"/>
      <c r="C423" s="12">
        <f>IF(A423="","",$B$9*TAN(RADIANS(A423)))</f>
        <v/>
      </c>
      <c r="D423" s="12">
        <f>IF(C423="","",C423*(1+B423/100))</f>
        <v/>
      </c>
      <c r="E423" s="12">
        <f>IF(A423="","",$B$10*TAN(RADIANS(A423)))</f>
        <v/>
      </c>
      <c r="G423" s="8" t="n">
        <v>405</v>
      </c>
      <c r="H423" s="8">
        <f>$K$14</f>
        <v/>
      </c>
      <c r="I423" s="7" t="inlineStr">
        <is>
          <t>橫</t>
        </is>
      </c>
      <c r="J423" s="8" t="n">
        <v>2</v>
      </c>
      <c r="K423" s="7" t="inlineStr">
        <is>
          <t>左上</t>
        </is>
      </c>
      <c r="L423" s="8">
        <f>$O$14-($M$14+$L$14)/2+(-1)*$M$14/2</f>
        <v/>
      </c>
      <c r="M423" s="8">
        <f>$P$14-$M$14/2+$L$14/2+1*2*$L$14+(-1)*$L$14/2</f>
        <v/>
      </c>
      <c r="N423" s="8">
        <f>L423-$B$7/2</f>
        <v/>
      </c>
      <c r="O423" s="8">
        <f>M423-$B$8/2</f>
        <v/>
      </c>
      <c r="P423" s="8">
        <f>SQRT(N423^2+O423^2)</f>
        <v/>
      </c>
      <c r="Q423" s="8">
        <f>IF(OR($H$7&lt;&gt;"OK",P423=""),"",IF(P423&lt;=$D$19,$A$19,IF(P423&gt;=INDEX($D$19:$D$2018,$H$6),INDEX($A$19:$A$2018,$H$6),INDEX($A$19:$A$2018,MATCH(P423,$D$19:INDEX($D$19:$D$2018,$H$6),1))+(P423-INDEX($D$19:$D$2018,MATCH(P423,$D$19:INDEX($D$19:$D$2018,$H$6),1)))*(INDEX($A$19:$A$2018,MATCH(P423,$D$19:INDEX($D$19:$D$2018,$H$6),1)+1)-INDEX($A$19:$A$2018,MATCH(P423,$D$19:INDEX($D$19:$D$2018,$H$6),1)))/(INDEX($D$19:$D$2018,MATCH(P423,$D$19:INDEX($D$19:$D$2018,$H$6),1)+1)-INDEX($D$19:$D$2018,MATCH(P423,$D$19:INDEX($D$19:$D$2018,$H$6),1))))))</f>
        <v/>
      </c>
      <c r="R423" s="8">
        <f>IF(P423=0,0,-Y423*N423/P423)</f>
        <v/>
      </c>
      <c r="S423" s="8">
        <f>IF(P423=0,0,Y423*O423/P423)</f>
        <v/>
      </c>
      <c r="T423" s="8">
        <f>IF(Y423=0,$B$7/2,$B$7/2-Z423*R423/Y423)</f>
        <v/>
      </c>
      <c r="U423" s="8">
        <f>IF(Y423=0,$B$8/2,$B$8/2+Z423*S423/Y423)</f>
        <v/>
      </c>
      <c r="V423" s="8">
        <f>SQRT((T423-L423)^2+(U423-M423)^2)</f>
        <v/>
      </c>
      <c r="Y423">
        <f>$B$10*TAN(RADIANS(Q423))</f>
        <v/>
      </c>
      <c r="Z423">
        <f>IF(OR($H$7&lt;&gt;"OK",Q423=""),"",IF(Q423&lt;=$A$19,$D$19,IF(Q423&gt;=INDEX($A$19:$A$2018,$H$6),INDEX($D$19:$D$2018,$H$6),INDEX($D$19:$D$2018,MATCH(Q423,$A$19:INDEX($A$19:$A$2018,$H$6),1))+(Q423-INDEX($A$19:$A$2018,MATCH(Q423,$A$19:INDEX($A$19:$A$2018,$H$6),1)))*(INDEX($D$19:$D$2018,MATCH(Q423,$A$19:INDEX($A$19:$A$2018,$H$6),1)+1)-INDEX($D$19:$D$2018,MATCH(Q423,$A$19:INDEX($A$19:$A$2018,$H$6),1)))/(INDEX($A$19:$A$2018,MATCH(Q423,$A$19:INDEX($A$19:$A$2018,$H$6),1)+1)-INDEX($A$19:$A$2018,MATCH(Q423,$A$19:INDEX($A$19:$A$2018,$H$6),1))))))</f>
        <v/>
      </c>
    </row>
    <row r="424">
      <c r="A424" s="11" t="n"/>
      <c r="B424" s="11" t="n"/>
      <c r="C424" s="12">
        <f>IF(A424="","",$B$9*TAN(RADIANS(A424)))</f>
        <v/>
      </c>
      <c r="D424" s="12">
        <f>IF(C424="","",C424*(1+B424/100))</f>
        <v/>
      </c>
      <c r="E424" s="12">
        <f>IF(A424="","",$B$10*TAN(RADIANS(A424)))</f>
        <v/>
      </c>
      <c r="G424" s="8" t="n">
        <v>406</v>
      </c>
      <c r="H424" s="8">
        <f>$K$14</f>
        <v/>
      </c>
      <c r="I424" s="7" t="inlineStr">
        <is>
          <t>橫</t>
        </is>
      </c>
      <c r="J424" s="8" t="n">
        <v>2</v>
      </c>
      <c r="K424" s="7" t="inlineStr">
        <is>
          <t>右上</t>
        </is>
      </c>
      <c r="L424" s="8">
        <f>$O$14-($M$14+$L$14)/2+(1)*$M$14/2</f>
        <v/>
      </c>
      <c r="M424" s="8">
        <f>$P$14-$M$14/2+$L$14/2+1*2*$L$14+(-1)*$L$14/2</f>
        <v/>
      </c>
      <c r="N424" s="8">
        <f>L424-$B$7/2</f>
        <v/>
      </c>
      <c r="O424" s="8">
        <f>M424-$B$8/2</f>
        <v/>
      </c>
      <c r="P424" s="8">
        <f>SQRT(N424^2+O424^2)</f>
        <v/>
      </c>
      <c r="Q424" s="8">
        <f>IF(OR($H$7&lt;&gt;"OK",P424=""),"",IF(P424&lt;=$D$19,$A$19,IF(P424&gt;=INDEX($D$19:$D$2018,$H$6),INDEX($A$19:$A$2018,$H$6),INDEX($A$19:$A$2018,MATCH(P424,$D$19:INDEX($D$19:$D$2018,$H$6),1))+(P424-INDEX($D$19:$D$2018,MATCH(P424,$D$19:INDEX($D$19:$D$2018,$H$6),1)))*(INDEX($A$19:$A$2018,MATCH(P424,$D$19:INDEX($D$19:$D$2018,$H$6),1)+1)-INDEX($A$19:$A$2018,MATCH(P424,$D$19:INDEX($D$19:$D$2018,$H$6),1)))/(INDEX($D$19:$D$2018,MATCH(P424,$D$19:INDEX($D$19:$D$2018,$H$6),1)+1)-INDEX($D$19:$D$2018,MATCH(P424,$D$19:INDEX($D$19:$D$2018,$H$6),1))))))</f>
        <v/>
      </c>
      <c r="R424" s="8">
        <f>IF(P424=0,0,-Y424*N424/P424)</f>
        <v/>
      </c>
      <c r="S424" s="8">
        <f>IF(P424=0,0,Y424*O424/P424)</f>
        <v/>
      </c>
      <c r="T424" s="8">
        <f>IF(Y424=0,$B$7/2,$B$7/2-Z424*R424/Y424)</f>
        <v/>
      </c>
      <c r="U424" s="8">
        <f>IF(Y424=0,$B$8/2,$B$8/2+Z424*S424/Y424)</f>
        <v/>
      </c>
      <c r="V424" s="8">
        <f>SQRT((T424-L424)^2+(U424-M424)^2)</f>
        <v/>
      </c>
      <c r="Y424">
        <f>$B$10*TAN(RADIANS(Q424))</f>
        <v/>
      </c>
      <c r="Z424">
        <f>IF(OR($H$7&lt;&gt;"OK",Q424=""),"",IF(Q424&lt;=$A$19,$D$19,IF(Q424&gt;=INDEX($A$19:$A$2018,$H$6),INDEX($D$19:$D$2018,$H$6),INDEX($D$19:$D$2018,MATCH(Q424,$A$19:INDEX($A$19:$A$2018,$H$6),1))+(Q424-INDEX($A$19:$A$2018,MATCH(Q424,$A$19:INDEX($A$19:$A$2018,$H$6),1)))*(INDEX($D$19:$D$2018,MATCH(Q424,$A$19:INDEX($A$19:$A$2018,$H$6),1)+1)-INDEX($D$19:$D$2018,MATCH(Q424,$A$19:INDEX($A$19:$A$2018,$H$6),1)))/(INDEX($A$19:$A$2018,MATCH(Q424,$A$19:INDEX($A$19:$A$2018,$H$6),1)+1)-INDEX($A$19:$A$2018,MATCH(Q424,$A$19:INDEX($A$19:$A$2018,$H$6),1))))))</f>
        <v/>
      </c>
    </row>
    <row r="425">
      <c r="A425" s="11" t="n"/>
      <c r="B425" s="11" t="n"/>
      <c r="C425" s="12">
        <f>IF(A425="","",$B$9*TAN(RADIANS(A425)))</f>
        <v/>
      </c>
      <c r="D425" s="12">
        <f>IF(C425="","",C425*(1+B425/100))</f>
        <v/>
      </c>
      <c r="E425" s="12">
        <f>IF(A425="","",$B$10*TAN(RADIANS(A425)))</f>
        <v/>
      </c>
      <c r="G425" s="8" t="n">
        <v>407</v>
      </c>
      <c r="H425" s="8">
        <f>$K$14</f>
        <v/>
      </c>
      <c r="I425" s="7" t="inlineStr">
        <is>
          <t>橫</t>
        </is>
      </c>
      <c r="J425" s="8" t="n">
        <v>2</v>
      </c>
      <c r="K425" s="7" t="inlineStr">
        <is>
          <t>右下</t>
        </is>
      </c>
      <c r="L425" s="8">
        <f>$O$14-($M$14+$L$14)/2+(1)*$M$14/2</f>
        <v/>
      </c>
      <c r="M425" s="8">
        <f>$P$14-$M$14/2+$L$14/2+1*2*$L$14+(1)*$L$14/2</f>
        <v/>
      </c>
      <c r="N425" s="8">
        <f>L425-$B$7/2</f>
        <v/>
      </c>
      <c r="O425" s="8">
        <f>M425-$B$8/2</f>
        <v/>
      </c>
      <c r="P425" s="8">
        <f>SQRT(N425^2+O425^2)</f>
        <v/>
      </c>
      <c r="Q425" s="8">
        <f>IF(OR($H$7&lt;&gt;"OK",P425=""),"",IF(P425&lt;=$D$19,$A$19,IF(P425&gt;=INDEX($D$19:$D$2018,$H$6),INDEX($A$19:$A$2018,$H$6),INDEX($A$19:$A$2018,MATCH(P425,$D$19:INDEX($D$19:$D$2018,$H$6),1))+(P425-INDEX($D$19:$D$2018,MATCH(P425,$D$19:INDEX($D$19:$D$2018,$H$6),1)))*(INDEX($A$19:$A$2018,MATCH(P425,$D$19:INDEX($D$19:$D$2018,$H$6),1)+1)-INDEX($A$19:$A$2018,MATCH(P425,$D$19:INDEX($D$19:$D$2018,$H$6),1)))/(INDEX($D$19:$D$2018,MATCH(P425,$D$19:INDEX($D$19:$D$2018,$H$6),1)+1)-INDEX($D$19:$D$2018,MATCH(P425,$D$19:INDEX($D$19:$D$2018,$H$6),1))))))</f>
        <v/>
      </c>
      <c r="R425" s="8">
        <f>IF(P425=0,0,-Y425*N425/P425)</f>
        <v/>
      </c>
      <c r="S425" s="8">
        <f>IF(P425=0,0,Y425*O425/P425)</f>
        <v/>
      </c>
      <c r="T425" s="8">
        <f>IF(Y425=0,$B$7/2,$B$7/2-Z425*R425/Y425)</f>
        <v/>
      </c>
      <c r="U425" s="8">
        <f>IF(Y425=0,$B$8/2,$B$8/2+Z425*S425/Y425)</f>
        <v/>
      </c>
      <c r="V425" s="8">
        <f>SQRT((T425-L425)^2+(U425-M425)^2)</f>
        <v/>
      </c>
      <c r="Y425">
        <f>$B$10*TAN(RADIANS(Q425))</f>
        <v/>
      </c>
      <c r="Z425">
        <f>IF(OR($H$7&lt;&gt;"OK",Q425=""),"",IF(Q425&lt;=$A$19,$D$19,IF(Q425&gt;=INDEX($A$19:$A$2018,$H$6),INDEX($D$19:$D$2018,$H$6),INDEX($D$19:$D$2018,MATCH(Q425,$A$19:INDEX($A$19:$A$2018,$H$6),1))+(Q425-INDEX($A$19:$A$2018,MATCH(Q425,$A$19:INDEX($A$19:$A$2018,$H$6),1)))*(INDEX($D$19:$D$2018,MATCH(Q425,$A$19:INDEX($A$19:$A$2018,$H$6),1)+1)-INDEX($D$19:$D$2018,MATCH(Q425,$A$19:INDEX($A$19:$A$2018,$H$6),1)))/(INDEX($A$19:$A$2018,MATCH(Q425,$A$19:INDEX($A$19:$A$2018,$H$6),1)+1)-INDEX($A$19:$A$2018,MATCH(Q425,$A$19:INDEX($A$19:$A$2018,$H$6),1))))))</f>
        <v/>
      </c>
    </row>
    <row r="426">
      <c r="A426" s="11" t="n"/>
      <c r="B426" s="11" t="n"/>
      <c r="C426" s="12">
        <f>IF(A426="","",$B$9*TAN(RADIANS(A426)))</f>
        <v/>
      </c>
      <c r="D426" s="12">
        <f>IF(C426="","",C426*(1+B426/100))</f>
        <v/>
      </c>
      <c r="E426" s="12">
        <f>IF(A426="","",$B$10*TAN(RADIANS(A426)))</f>
        <v/>
      </c>
      <c r="G426" s="8" t="n">
        <v>408</v>
      </c>
      <c r="H426" s="8">
        <f>$K$14</f>
        <v/>
      </c>
      <c r="I426" s="7" t="inlineStr">
        <is>
          <t>橫</t>
        </is>
      </c>
      <c r="J426" s="8" t="n">
        <v>2</v>
      </c>
      <c r="K426" s="7" t="inlineStr">
        <is>
          <t>左下</t>
        </is>
      </c>
      <c r="L426" s="8">
        <f>$O$14-($M$14+$L$14)/2+(-1)*$M$14/2</f>
        <v/>
      </c>
      <c r="M426" s="8">
        <f>$P$14-$M$14/2+$L$14/2+1*2*$L$14+(1)*$L$14/2</f>
        <v/>
      </c>
      <c r="N426" s="8">
        <f>L426-$B$7/2</f>
        <v/>
      </c>
      <c r="O426" s="8">
        <f>M426-$B$8/2</f>
        <v/>
      </c>
      <c r="P426" s="8">
        <f>SQRT(N426^2+O426^2)</f>
        <v/>
      </c>
      <c r="Q426" s="8">
        <f>IF(OR($H$7&lt;&gt;"OK",P426=""),"",IF(P426&lt;=$D$19,$A$19,IF(P426&gt;=INDEX($D$19:$D$2018,$H$6),INDEX($A$19:$A$2018,$H$6),INDEX($A$19:$A$2018,MATCH(P426,$D$19:INDEX($D$19:$D$2018,$H$6),1))+(P426-INDEX($D$19:$D$2018,MATCH(P426,$D$19:INDEX($D$19:$D$2018,$H$6),1)))*(INDEX($A$19:$A$2018,MATCH(P426,$D$19:INDEX($D$19:$D$2018,$H$6),1)+1)-INDEX($A$19:$A$2018,MATCH(P426,$D$19:INDEX($D$19:$D$2018,$H$6),1)))/(INDEX($D$19:$D$2018,MATCH(P426,$D$19:INDEX($D$19:$D$2018,$H$6),1)+1)-INDEX($D$19:$D$2018,MATCH(P426,$D$19:INDEX($D$19:$D$2018,$H$6),1))))))</f>
        <v/>
      </c>
      <c r="R426" s="8">
        <f>IF(P426=0,0,-Y426*N426/P426)</f>
        <v/>
      </c>
      <c r="S426" s="8">
        <f>IF(P426=0,0,Y426*O426/P426)</f>
        <v/>
      </c>
      <c r="T426" s="8">
        <f>IF(Y426=0,$B$7/2,$B$7/2-Z426*R426/Y426)</f>
        <v/>
      </c>
      <c r="U426" s="8">
        <f>IF(Y426=0,$B$8/2,$B$8/2+Z426*S426/Y426)</f>
        <v/>
      </c>
      <c r="V426" s="8">
        <f>SQRT((T426-L426)^2+(U426-M426)^2)</f>
        <v/>
      </c>
      <c r="Y426">
        <f>$B$10*TAN(RADIANS(Q426))</f>
        <v/>
      </c>
      <c r="Z426">
        <f>IF(OR($H$7&lt;&gt;"OK",Q426=""),"",IF(Q426&lt;=$A$19,$D$19,IF(Q426&gt;=INDEX($A$19:$A$2018,$H$6),INDEX($D$19:$D$2018,$H$6),INDEX($D$19:$D$2018,MATCH(Q426,$A$19:INDEX($A$19:$A$2018,$H$6),1))+(Q426-INDEX($A$19:$A$2018,MATCH(Q426,$A$19:INDEX($A$19:$A$2018,$H$6),1)))*(INDEX($D$19:$D$2018,MATCH(Q426,$A$19:INDEX($A$19:$A$2018,$H$6),1)+1)-INDEX($D$19:$D$2018,MATCH(Q426,$A$19:INDEX($A$19:$A$2018,$H$6),1)))/(INDEX($A$19:$A$2018,MATCH(Q426,$A$19:INDEX($A$19:$A$2018,$H$6),1)+1)-INDEX($A$19:$A$2018,MATCH(Q426,$A$19:INDEX($A$19:$A$2018,$H$6),1))))))</f>
        <v/>
      </c>
    </row>
    <row r="427">
      <c r="A427" s="11" t="n"/>
      <c r="B427" s="11" t="n"/>
      <c r="C427" s="12">
        <f>IF(A427="","",$B$9*TAN(RADIANS(A427)))</f>
        <v/>
      </c>
      <c r="D427" s="12">
        <f>IF(C427="","",C427*(1+B427/100))</f>
        <v/>
      </c>
      <c r="E427" s="12">
        <f>IF(A427="","",$B$10*TAN(RADIANS(A427)))</f>
        <v/>
      </c>
      <c r="G427" s="8" t="n">
        <v>409</v>
      </c>
      <c r="H427" s="8">
        <f>$K$14</f>
        <v/>
      </c>
      <c r="I427" s="7" t="inlineStr">
        <is>
          <t>橫</t>
        </is>
      </c>
      <c r="J427" s="8" t="n">
        <v>3</v>
      </c>
      <c r="K427" s="7" t="inlineStr">
        <is>
          <t>左上</t>
        </is>
      </c>
      <c r="L427" s="8">
        <f>$O$14-($M$14+$L$14)/2+(-1)*$M$14/2</f>
        <v/>
      </c>
      <c r="M427" s="8">
        <f>$P$14-$M$14/2+$L$14/2+2*2*$L$14+(-1)*$L$14/2</f>
        <v/>
      </c>
      <c r="N427" s="8">
        <f>L427-$B$7/2</f>
        <v/>
      </c>
      <c r="O427" s="8">
        <f>M427-$B$8/2</f>
        <v/>
      </c>
      <c r="P427" s="8">
        <f>SQRT(N427^2+O427^2)</f>
        <v/>
      </c>
      <c r="Q427" s="8">
        <f>IF(OR($H$7&lt;&gt;"OK",P427=""),"",IF(P427&lt;=$D$19,$A$19,IF(P427&gt;=INDEX($D$19:$D$2018,$H$6),INDEX($A$19:$A$2018,$H$6),INDEX($A$19:$A$2018,MATCH(P427,$D$19:INDEX($D$19:$D$2018,$H$6),1))+(P427-INDEX($D$19:$D$2018,MATCH(P427,$D$19:INDEX($D$19:$D$2018,$H$6),1)))*(INDEX($A$19:$A$2018,MATCH(P427,$D$19:INDEX($D$19:$D$2018,$H$6),1)+1)-INDEX($A$19:$A$2018,MATCH(P427,$D$19:INDEX($D$19:$D$2018,$H$6),1)))/(INDEX($D$19:$D$2018,MATCH(P427,$D$19:INDEX($D$19:$D$2018,$H$6),1)+1)-INDEX($D$19:$D$2018,MATCH(P427,$D$19:INDEX($D$19:$D$2018,$H$6),1))))))</f>
        <v/>
      </c>
      <c r="R427" s="8">
        <f>IF(P427=0,0,-Y427*N427/P427)</f>
        <v/>
      </c>
      <c r="S427" s="8">
        <f>IF(P427=0,0,Y427*O427/P427)</f>
        <v/>
      </c>
      <c r="T427" s="8">
        <f>IF(Y427=0,$B$7/2,$B$7/2-Z427*R427/Y427)</f>
        <v/>
      </c>
      <c r="U427" s="8">
        <f>IF(Y427=0,$B$8/2,$B$8/2+Z427*S427/Y427)</f>
        <v/>
      </c>
      <c r="V427" s="8">
        <f>SQRT((T427-L427)^2+(U427-M427)^2)</f>
        <v/>
      </c>
      <c r="Y427">
        <f>$B$10*TAN(RADIANS(Q427))</f>
        <v/>
      </c>
      <c r="Z427">
        <f>IF(OR($H$7&lt;&gt;"OK",Q427=""),"",IF(Q427&lt;=$A$19,$D$19,IF(Q427&gt;=INDEX($A$19:$A$2018,$H$6),INDEX($D$19:$D$2018,$H$6),INDEX($D$19:$D$2018,MATCH(Q427,$A$19:INDEX($A$19:$A$2018,$H$6),1))+(Q427-INDEX($A$19:$A$2018,MATCH(Q427,$A$19:INDEX($A$19:$A$2018,$H$6),1)))*(INDEX($D$19:$D$2018,MATCH(Q427,$A$19:INDEX($A$19:$A$2018,$H$6),1)+1)-INDEX($D$19:$D$2018,MATCH(Q427,$A$19:INDEX($A$19:$A$2018,$H$6),1)))/(INDEX($A$19:$A$2018,MATCH(Q427,$A$19:INDEX($A$19:$A$2018,$H$6),1)+1)-INDEX($A$19:$A$2018,MATCH(Q427,$A$19:INDEX($A$19:$A$2018,$H$6),1))))))</f>
        <v/>
      </c>
    </row>
    <row r="428">
      <c r="A428" s="11" t="n"/>
      <c r="B428" s="11" t="n"/>
      <c r="C428" s="12">
        <f>IF(A428="","",$B$9*TAN(RADIANS(A428)))</f>
        <v/>
      </c>
      <c r="D428" s="12">
        <f>IF(C428="","",C428*(1+B428/100))</f>
        <v/>
      </c>
      <c r="E428" s="12">
        <f>IF(A428="","",$B$10*TAN(RADIANS(A428)))</f>
        <v/>
      </c>
      <c r="G428" s="8" t="n">
        <v>410</v>
      </c>
      <c r="H428" s="8">
        <f>$K$14</f>
        <v/>
      </c>
      <c r="I428" s="7" t="inlineStr">
        <is>
          <t>橫</t>
        </is>
      </c>
      <c r="J428" s="8" t="n">
        <v>3</v>
      </c>
      <c r="K428" s="7" t="inlineStr">
        <is>
          <t>右上</t>
        </is>
      </c>
      <c r="L428" s="8">
        <f>$O$14-($M$14+$L$14)/2+(1)*$M$14/2</f>
        <v/>
      </c>
      <c r="M428" s="8">
        <f>$P$14-$M$14/2+$L$14/2+2*2*$L$14+(-1)*$L$14/2</f>
        <v/>
      </c>
      <c r="N428" s="8">
        <f>L428-$B$7/2</f>
        <v/>
      </c>
      <c r="O428" s="8">
        <f>M428-$B$8/2</f>
        <v/>
      </c>
      <c r="P428" s="8">
        <f>SQRT(N428^2+O428^2)</f>
        <v/>
      </c>
      <c r="Q428" s="8">
        <f>IF(OR($H$7&lt;&gt;"OK",P428=""),"",IF(P428&lt;=$D$19,$A$19,IF(P428&gt;=INDEX($D$19:$D$2018,$H$6),INDEX($A$19:$A$2018,$H$6),INDEX($A$19:$A$2018,MATCH(P428,$D$19:INDEX($D$19:$D$2018,$H$6),1))+(P428-INDEX($D$19:$D$2018,MATCH(P428,$D$19:INDEX($D$19:$D$2018,$H$6),1)))*(INDEX($A$19:$A$2018,MATCH(P428,$D$19:INDEX($D$19:$D$2018,$H$6),1)+1)-INDEX($A$19:$A$2018,MATCH(P428,$D$19:INDEX($D$19:$D$2018,$H$6),1)))/(INDEX($D$19:$D$2018,MATCH(P428,$D$19:INDEX($D$19:$D$2018,$H$6),1)+1)-INDEX($D$19:$D$2018,MATCH(P428,$D$19:INDEX($D$19:$D$2018,$H$6),1))))))</f>
        <v/>
      </c>
      <c r="R428" s="8">
        <f>IF(P428=0,0,-Y428*N428/P428)</f>
        <v/>
      </c>
      <c r="S428" s="8">
        <f>IF(P428=0,0,Y428*O428/P428)</f>
        <v/>
      </c>
      <c r="T428" s="8">
        <f>IF(Y428=0,$B$7/2,$B$7/2-Z428*R428/Y428)</f>
        <v/>
      </c>
      <c r="U428" s="8">
        <f>IF(Y428=0,$B$8/2,$B$8/2+Z428*S428/Y428)</f>
        <v/>
      </c>
      <c r="V428" s="8">
        <f>SQRT((T428-L428)^2+(U428-M428)^2)</f>
        <v/>
      </c>
      <c r="Y428">
        <f>$B$10*TAN(RADIANS(Q428))</f>
        <v/>
      </c>
      <c r="Z428">
        <f>IF(OR($H$7&lt;&gt;"OK",Q428=""),"",IF(Q428&lt;=$A$19,$D$19,IF(Q428&gt;=INDEX($A$19:$A$2018,$H$6),INDEX($D$19:$D$2018,$H$6),INDEX($D$19:$D$2018,MATCH(Q428,$A$19:INDEX($A$19:$A$2018,$H$6),1))+(Q428-INDEX($A$19:$A$2018,MATCH(Q428,$A$19:INDEX($A$19:$A$2018,$H$6),1)))*(INDEX($D$19:$D$2018,MATCH(Q428,$A$19:INDEX($A$19:$A$2018,$H$6),1)+1)-INDEX($D$19:$D$2018,MATCH(Q428,$A$19:INDEX($A$19:$A$2018,$H$6),1)))/(INDEX($A$19:$A$2018,MATCH(Q428,$A$19:INDEX($A$19:$A$2018,$H$6),1)+1)-INDEX($A$19:$A$2018,MATCH(Q428,$A$19:INDEX($A$19:$A$2018,$H$6),1))))))</f>
        <v/>
      </c>
    </row>
    <row r="429">
      <c r="A429" s="11" t="n"/>
      <c r="B429" s="11" t="n"/>
      <c r="C429" s="12">
        <f>IF(A429="","",$B$9*TAN(RADIANS(A429)))</f>
        <v/>
      </c>
      <c r="D429" s="12">
        <f>IF(C429="","",C429*(1+B429/100))</f>
        <v/>
      </c>
      <c r="E429" s="12">
        <f>IF(A429="","",$B$10*TAN(RADIANS(A429)))</f>
        <v/>
      </c>
      <c r="G429" s="8" t="n">
        <v>411</v>
      </c>
      <c r="H429" s="8">
        <f>$K$14</f>
        <v/>
      </c>
      <c r="I429" s="7" t="inlineStr">
        <is>
          <t>橫</t>
        </is>
      </c>
      <c r="J429" s="8" t="n">
        <v>3</v>
      </c>
      <c r="K429" s="7" t="inlineStr">
        <is>
          <t>右下</t>
        </is>
      </c>
      <c r="L429" s="8">
        <f>$O$14-($M$14+$L$14)/2+(1)*$M$14/2</f>
        <v/>
      </c>
      <c r="M429" s="8">
        <f>$P$14-$M$14/2+$L$14/2+2*2*$L$14+(1)*$L$14/2</f>
        <v/>
      </c>
      <c r="N429" s="8">
        <f>L429-$B$7/2</f>
        <v/>
      </c>
      <c r="O429" s="8">
        <f>M429-$B$8/2</f>
        <v/>
      </c>
      <c r="P429" s="8">
        <f>SQRT(N429^2+O429^2)</f>
        <v/>
      </c>
      <c r="Q429" s="8">
        <f>IF(OR($H$7&lt;&gt;"OK",P429=""),"",IF(P429&lt;=$D$19,$A$19,IF(P429&gt;=INDEX($D$19:$D$2018,$H$6),INDEX($A$19:$A$2018,$H$6),INDEX($A$19:$A$2018,MATCH(P429,$D$19:INDEX($D$19:$D$2018,$H$6),1))+(P429-INDEX($D$19:$D$2018,MATCH(P429,$D$19:INDEX($D$19:$D$2018,$H$6),1)))*(INDEX($A$19:$A$2018,MATCH(P429,$D$19:INDEX($D$19:$D$2018,$H$6),1)+1)-INDEX($A$19:$A$2018,MATCH(P429,$D$19:INDEX($D$19:$D$2018,$H$6),1)))/(INDEX($D$19:$D$2018,MATCH(P429,$D$19:INDEX($D$19:$D$2018,$H$6),1)+1)-INDEX($D$19:$D$2018,MATCH(P429,$D$19:INDEX($D$19:$D$2018,$H$6),1))))))</f>
        <v/>
      </c>
      <c r="R429" s="8">
        <f>IF(P429=0,0,-Y429*N429/P429)</f>
        <v/>
      </c>
      <c r="S429" s="8">
        <f>IF(P429=0,0,Y429*O429/P429)</f>
        <v/>
      </c>
      <c r="T429" s="8">
        <f>IF(Y429=0,$B$7/2,$B$7/2-Z429*R429/Y429)</f>
        <v/>
      </c>
      <c r="U429" s="8">
        <f>IF(Y429=0,$B$8/2,$B$8/2+Z429*S429/Y429)</f>
        <v/>
      </c>
      <c r="V429" s="8">
        <f>SQRT((T429-L429)^2+(U429-M429)^2)</f>
        <v/>
      </c>
      <c r="Y429">
        <f>$B$10*TAN(RADIANS(Q429))</f>
        <v/>
      </c>
      <c r="Z429">
        <f>IF(OR($H$7&lt;&gt;"OK",Q429=""),"",IF(Q429&lt;=$A$19,$D$19,IF(Q429&gt;=INDEX($A$19:$A$2018,$H$6),INDEX($D$19:$D$2018,$H$6),INDEX($D$19:$D$2018,MATCH(Q429,$A$19:INDEX($A$19:$A$2018,$H$6),1))+(Q429-INDEX($A$19:$A$2018,MATCH(Q429,$A$19:INDEX($A$19:$A$2018,$H$6),1)))*(INDEX($D$19:$D$2018,MATCH(Q429,$A$19:INDEX($A$19:$A$2018,$H$6),1)+1)-INDEX($D$19:$D$2018,MATCH(Q429,$A$19:INDEX($A$19:$A$2018,$H$6),1)))/(INDEX($A$19:$A$2018,MATCH(Q429,$A$19:INDEX($A$19:$A$2018,$H$6),1)+1)-INDEX($A$19:$A$2018,MATCH(Q429,$A$19:INDEX($A$19:$A$2018,$H$6),1))))))</f>
        <v/>
      </c>
    </row>
    <row r="430">
      <c r="A430" s="11" t="n"/>
      <c r="B430" s="11" t="n"/>
      <c r="C430" s="12">
        <f>IF(A430="","",$B$9*TAN(RADIANS(A430)))</f>
        <v/>
      </c>
      <c r="D430" s="12">
        <f>IF(C430="","",C430*(1+B430/100))</f>
        <v/>
      </c>
      <c r="E430" s="12">
        <f>IF(A430="","",$B$10*TAN(RADIANS(A430)))</f>
        <v/>
      </c>
      <c r="G430" s="8" t="n">
        <v>412</v>
      </c>
      <c r="H430" s="8">
        <f>$K$14</f>
        <v/>
      </c>
      <c r="I430" s="7" t="inlineStr">
        <is>
          <t>橫</t>
        </is>
      </c>
      <c r="J430" s="8" t="n">
        <v>3</v>
      </c>
      <c r="K430" s="7" t="inlineStr">
        <is>
          <t>左下</t>
        </is>
      </c>
      <c r="L430" s="8">
        <f>$O$14-($M$14+$L$14)/2+(-1)*$M$14/2</f>
        <v/>
      </c>
      <c r="M430" s="8">
        <f>$P$14-$M$14/2+$L$14/2+2*2*$L$14+(1)*$L$14/2</f>
        <v/>
      </c>
      <c r="N430" s="8">
        <f>L430-$B$7/2</f>
        <v/>
      </c>
      <c r="O430" s="8">
        <f>M430-$B$8/2</f>
        <v/>
      </c>
      <c r="P430" s="8">
        <f>SQRT(N430^2+O430^2)</f>
        <v/>
      </c>
      <c r="Q430" s="8">
        <f>IF(OR($H$7&lt;&gt;"OK",P430=""),"",IF(P430&lt;=$D$19,$A$19,IF(P430&gt;=INDEX($D$19:$D$2018,$H$6),INDEX($A$19:$A$2018,$H$6),INDEX($A$19:$A$2018,MATCH(P430,$D$19:INDEX($D$19:$D$2018,$H$6),1))+(P430-INDEX($D$19:$D$2018,MATCH(P430,$D$19:INDEX($D$19:$D$2018,$H$6),1)))*(INDEX($A$19:$A$2018,MATCH(P430,$D$19:INDEX($D$19:$D$2018,$H$6),1)+1)-INDEX($A$19:$A$2018,MATCH(P430,$D$19:INDEX($D$19:$D$2018,$H$6),1)))/(INDEX($D$19:$D$2018,MATCH(P430,$D$19:INDEX($D$19:$D$2018,$H$6),1)+1)-INDEX($D$19:$D$2018,MATCH(P430,$D$19:INDEX($D$19:$D$2018,$H$6),1))))))</f>
        <v/>
      </c>
      <c r="R430" s="8">
        <f>IF(P430=0,0,-Y430*N430/P430)</f>
        <v/>
      </c>
      <c r="S430" s="8">
        <f>IF(P430=0,0,Y430*O430/P430)</f>
        <v/>
      </c>
      <c r="T430" s="8">
        <f>IF(Y430=0,$B$7/2,$B$7/2-Z430*R430/Y430)</f>
        <v/>
      </c>
      <c r="U430" s="8">
        <f>IF(Y430=0,$B$8/2,$B$8/2+Z430*S430/Y430)</f>
        <v/>
      </c>
      <c r="V430" s="8">
        <f>SQRT((T430-L430)^2+(U430-M430)^2)</f>
        <v/>
      </c>
      <c r="Y430">
        <f>$B$10*TAN(RADIANS(Q430))</f>
        <v/>
      </c>
      <c r="Z430">
        <f>IF(OR($H$7&lt;&gt;"OK",Q430=""),"",IF(Q430&lt;=$A$19,$D$19,IF(Q430&gt;=INDEX($A$19:$A$2018,$H$6),INDEX($D$19:$D$2018,$H$6),INDEX($D$19:$D$2018,MATCH(Q430,$A$19:INDEX($A$19:$A$2018,$H$6),1))+(Q430-INDEX($A$19:$A$2018,MATCH(Q430,$A$19:INDEX($A$19:$A$2018,$H$6),1)))*(INDEX($D$19:$D$2018,MATCH(Q430,$A$19:INDEX($A$19:$A$2018,$H$6),1)+1)-INDEX($D$19:$D$2018,MATCH(Q430,$A$19:INDEX($A$19:$A$2018,$H$6),1)))/(INDEX($A$19:$A$2018,MATCH(Q430,$A$19:INDEX($A$19:$A$2018,$H$6),1)+1)-INDEX($A$19:$A$2018,MATCH(Q430,$A$19:INDEX($A$19:$A$2018,$H$6),1))))))</f>
        <v/>
      </c>
    </row>
    <row r="431">
      <c r="A431" s="11" t="n"/>
      <c r="B431" s="11" t="n"/>
      <c r="C431" s="12">
        <f>IF(A431="","",$B$9*TAN(RADIANS(A431)))</f>
        <v/>
      </c>
      <c r="D431" s="12">
        <f>IF(C431="","",C431*(1+B431/100))</f>
        <v/>
      </c>
      <c r="E431" s="12">
        <f>IF(A431="","",$B$10*TAN(RADIANS(A431)))</f>
        <v/>
      </c>
      <c r="G431" s="8" t="n">
        <v>413</v>
      </c>
      <c r="H431" s="8">
        <f>$K$14</f>
        <v/>
      </c>
      <c r="I431" s="7" t="inlineStr">
        <is>
          <t>橫</t>
        </is>
      </c>
      <c r="J431" s="8" t="n">
        <v>4</v>
      </c>
      <c r="K431" s="7" t="inlineStr">
        <is>
          <t>左上</t>
        </is>
      </c>
      <c r="L431" s="8">
        <f>$O$14-($M$14+$L$14)/2+(-1)*$M$14/2</f>
        <v/>
      </c>
      <c r="M431" s="8">
        <f>$P$14-$M$14/2+$L$14/2+3*2*$L$14+(-1)*$L$14/2</f>
        <v/>
      </c>
      <c r="N431" s="8">
        <f>L431-$B$7/2</f>
        <v/>
      </c>
      <c r="O431" s="8">
        <f>M431-$B$8/2</f>
        <v/>
      </c>
      <c r="P431" s="8">
        <f>SQRT(N431^2+O431^2)</f>
        <v/>
      </c>
      <c r="Q431" s="8">
        <f>IF(OR($H$7&lt;&gt;"OK",P431=""),"",IF(P431&lt;=$D$19,$A$19,IF(P431&gt;=INDEX($D$19:$D$2018,$H$6),INDEX($A$19:$A$2018,$H$6),INDEX($A$19:$A$2018,MATCH(P431,$D$19:INDEX($D$19:$D$2018,$H$6),1))+(P431-INDEX($D$19:$D$2018,MATCH(P431,$D$19:INDEX($D$19:$D$2018,$H$6),1)))*(INDEX($A$19:$A$2018,MATCH(P431,$D$19:INDEX($D$19:$D$2018,$H$6),1)+1)-INDEX($A$19:$A$2018,MATCH(P431,$D$19:INDEX($D$19:$D$2018,$H$6),1)))/(INDEX($D$19:$D$2018,MATCH(P431,$D$19:INDEX($D$19:$D$2018,$H$6),1)+1)-INDEX($D$19:$D$2018,MATCH(P431,$D$19:INDEX($D$19:$D$2018,$H$6),1))))))</f>
        <v/>
      </c>
      <c r="R431" s="8">
        <f>IF(P431=0,0,-Y431*N431/P431)</f>
        <v/>
      </c>
      <c r="S431" s="8">
        <f>IF(P431=0,0,Y431*O431/P431)</f>
        <v/>
      </c>
      <c r="T431" s="8">
        <f>IF(Y431=0,$B$7/2,$B$7/2-Z431*R431/Y431)</f>
        <v/>
      </c>
      <c r="U431" s="8">
        <f>IF(Y431=0,$B$8/2,$B$8/2+Z431*S431/Y431)</f>
        <v/>
      </c>
      <c r="V431" s="8">
        <f>SQRT((T431-L431)^2+(U431-M431)^2)</f>
        <v/>
      </c>
      <c r="Y431">
        <f>$B$10*TAN(RADIANS(Q431))</f>
        <v/>
      </c>
      <c r="Z431">
        <f>IF(OR($H$7&lt;&gt;"OK",Q431=""),"",IF(Q431&lt;=$A$19,$D$19,IF(Q431&gt;=INDEX($A$19:$A$2018,$H$6),INDEX($D$19:$D$2018,$H$6),INDEX($D$19:$D$2018,MATCH(Q431,$A$19:INDEX($A$19:$A$2018,$H$6),1))+(Q431-INDEX($A$19:$A$2018,MATCH(Q431,$A$19:INDEX($A$19:$A$2018,$H$6),1)))*(INDEX($D$19:$D$2018,MATCH(Q431,$A$19:INDEX($A$19:$A$2018,$H$6),1)+1)-INDEX($D$19:$D$2018,MATCH(Q431,$A$19:INDEX($A$19:$A$2018,$H$6),1)))/(INDEX($A$19:$A$2018,MATCH(Q431,$A$19:INDEX($A$19:$A$2018,$H$6),1)+1)-INDEX($A$19:$A$2018,MATCH(Q431,$A$19:INDEX($A$19:$A$2018,$H$6),1))))))</f>
        <v/>
      </c>
    </row>
    <row r="432">
      <c r="A432" s="11" t="n"/>
      <c r="B432" s="11" t="n"/>
      <c r="C432" s="12">
        <f>IF(A432="","",$B$9*TAN(RADIANS(A432)))</f>
        <v/>
      </c>
      <c r="D432" s="12">
        <f>IF(C432="","",C432*(1+B432/100))</f>
        <v/>
      </c>
      <c r="E432" s="12">
        <f>IF(A432="","",$B$10*TAN(RADIANS(A432)))</f>
        <v/>
      </c>
      <c r="G432" s="8" t="n">
        <v>414</v>
      </c>
      <c r="H432" s="8">
        <f>$K$14</f>
        <v/>
      </c>
      <c r="I432" s="7" t="inlineStr">
        <is>
          <t>橫</t>
        </is>
      </c>
      <c r="J432" s="8" t="n">
        <v>4</v>
      </c>
      <c r="K432" s="7" t="inlineStr">
        <is>
          <t>右上</t>
        </is>
      </c>
      <c r="L432" s="8">
        <f>$O$14-($M$14+$L$14)/2+(1)*$M$14/2</f>
        <v/>
      </c>
      <c r="M432" s="8">
        <f>$P$14-$M$14/2+$L$14/2+3*2*$L$14+(-1)*$L$14/2</f>
        <v/>
      </c>
      <c r="N432" s="8">
        <f>L432-$B$7/2</f>
        <v/>
      </c>
      <c r="O432" s="8">
        <f>M432-$B$8/2</f>
        <v/>
      </c>
      <c r="P432" s="8">
        <f>SQRT(N432^2+O432^2)</f>
        <v/>
      </c>
      <c r="Q432" s="8">
        <f>IF(OR($H$7&lt;&gt;"OK",P432=""),"",IF(P432&lt;=$D$19,$A$19,IF(P432&gt;=INDEX($D$19:$D$2018,$H$6),INDEX($A$19:$A$2018,$H$6),INDEX($A$19:$A$2018,MATCH(P432,$D$19:INDEX($D$19:$D$2018,$H$6),1))+(P432-INDEX($D$19:$D$2018,MATCH(P432,$D$19:INDEX($D$19:$D$2018,$H$6),1)))*(INDEX($A$19:$A$2018,MATCH(P432,$D$19:INDEX($D$19:$D$2018,$H$6),1)+1)-INDEX($A$19:$A$2018,MATCH(P432,$D$19:INDEX($D$19:$D$2018,$H$6),1)))/(INDEX($D$19:$D$2018,MATCH(P432,$D$19:INDEX($D$19:$D$2018,$H$6),1)+1)-INDEX($D$19:$D$2018,MATCH(P432,$D$19:INDEX($D$19:$D$2018,$H$6),1))))))</f>
        <v/>
      </c>
      <c r="R432" s="8">
        <f>IF(P432=0,0,-Y432*N432/P432)</f>
        <v/>
      </c>
      <c r="S432" s="8">
        <f>IF(P432=0,0,Y432*O432/P432)</f>
        <v/>
      </c>
      <c r="T432" s="8">
        <f>IF(Y432=0,$B$7/2,$B$7/2-Z432*R432/Y432)</f>
        <v/>
      </c>
      <c r="U432" s="8">
        <f>IF(Y432=0,$B$8/2,$B$8/2+Z432*S432/Y432)</f>
        <v/>
      </c>
      <c r="V432" s="8">
        <f>SQRT((T432-L432)^2+(U432-M432)^2)</f>
        <v/>
      </c>
      <c r="Y432">
        <f>$B$10*TAN(RADIANS(Q432))</f>
        <v/>
      </c>
      <c r="Z432">
        <f>IF(OR($H$7&lt;&gt;"OK",Q432=""),"",IF(Q432&lt;=$A$19,$D$19,IF(Q432&gt;=INDEX($A$19:$A$2018,$H$6),INDEX($D$19:$D$2018,$H$6),INDEX($D$19:$D$2018,MATCH(Q432,$A$19:INDEX($A$19:$A$2018,$H$6),1))+(Q432-INDEX($A$19:$A$2018,MATCH(Q432,$A$19:INDEX($A$19:$A$2018,$H$6),1)))*(INDEX($D$19:$D$2018,MATCH(Q432,$A$19:INDEX($A$19:$A$2018,$H$6),1)+1)-INDEX($D$19:$D$2018,MATCH(Q432,$A$19:INDEX($A$19:$A$2018,$H$6),1)))/(INDEX($A$19:$A$2018,MATCH(Q432,$A$19:INDEX($A$19:$A$2018,$H$6),1)+1)-INDEX($A$19:$A$2018,MATCH(Q432,$A$19:INDEX($A$19:$A$2018,$H$6),1))))))</f>
        <v/>
      </c>
    </row>
    <row r="433">
      <c r="A433" s="11" t="n"/>
      <c r="B433" s="11" t="n"/>
      <c r="C433" s="12">
        <f>IF(A433="","",$B$9*TAN(RADIANS(A433)))</f>
        <v/>
      </c>
      <c r="D433" s="12">
        <f>IF(C433="","",C433*(1+B433/100))</f>
        <v/>
      </c>
      <c r="E433" s="12">
        <f>IF(A433="","",$B$10*TAN(RADIANS(A433)))</f>
        <v/>
      </c>
      <c r="G433" s="8" t="n">
        <v>415</v>
      </c>
      <c r="H433" s="8">
        <f>$K$14</f>
        <v/>
      </c>
      <c r="I433" s="7" t="inlineStr">
        <is>
          <t>橫</t>
        </is>
      </c>
      <c r="J433" s="8" t="n">
        <v>4</v>
      </c>
      <c r="K433" s="7" t="inlineStr">
        <is>
          <t>右下</t>
        </is>
      </c>
      <c r="L433" s="8">
        <f>$O$14-($M$14+$L$14)/2+(1)*$M$14/2</f>
        <v/>
      </c>
      <c r="M433" s="8">
        <f>$P$14-$M$14/2+$L$14/2+3*2*$L$14+(1)*$L$14/2</f>
        <v/>
      </c>
      <c r="N433" s="8">
        <f>L433-$B$7/2</f>
        <v/>
      </c>
      <c r="O433" s="8">
        <f>M433-$B$8/2</f>
        <v/>
      </c>
      <c r="P433" s="8">
        <f>SQRT(N433^2+O433^2)</f>
        <v/>
      </c>
      <c r="Q433" s="8">
        <f>IF(OR($H$7&lt;&gt;"OK",P433=""),"",IF(P433&lt;=$D$19,$A$19,IF(P433&gt;=INDEX($D$19:$D$2018,$H$6),INDEX($A$19:$A$2018,$H$6),INDEX($A$19:$A$2018,MATCH(P433,$D$19:INDEX($D$19:$D$2018,$H$6),1))+(P433-INDEX($D$19:$D$2018,MATCH(P433,$D$19:INDEX($D$19:$D$2018,$H$6),1)))*(INDEX($A$19:$A$2018,MATCH(P433,$D$19:INDEX($D$19:$D$2018,$H$6),1)+1)-INDEX($A$19:$A$2018,MATCH(P433,$D$19:INDEX($D$19:$D$2018,$H$6),1)))/(INDEX($D$19:$D$2018,MATCH(P433,$D$19:INDEX($D$19:$D$2018,$H$6),1)+1)-INDEX($D$19:$D$2018,MATCH(P433,$D$19:INDEX($D$19:$D$2018,$H$6),1))))))</f>
        <v/>
      </c>
      <c r="R433" s="8">
        <f>IF(P433=0,0,-Y433*N433/P433)</f>
        <v/>
      </c>
      <c r="S433" s="8">
        <f>IF(P433=0,0,Y433*O433/P433)</f>
        <v/>
      </c>
      <c r="T433" s="8">
        <f>IF(Y433=0,$B$7/2,$B$7/2-Z433*R433/Y433)</f>
        <v/>
      </c>
      <c r="U433" s="8">
        <f>IF(Y433=0,$B$8/2,$B$8/2+Z433*S433/Y433)</f>
        <v/>
      </c>
      <c r="V433" s="8">
        <f>SQRT((T433-L433)^2+(U433-M433)^2)</f>
        <v/>
      </c>
      <c r="Y433">
        <f>$B$10*TAN(RADIANS(Q433))</f>
        <v/>
      </c>
      <c r="Z433">
        <f>IF(OR($H$7&lt;&gt;"OK",Q433=""),"",IF(Q433&lt;=$A$19,$D$19,IF(Q433&gt;=INDEX($A$19:$A$2018,$H$6),INDEX($D$19:$D$2018,$H$6),INDEX($D$19:$D$2018,MATCH(Q433,$A$19:INDEX($A$19:$A$2018,$H$6),1))+(Q433-INDEX($A$19:$A$2018,MATCH(Q433,$A$19:INDEX($A$19:$A$2018,$H$6),1)))*(INDEX($D$19:$D$2018,MATCH(Q433,$A$19:INDEX($A$19:$A$2018,$H$6),1)+1)-INDEX($D$19:$D$2018,MATCH(Q433,$A$19:INDEX($A$19:$A$2018,$H$6),1)))/(INDEX($A$19:$A$2018,MATCH(Q433,$A$19:INDEX($A$19:$A$2018,$H$6),1)+1)-INDEX($A$19:$A$2018,MATCH(Q433,$A$19:INDEX($A$19:$A$2018,$H$6),1))))))</f>
        <v/>
      </c>
    </row>
    <row r="434">
      <c r="A434" s="11" t="n"/>
      <c r="B434" s="11" t="n"/>
      <c r="C434" s="12">
        <f>IF(A434="","",$B$9*TAN(RADIANS(A434)))</f>
        <v/>
      </c>
      <c r="D434" s="12">
        <f>IF(C434="","",C434*(1+B434/100))</f>
        <v/>
      </c>
      <c r="E434" s="12">
        <f>IF(A434="","",$B$10*TAN(RADIANS(A434)))</f>
        <v/>
      </c>
      <c r="G434" s="8" t="n">
        <v>416</v>
      </c>
      <c r="H434" s="8">
        <f>$K$14</f>
        <v/>
      </c>
      <c r="I434" s="7" t="inlineStr">
        <is>
          <t>橫</t>
        </is>
      </c>
      <c r="J434" s="8" t="n">
        <v>4</v>
      </c>
      <c r="K434" s="7" t="inlineStr">
        <is>
          <t>左下</t>
        </is>
      </c>
      <c r="L434" s="8">
        <f>$O$14-($M$14+$L$14)/2+(-1)*$M$14/2</f>
        <v/>
      </c>
      <c r="M434" s="8">
        <f>$P$14-$M$14/2+$L$14/2+3*2*$L$14+(1)*$L$14/2</f>
        <v/>
      </c>
      <c r="N434" s="8">
        <f>L434-$B$7/2</f>
        <v/>
      </c>
      <c r="O434" s="8">
        <f>M434-$B$8/2</f>
        <v/>
      </c>
      <c r="P434" s="8">
        <f>SQRT(N434^2+O434^2)</f>
        <v/>
      </c>
      <c r="Q434" s="8">
        <f>IF(OR($H$7&lt;&gt;"OK",P434=""),"",IF(P434&lt;=$D$19,$A$19,IF(P434&gt;=INDEX($D$19:$D$2018,$H$6),INDEX($A$19:$A$2018,$H$6),INDEX($A$19:$A$2018,MATCH(P434,$D$19:INDEX($D$19:$D$2018,$H$6),1))+(P434-INDEX($D$19:$D$2018,MATCH(P434,$D$19:INDEX($D$19:$D$2018,$H$6),1)))*(INDEX($A$19:$A$2018,MATCH(P434,$D$19:INDEX($D$19:$D$2018,$H$6),1)+1)-INDEX($A$19:$A$2018,MATCH(P434,$D$19:INDEX($D$19:$D$2018,$H$6),1)))/(INDEX($D$19:$D$2018,MATCH(P434,$D$19:INDEX($D$19:$D$2018,$H$6),1)+1)-INDEX($D$19:$D$2018,MATCH(P434,$D$19:INDEX($D$19:$D$2018,$H$6),1))))))</f>
        <v/>
      </c>
      <c r="R434" s="8">
        <f>IF(P434=0,0,-Y434*N434/P434)</f>
        <v/>
      </c>
      <c r="S434" s="8">
        <f>IF(P434=0,0,Y434*O434/P434)</f>
        <v/>
      </c>
      <c r="T434" s="8">
        <f>IF(Y434=0,$B$7/2,$B$7/2-Z434*R434/Y434)</f>
        <v/>
      </c>
      <c r="U434" s="8">
        <f>IF(Y434=0,$B$8/2,$B$8/2+Z434*S434/Y434)</f>
        <v/>
      </c>
      <c r="V434" s="8">
        <f>SQRT((T434-L434)^2+(U434-M434)^2)</f>
        <v/>
      </c>
      <c r="Y434">
        <f>$B$10*TAN(RADIANS(Q434))</f>
        <v/>
      </c>
      <c r="Z434">
        <f>IF(OR($H$7&lt;&gt;"OK",Q434=""),"",IF(Q434&lt;=$A$19,$D$19,IF(Q434&gt;=INDEX($A$19:$A$2018,$H$6),INDEX($D$19:$D$2018,$H$6),INDEX($D$19:$D$2018,MATCH(Q434,$A$19:INDEX($A$19:$A$2018,$H$6),1))+(Q434-INDEX($A$19:$A$2018,MATCH(Q434,$A$19:INDEX($A$19:$A$2018,$H$6),1)))*(INDEX($D$19:$D$2018,MATCH(Q434,$A$19:INDEX($A$19:$A$2018,$H$6),1)+1)-INDEX($D$19:$D$2018,MATCH(Q434,$A$19:INDEX($A$19:$A$2018,$H$6),1)))/(INDEX($A$19:$A$2018,MATCH(Q434,$A$19:INDEX($A$19:$A$2018,$H$6),1)+1)-INDEX($A$19:$A$2018,MATCH(Q434,$A$19:INDEX($A$19:$A$2018,$H$6),1))))))</f>
        <v/>
      </c>
    </row>
    <row r="435">
      <c r="A435" s="11" t="n"/>
      <c r="B435" s="11" t="n"/>
      <c r="C435" s="12">
        <f>IF(A435="","",$B$9*TAN(RADIANS(A435)))</f>
        <v/>
      </c>
      <c r="D435" s="12">
        <f>IF(C435="","",C435*(1+B435/100))</f>
        <v/>
      </c>
      <c r="E435" s="12">
        <f>IF(A435="","",$B$10*TAN(RADIANS(A435)))</f>
        <v/>
      </c>
      <c r="G435" s="8" t="n">
        <v>417</v>
      </c>
      <c r="H435" s="8">
        <f>$K$14</f>
        <v/>
      </c>
      <c r="I435" s="7" t="inlineStr">
        <is>
          <t>橫</t>
        </is>
      </c>
      <c r="J435" s="8" t="n">
        <v>5</v>
      </c>
      <c r="K435" s="7" t="inlineStr">
        <is>
          <t>左上</t>
        </is>
      </c>
      <c r="L435" s="8">
        <f>$O$14-($M$14+$L$14)/2+(-1)*$M$14/2</f>
        <v/>
      </c>
      <c r="M435" s="8">
        <f>$P$14-$M$14/2+$L$14/2+4*2*$L$14+(-1)*$L$14/2</f>
        <v/>
      </c>
      <c r="N435" s="8">
        <f>L435-$B$7/2</f>
        <v/>
      </c>
      <c r="O435" s="8">
        <f>M435-$B$8/2</f>
        <v/>
      </c>
      <c r="P435" s="8">
        <f>SQRT(N435^2+O435^2)</f>
        <v/>
      </c>
      <c r="Q435" s="8">
        <f>IF(OR($H$7&lt;&gt;"OK",P435=""),"",IF(P435&lt;=$D$19,$A$19,IF(P435&gt;=INDEX($D$19:$D$2018,$H$6),INDEX($A$19:$A$2018,$H$6),INDEX($A$19:$A$2018,MATCH(P435,$D$19:INDEX($D$19:$D$2018,$H$6),1))+(P435-INDEX($D$19:$D$2018,MATCH(P435,$D$19:INDEX($D$19:$D$2018,$H$6),1)))*(INDEX($A$19:$A$2018,MATCH(P435,$D$19:INDEX($D$19:$D$2018,$H$6),1)+1)-INDEX($A$19:$A$2018,MATCH(P435,$D$19:INDEX($D$19:$D$2018,$H$6),1)))/(INDEX($D$19:$D$2018,MATCH(P435,$D$19:INDEX($D$19:$D$2018,$H$6),1)+1)-INDEX($D$19:$D$2018,MATCH(P435,$D$19:INDEX($D$19:$D$2018,$H$6),1))))))</f>
        <v/>
      </c>
      <c r="R435" s="8">
        <f>IF(P435=0,0,-Y435*N435/P435)</f>
        <v/>
      </c>
      <c r="S435" s="8">
        <f>IF(P435=0,0,Y435*O435/P435)</f>
        <v/>
      </c>
      <c r="T435" s="8">
        <f>IF(Y435=0,$B$7/2,$B$7/2-Z435*R435/Y435)</f>
        <v/>
      </c>
      <c r="U435" s="8">
        <f>IF(Y435=0,$B$8/2,$B$8/2+Z435*S435/Y435)</f>
        <v/>
      </c>
      <c r="V435" s="8">
        <f>SQRT((T435-L435)^2+(U435-M435)^2)</f>
        <v/>
      </c>
      <c r="Y435">
        <f>$B$10*TAN(RADIANS(Q435))</f>
        <v/>
      </c>
      <c r="Z435">
        <f>IF(OR($H$7&lt;&gt;"OK",Q435=""),"",IF(Q435&lt;=$A$19,$D$19,IF(Q435&gt;=INDEX($A$19:$A$2018,$H$6),INDEX($D$19:$D$2018,$H$6),INDEX($D$19:$D$2018,MATCH(Q435,$A$19:INDEX($A$19:$A$2018,$H$6),1))+(Q435-INDEX($A$19:$A$2018,MATCH(Q435,$A$19:INDEX($A$19:$A$2018,$H$6),1)))*(INDEX($D$19:$D$2018,MATCH(Q435,$A$19:INDEX($A$19:$A$2018,$H$6),1)+1)-INDEX($D$19:$D$2018,MATCH(Q435,$A$19:INDEX($A$19:$A$2018,$H$6),1)))/(INDEX($A$19:$A$2018,MATCH(Q435,$A$19:INDEX($A$19:$A$2018,$H$6),1)+1)-INDEX($A$19:$A$2018,MATCH(Q435,$A$19:INDEX($A$19:$A$2018,$H$6),1))))))</f>
        <v/>
      </c>
    </row>
    <row r="436">
      <c r="A436" s="11" t="n"/>
      <c r="B436" s="11" t="n"/>
      <c r="C436" s="12">
        <f>IF(A436="","",$B$9*TAN(RADIANS(A436)))</f>
        <v/>
      </c>
      <c r="D436" s="12">
        <f>IF(C436="","",C436*(1+B436/100))</f>
        <v/>
      </c>
      <c r="E436" s="12">
        <f>IF(A436="","",$B$10*TAN(RADIANS(A436)))</f>
        <v/>
      </c>
      <c r="G436" s="8" t="n">
        <v>418</v>
      </c>
      <c r="H436" s="8">
        <f>$K$14</f>
        <v/>
      </c>
      <c r="I436" s="7" t="inlineStr">
        <is>
          <t>橫</t>
        </is>
      </c>
      <c r="J436" s="8" t="n">
        <v>5</v>
      </c>
      <c r="K436" s="7" t="inlineStr">
        <is>
          <t>右上</t>
        </is>
      </c>
      <c r="L436" s="8">
        <f>$O$14-($M$14+$L$14)/2+(1)*$M$14/2</f>
        <v/>
      </c>
      <c r="M436" s="8">
        <f>$P$14-$M$14/2+$L$14/2+4*2*$L$14+(-1)*$L$14/2</f>
        <v/>
      </c>
      <c r="N436" s="8">
        <f>L436-$B$7/2</f>
        <v/>
      </c>
      <c r="O436" s="8">
        <f>M436-$B$8/2</f>
        <v/>
      </c>
      <c r="P436" s="8">
        <f>SQRT(N436^2+O436^2)</f>
        <v/>
      </c>
      <c r="Q436" s="8">
        <f>IF(OR($H$7&lt;&gt;"OK",P436=""),"",IF(P436&lt;=$D$19,$A$19,IF(P436&gt;=INDEX($D$19:$D$2018,$H$6),INDEX($A$19:$A$2018,$H$6),INDEX($A$19:$A$2018,MATCH(P436,$D$19:INDEX($D$19:$D$2018,$H$6),1))+(P436-INDEX($D$19:$D$2018,MATCH(P436,$D$19:INDEX($D$19:$D$2018,$H$6),1)))*(INDEX($A$19:$A$2018,MATCH(P436,$D$19:INDEX($D$19:$D$2018,$H$6),1)+1)-INDEX($A$19:$A$2018,MATCH(P436,$D$19:INDEX($D$19:$D$2018,$H$6),1)))/(INDEX($D$19:$D$2018,MATCH(P436,$D$19:INDEX($D$19:$D$2018,$H$6),1)+1)-INDEX($D$19:$D$2018,MATCH(P436,$D$19:INDEX($D$19:$D$2018,$H$6),1))))))</f>
        <v/>
      </c>
      <c r="R436" s="8">
        <f>IF(P436=0,0,-Y436*N436/P436)</f>
        <v/>
      </c>
      <c r="S436" s="8">
        <f>IF(P436=0,0,Y436*O436/P436)</f>
        <v/>
      </c>
      <c r="T436" s="8">
        <f>IF(Y436=0,$B$7/2,$B$7/2-Z436*R436/Y436)</f>
        <v/>
      </c>
      <c r="U436" s="8">
        <f>IF(Y436=0,$B$8/2,$B$8/2+Z436*S436/Y436)</f>
        <v/>
      </c>
      <c r="V436" s="8">
        <f>SQRT((T436-L436)^2+(U436-M436)^2)</f>
        <v/>
      </c>
      <c r="Y436">
        <f>$B$10*TAN(RADIANS(Q436))</f>
        <v/>
      </c>
      <c r="Z436">
        <f>IF(OR($H$7&lt;&gt;"OK",Q436=""),"",IF(Q436&lt;=$A$19,$D$19,IF(Q436&gt;=INDEX($A$19:$A$2018,$H$6),INDEX($D$19:$D$2018,$H$6),INDEX($D$19:$D$2018,MATCH(Q436,$A$19:INDEX($A$19:$A$2018,$H$6),1))+(Q436-INDEX($A$19:$A$2018,MATCH(Q436,$A$19:INDEX($A$19:$A$2018,$H$6),1)))*(INDEX($D$19:$D$2018,MATCH(Q436,$A$19:INDEX($A$19:$A$2018,$H$6),1)+1)-INDEX($D$19:$D$2018,MATCH(Q436,$A$19:INDEX($A$19:$A$2018,$H$6),1)))/(INDEX($A$19:$A$2018,MATCH(Q436,$A$19:INDEX($A$19:$A$2018,$H$6),1)+1)-INDEX($A$19:$A$2018,MATCH(Q436,$A$19:INDEX($A$19:$A$2018,$H$6),1))))))</f>
        <v/>
      </c>
    </row>
    <row r="437">
      <c r="A437" s="11" t="n"/>
      <c r="B437" s="11" t="n"/>
      <c r="C437" s="12">
        <f>IF(A437="","",$B$9*TAN(RADIANS(A437)))</f>
        <v/>
      </c>
      <c r="D437" s="12">
        <f>IF(C437="","",C437*(1+B437/100))</f>
        <v/>
      </c>
      <c r="E437" s="12">
        <f>IF(A437="","",$B$10*TAN(RADIANS(A437)))</f>
        <v/>
      </c>
      <c r="G437" s="8" t="n">
        <v>419</v>
      </c>
      <c r="H437" s="8">
        <f>$K$14</f>
        <v/>
      </c>
      <c r="I437" s="7" t="inlineStr">
        <is>
          <t>橫</t>
        </is>
      </c>
      <c r="J437" s="8" t="n">
        <v>5</v>
      </c>
      <c r="K437" s="7" t="inlineStr">
        <is>
          <t>右下</t>
        </is>
      </c>
      <c r="L437" s="8">
        <f>$O$14-($M$14+$L$14)/2+(1)*$M$14/2</f>
        <v/>
      </c>
      <c r="M437" s="8">
        <f>$P$14-$M$14/2+$L$14/2+4*2*$L$14+(1)*$L$14/2</f>
        <v/>
      </c>
      <c r="N437" s="8">
        <f>L437-$B$7/2</f>
        <v/>
      </c>
      <c r="O437" s="8">
        <f>M437-$B$8/2</f>
        <v/>
      </c>
      <c r="P437" s="8">
        <f>SQRT(N437^2+O437^2)</f>
        <v/>
      </c>
      <c r="Q437" s="8">
        <f>IF(OR($H$7&lt;&gt;"OK",P437=""),"",IF(P437&lt;=$D$19,$A$19,IF(P437&gt;=INDEX($D$19:$D$2018,$H$6),INDEX($A$19:$A$2018,$H$6),INDEX($A$19:$A$2018,MATCH(P437,$D$19:INDEX($D$19:$D$2018,$H$6),1))+(P437-INDEX($D$19:$D$2018,MATCH(P437,$D$19:INDEX($D$19:$D$2018,$H$6),1)))*(INDEX($A$19:$A$2018,MATCH(P437,$D$19:INDEX($D$19:$D$2018,$H$6),1)+1)-INDEX($A$19:$A$2018,MATCH(P437,$D$19:INDEX($D$19:$D$2018,$H$6),1)))/(INDEX($D$19:$D$2018,MATCH(P437,$D$19:INDEX($D$19:$D$2018,$H$6),1)+1)-INDEX($D$19:$D$2018,MATCH(P437,$D$19:INDEX($D$19:$D$2018,$H$6),1))))))</f>
        <v/>
      </c>
      <c r="R437" s="8">
        <f>IF(P437=0,0,-Y437*N437/P437)</f>
        <v/>
      </c>
      <c r="S437" s="8">
        <f>IF(P437=0,0,Y437*O437/P437)</f>
        <v/>
      </c>
      <c r="T437" s="8">
        <f>IF(Y437=0,$B$7/2,$B$7/2-Z437*R437/Y437)</f>
        <v/>
      </c>
      <c r="U437" s="8">
        <f>IF(Y437=0,$B$8/2,$B$8/2+Z437*S437/Y437)</f>
        <v/>
      </c>
      <c r="V437" s="8">
        <f>SQRT((T437-L437)^2+(U437-M437)^2)</f>
        <v/>
      </c>
      <c r="Y437">
        <f>$B$10*TAN(RADIANS(Q437))</f>
        <v/>
      </c>
      <c r="Z437">
        <f>IF(OR($H$7&lt;&gt;"OK",Q437=""),"",IF(Q437&lt;=$A$19,$D$19,IF(Q437&gt;=INDEX($A$19:$A$2018,$H$6),INDEX($D$19:$D$2018,$H$6),INDEX($D$19:$D$2018,MATCH(Q437,$A$19:INDEX($A$19:$A$2018,$H$6),1))+(Q437-INDEX($A$19:$A$2018,MATCH(Q437,$A$19:INDEX($A$19:$A$2018,$H$6),1)))*(INDEX($D$19:$D$2018,MATCH(Q437,$A$19:INDEX($A$19:$A$2018,$H$6),1)+1)-INDEX($D$19:$D$2018,MATCH(Q437,$A$19:INDEX($A$19:$A$2018,$H$6),1)))/(INDEX($A$19:$A$2018,MATCH(Q437,$A$19:INDEX($A$19:$A$2018,$H$6),1)+1)-INDEX($A$19:$A$2018,MATCH(Q437,$A$19:INDEX($A$19:$A$2018,$H$6),1))))))</f>
        <v/>
      </c>
    </row>
    <row r="438">
      <c r="A438" s="11" t="n"/>
      <c r="B438" s="11" t="n"/>
      <c r="C438" s="12">
        <f>IF(A438="","",$B$9*TAN(RADIANS(A438)))</f>
        <v/>
      </c>
      <c r="D438" s="12">
        <f>IF(C438="","",C438*(1+B438/100))</f>
        <v/>
      </c>
      <c r="E438" s="12">
        <f>IF(A438="","",$B$10*TAN(RADIANS(A438)))</f>
        <v/>
      </c>
      <c r="G438" s="8" t="n">
        <v>420</v>
      </c>
      <c r="H438" s="8">
        <f>$K$14</f>
        <v/>
      </c>
      <c r="I438" s="7" t="inlineStr">
        <is>
          <t>橫</t>
        </is>
      </c>
      <c r="J438" s="8" t="n">
        <v>5</v>
      </c>
      <c r="K438" s="7" t="inlineStr">
        <is>
          <t>左下</t>
        </is>
      </c>
      <c r="L438" s="8">
        <f>$O$14-($M$14+$L$14)/2+(-1)*$M$14/2</f>
        <v/>
      </c>
      <c r="M438" s="8">
        <f>$P$14-$M$14/2+$L$14/2+4*2*$L$14+(1)*$L$14/2</f>
        <v/>
      </c>
      <c r="N438" s="8">
        <f>L438-$B$7/2</f>
        <v/>
      </c>
      <c r="O438" s="8">
        <f>M438-$B$8/2</f>
        <v/>
      </c>
      <c r="P438" s="8">
        <f>SQRT(N438^2+O438^2)</f>
        <v/>
      </c>
      <c r="Q438" s="8">
        <f>IF(OR($H$7&lt;&gt;"OK",P438=""),"",IF(P438&lt;=$D$19,$A$19,IF(P438&gt;=INDEX($D$19:$D$2018,$H$6),INDEX($A$19:$A$2018,$H$6),INDEX($A$19:$A$2018,MATCH(P438,$D$19:INDEX($D$19:$D$2018,$H$6),1))+(P438-INDEX($D$19:$D$2018,MATCH(P438,$D$19:INDEX($D$19:$D$2018,$H$6),1)))*(INDEX($A$19:$A$2018,MATCH(P438,$D$19:INDEX($D$19:$D$2018,$H$6),1)+1)-INDEX($A$19:$A$2018,MATCH(P438,$D$19:INDEX($D$19:$D$2018,$H$6),1)))/(INDEX($D$19:$D$2018,MATCH(P438,$D$19:INDEX($D$19:$D$2018,$H$6),1)+1)-INDEX($D$19:$D$2018,MATCH(P438,$D$19:INDEX($D$19:$D$2018,$H$6),1))))))</f>
        <v/>
      </c>
      <c r="R438" s="8">
        <f>IF(P438=0,0,-Y438*N438/P438)</f>
        <v/>
      </c>
      <c r="S438" s="8">
        <f>IF(P438=0,0,Y438*O438/P438)</f>
        <v/>
      </c>
      <c r="T438" s="8">
        <f>IF(Y438=0,$B$7/2,$B$7/2-Z438*R438/Y438)</f>
        <v/>
      </c>
      <c r="U438" s="8">
        <f>IF(Y438=0,$B$8/2,$B$8/2+Z438*S438/Y438)</f>
        <v/>
      </c>
      <c r="V438" s="8">
        <f>SQRT((T438-L438)^2+(U438-M438)^2)</f>
        <v/>
      </c>
      <c r="Y438">
        <f>$B$10*TAN(RADIANS(Q438))</f>
        <v/>
      </c>
      <c r="Z438">
        <f>IF(OR($H$7&lt;&gt;"OK",Q438=""),"",IF(Q438&lt;=$A$19,$D$19,IF(Q438&gt;=INDEX($A$19:$A$2018,$H$6),INDEX($D$19:$D$2018,$H$6),INDEX($D$19:$D$2018,MATCH(Q438,$A$19:INDEX($A$19:$A$2018,$H$6),1))+(Q438-INDEX($A$19:$A$2018,MATCH(Q438,$A$19:INDEX($A$19:$A$2018,$H$6),1)))*(INDEX($D$19:$D$2018,MATCH(Q438,$A$19:INDEX($A$19:$A$2018,$H$6),1)+1)-INDEX($D$19:$D$2018,MATCH(Q438,$A$19:INDEX($A$19:$A$2018,$H$6),1)))/(INDEX($A$19:$A$2018,MATCH(Q438,$A$19:INDEX($A$19:$A$2018,$H$6),1)+1)-INDEX($A$19:$A$2018,MATCH(Q438,$A$19:INDEX($A$19:$A$2018,$H$6),1))))))</f>
        <v/>
      </c>
    </row>
    <row r="439">
      <c r="A439" s="11" t="n"/>
      <c r="B439" s="11" t="n"/>
      <c r="C439" s="12">
        <f>IF(A439="","",$B$9*TAN(RADIANS(A439)))</f>
        <v/>
      </c>
      <c r="D439" s="12">
        <f>IF(C439="","",C439*(1+B439/100))</f>
        <v/>
      </c>
      <c r="E439" s="12">
        <f>IF(A439="","",$B$10*TAN(RADIANS(A439)))</f>
        <v/>
      </c>
      <c r="G439" s="8" t="n">
        <v>421</v>
      </c>
      <c r="H439" s="8">
        <f>$K$14</f>
        <v/>
      </c>
      <c r="I439" s="7" t="inlineStr">
        <is>
          <t>豎</t>
        </is>
      </c>
      <c r="J439" s="8" t="n">
        <v>1</v>
      </c>
      <c r="K439" s="7" t="inlineStr">
        <is>
          <t>左上</t>
        </is>
      </c>
      <c r="L439" s="8">
        <f>$O$14+($M$14+$L$14)/2-$M$14/2+$L$14/2+0*2*$L$14+(-1)*$L$14/2</f>
        <v/>
      </c>
      <c r="M439" s="8">
        <f>$P$14+(-1)*$M$14/2</f>
        <v/>
      </c>
      <c r="N439" s="8">
        <f>L439-$B$7/2</f>
        <v/>
      </c>
      <c r="O439" s="8">
        <f>M439-$B$8/2</f>
        <v/>
      </c>
      <c r="P439" s="8">
        <f>SQRT(N439^2+O439^2)</f>
        <v/>
      </c>
      <c r="Q439" s="8">
        <f>IF(OR($H$7&lt;&gt;"OK",P439=""),"",IF(P439&lt;=$D$19,$A$19,IF(P439&gt;=INDEX($D$19:$D$2018,$H$6),INDEX($A$19:$A$2018,$H$6),INDEX($A$19:$A$2018,MATCH(P439,$D$19:INDEX($D$19:$D$2018,$H$6),1))+(P439-INDEX($D$19:$D$2018,MATCH(P439,$D$19:INDEX($D$19:$D$2018,$H$6),1)))*(INDEX($A$19:$A$2018,MATCH(P439,$D$19:INDEX($D$19:$D$2018,$H$6),1)+1)-INDEX($A$19:$A$2018,MATCH(P439,$D$19:INDEX($D$19:$D$2018,$H$6),1)))/(INDEX($D$19:$D$2018,MATCH(P439,$D$19:INDEX($D$19:$D$2018,$H$6),1)+1)-INDEX($D$19:$D$2018,MATCH(P439,$D$19:INDEX($D$19:$D$2018,$H$6),1))))))</f>
        <v/>
      </c>
      <c r="R439" s="8">
        <f>IF(P439=0,0,-Y439*N439/P439)</f>
        <v/>
      </c>
      <c r="S439" s="8">
        <f>IF(P439=0,0,Y439*O439/P439)</f>
        <v/>
      </c>
      <c r="T439" s="8">
        <f>IF(Y439=0,$B$7/2,$B$7/2-Z439*R439/Y439)</f>
        <v/>
      </c>
      <c r="U439" s="8">
        <f>IF(Y439=0,$B$8/2,$B$8/2+Z439*S439/Y439)</f>
        <v/>
      </c>
      <c r="V439" s="8">
        <f>SQRT((T439-L439)^2+(U439-M439)^2)</f>
        <v/>
      </c>
      <c r="Y439">
        <f>$B$10*TAN(RADIANS(Q439))</f>
        <v/>
      </c>
      <c r="Z439">
        <f>IF(OR($H$7&lt;&gt;"OK",Q439=""),"",IF(Q439&lt;=$A$19,$D$19,IF(Q439&gt;=INDEX($A$19:$A$2018,$H$6),INDEX($D$19:$D$2018,$H$6),INDEX($D$19:$D$2018,MATCH(Q439,$A$19:INDEX($A$19:$A$2018,$H$6),1))+(Q439-INDEX($A$19:$A$2018,MATCH(Q439,$A$19:INDEX($A$19:$A$2018,$H$6),1)))*(INDEX($D$19:$D$2018,MATCH(Q439,$A$19:INDEX($A$19:$A$2018,$H$6),1)+1)-INDEX($D$19:$D$2018,MATCH(Q439,$A$19:INDEX($A$19:$A$2018,$H$6),1)))/(INDEX($A$19:$A$2018,MATCH(Q439,$A$19:INDEX($A$19:$A$2018,$H$6),1)+1)-INDEX($A$19:$A$2018,MATCH(Q439,$A$19:INDEX($A$19:$A$2018,$H$6),1))))))</f>
        <v/>
      </c>
    </row>
    <row r="440">
      <c r="A440" s="11" t="n"/>
      <c r="B440" s="11" t="n"/>
      <c r="C440" s="12">
        <f>IF(A440="","",$B$9*TAN(RADIANS(A440)))</f>
        <v/>
      </c>
      <c r="D440" s="12">
        <f>IF(C440="","",C440*(1+B440/100))</f>
        <v/>
      </c>
      <c r="E440" s="12">
        <f>IF(A440="","",$B$10*TAN(RADIANS(A440)))</f>
        <v/>
      </c>
      <c r="G440" s="8" t="n">
        <v>422</v>
      </c>
      <c r="H440" s="8">
        <f>$K$14</f>
        <v/>
      </c>
      <c r="I440" s="7" t="inlineStr">
        <is>
          <t>豎</t>
        </is>
      </c>
      <c r="J440" s="8" t="n">
        <v>1</v>
      </c>
      <c r="K440" s="7" t="inlineStr">
        <is>
          <t>右上</t>
        </is>
      </c>
      <c r="L440" s="8">
        <f>$O$14+($M$14+$L$14)/2-$M$14/2+$L$14/2+0*2*$L$14+(1)*$L$14/2</f>
        <v/>
      </c>
      <c r="M440" s="8">
        <f>$P$14+(-1)*$M$14/2</f>
        <v/>
      </c>
      <c r="N440" s="8">
        <f>L440-$B$7/2</f>
        <v/>
      </c>
      <c r="O440" s="8">
        <f>M440-$B$8/2</f>
        <v/>
      </c>
      <c r="P440" s="8">
        <f>SQRT(N440^2+O440^2)</f>
        <v/>
      </c>
      <c r="Q440" s="8">
        <f>IF(OR($H$7&lt;&gt;"OK",P440=""),"",IF(P440&lt;=$D$19,$A$19,IF(P440&gt;=INDEX($D$19:$D$2018,$H$6),INDEX($A$19:$A$2018,$H$6),INDEX($A$19:$A$2018,MATCH(P440,$D$19:INDEX($D$19:$D$2018,$H$6),1))+(P440-INDEX($D$19:$D$2018,MATCH(P440,$D$19:INDEX($D$19:$D$2018,$H$6),1)))*(INDEX($A$19:$A$2018,MATCH(P440,$D$19:INDEX($D$19:$D$2018,$H$6),1)+1)-INDEX($A$19:$A$2018,MATCH(P440,$D$19:INDEX($D$19:$D$2018,$H$6),1)))/(INDEX($D$19:$D$2018,MATCH(P440,$D$19:INDEX($D$19:$D$2018,$H$6),1)+1)-INDEX($D$19:$D$2018,MATCH(P440,$D$19:INDEX($D$19:$D$2018,$H$6),1))))))</f>
        <v/>
      </c>
      <c r="R440" s="8">
        <f>IF(P440=0,0,-Y440*N440/P440)</f>
        <v/>
      </c>
      <c r="S440" s="8">
        <f>IF(P440=0,0,Y440*O440/P440)</f>
        <v/>
      </c>
      <c r="T440" s="8">
        <f>IF(Y440=0,$B$7/2,$B$7/2-Z440*R440/Y440)</f>
        <v/>
      </c>
      <c r="U440" s="8">
        <f>IF(Y440=0,$B$8/2,$B$8/2+Z440*S440/Y440)</f>
        <v/>
      </c>
      <c r="V440" s="8">
        <f>SQRT((T440-L440)^2+(U440-M440)^2)</f>
        <v/>
      </c>
      <c r="Y440">
        <f>$B$10*TAN(RADIANS(Q440))</f>
        <v/>
      </c>
      <c r="Z440">
        <f>IF(OR($H$7&lt;&gt;"OK",Q440=""),"",IF(Q440&lt;=$A$19,$D$19,IF(Q440&gt;=INDEX($A$19:$A$2018,$H$6),INDEX($D$19:$D$2018,$H$6),INDEX($D$19:$D$2018,MATCH(Q440,$A$19:INDEX($A$19:$A$2018,$H$6),1))+(Q440-INDEX($A$19:$A$2018,MATCH(Q440,$A$19:INDEX($A$19:$A$2018,$H$6),1)))*(INDEX($D$19:$D$2018,MATCH(Q440,$A$19:INDEX($A$19:$A$2018,$H$6),1)+1)-INDEX($D$19:$D$2018,MATCH(Q440,$A$19:INDEX($A$19:$A$2018,$H$6),1)))/(INDEX($A$19:$A$2018,MATCH(Q440,$A$19:INDEX($A$19:$A$2018,$H$6),1)+1)-INDEX($A$19:$A$2018,MATCH(Q440,$A$19:INDEX($A$19:$A$2018,$H$6),1))))))</f>
        <v/>
      </c>
    </row>
    <row r="441">
      <c r="A441" s="11" t="n"/>
      <c r="B441" s="11" t="n"/>
      <c r="C441" s="12">
        <f>IF(A441="","",$B$9*TAN(RADIANS(A441)))</f>
        <v/>
      </c>
      <c r="D441" s="12">
        <f>IF(C441="","",C441*(1+B441/100))</f>
        <v/>
      </c>
      <c r="E441" s="12">
        <f>IF(A441="","",$B$10*TAN(RADIANS(A441)))</f>
        <v/>
      </c>
      <c r="G441" s="8" t="n">
        <v>423</v>
      </c>
      <c r="H441" s="8">
        <f>$K$14</f>
        <v/>
      </c>
      <c r="I441" s="7" t="inlineStr">
        <is>
          <t>豎</t>
        </is>
      </c>
      <c r="J441" s="8" t="n">
        <v>1</v>
      </c>
      <c r="K441" s="7" t="inlineStr">
        <is>
          <t>右下</t>
        </is>
      </c>
      <c r="L441" s="8">
        <f>$O$14+($M$14+$L$14)/2-$M$14/2+$L$14/2+0*2*$L$14+(1)*$L$14/2</f>
        <v/>
      </c>
      <c r="M441" s="8">
        <f>$P$14+(1)*$M$14/2</f>
        <v/>
      </c>
      <c r="N441" s="8">
        <f>L441-$B$7/2</f>
        <v/>
      </c>
      <c r="O441" s="8">
        <f>M441-$B$8/2</f>
        <v/>
      </c>
      <c r="P441" s="8">
        <f>SQRT(N441^2+O441^2)</f>
        <v/>
      </c>
      <c r="Q441" s="8">
        <f>IF(OR($H$7&lt;&gt;"OK",P441=""),"",IF(P441&lt;=$D$19,$A$19,IF(P441&gt;=INDEX($D$19:$D$2018,$H$6),INDEX($A$19:$A$2018,$H$6),INDEX($A$19:$A$2018,MATCH(P441,$D$19:INDEX($D$19:$D$2018,$H$6),1))+(P441-INDEX($D$19:$D$2018,MATCH(P441,$D$19:INDEX($D$19:$D$2018,$H$6),1)))*(INDEX($A$19:$A$2018,MATCH(P441,$D$19:INDEX($D$19:$D$2018,$H$6),1)+1)-INDEX($A$19:$A$2018,MATCH(P441,$D$19:INDEX($D$19:$D$2018,$H$6),1)))/(INDEX($D$19:$D$2018,MATCH(P441,$D$19:INDEX($D$19:$D$2018,$H$6),1)+1)-INDEX($D$19:$D$2018,MATCH(P441,$D$19:INDEX($D$19:$D$2018,$H$6),1))))))</f>
        <v/>
      </c>
      <c r="R441" s="8">
        <f>IF(P441=0,0,-Y441*N441/P441)</f>
        <v/>
      </c>
      <c r="S441" s="8">
        <f>IF(P441=0,0,Y441*O441/P441)</f>
        <v/>
      </c>
      <c r="T441" s="8">
        <f>IF(Y441=0,$B$7/2,$B$7/2-Z441*R441/Y441)</f>
        <v/>
      </c>
      <c r="U441" s="8">
        <f>IF(Y441=0,$B$8/2,$B$8/2+Z441*S441/Y441)</f>
        <v/>
      </c>
      <c r="V441" s="8">
        <f>SQRT((T441-L441)^2+(U441-M441)^2)</f>
        <v/>
      </c>
      <c r="Y441">
        <f>$B$10*TAN(RADIANS(Q441))</f>
        <v/>
      </c>
      <c r="Z441">
        <f>IF(OR($H$7&lt;&gt;"OK",Q441=""),"",IF(Q441&lt;=$A$19,$D$19,IF(Q441&gt;=INDEX($A$19:$A$2018,$H$6),INDEX($D$19:$D$2018,$H$6),INDEX($D$19:$D$2018,MATCH(Q441,$A$19:INDEX($A$19:$A$2018,$H$6),1))+(Q441-INDEX($A$19:$A$2018,MATCH(Q441,$A$19:INDEX($A$19:$A$2018,$H$6),1)))*(INDEX($D$19:$D$2018,MATCH(Q441,$A$19:INDEX($A$19:$A$2018,$H$6),1)+1)-INDEX($D$19:$D$2018,MATCH(Q441,$A$19:INDEX($A$19:$A$2018,$H$6),1)))/(INDEX($A$19:$A$2018,MATCH(Q441,$A$19:INDEX($A$19:$A$2018,$H$6),1)+1)-INDEX($A$19:$A$2018,MATCH(Q441,$A$19:INDEX($A$19:$A$2018,$H$6),1))))))</f>
        <v/>
      </c>
    </row>
    <row r="442">
      <c r="A442" s="11" t="n"/>
      <c r="B442" s="11" t="n"/>
      <c r="C442" s="12">
        <f>IF(A442="","",$B$9*TAN(RADIANS(A442)))</f>
        <v/>
      </c>
      <c r="D442" s="12">
        <f>IF(C442="","",C442*(1+B442/100))</f>
        <v/>
      </c>
      <c r="E442" s="12">
        <f>IF(A442="","",$B$10*TAN(RADIANS(A442)))</f>
        <v/>
      </c>
      <c r="G442" s="8" t="n">
        <v>424</v>
      </c>
      <c r="H442" s="8">
        <f>$K$14</f>
        <v/>
      </c>
      <c r="I442" s="7" t="inlineStr">
        <is>
          <t>豎</t>
        </is>
      </c>
      <c r="J442" s="8" t="n">
        <v>1</v>
      </c>
      <c r="K442" s="7" t="inlineStr">
        <is>
          <t>左下</t>
        </is>
      </c>
      <c r="L442" s="8">
        <f>$O$14+($M$14+$L$14)/2-$M$14/2+$L$14/2+0*2*$L$14+(-1)*$L$14/2</f>
        <v/>
      </c>
      <c r="M442" s="8">
        <f>$P$14+(1)*$M$14/2</f>
        <v/>
      </c>
      <c r="N442" s="8">
        <f>L442-$B$7/2</f>
        <v/>
      </c>
      <c r="O442" s="8">
        <f>M442-$B$8/2</f>
        <v/>
      </c>
      <c r="P442" s="8">
        <f>SQRT(N442^2+O442^2)</f>
        <v/>
      </c>
      <c r="Q442" s="8">
        <f>IF(OR($H$7&lt;&gt;"OK",P442=""),"",IF(P442&lt;=$D$19,$A$19,IF(P442&gt;=INDEX($D$19:$D$2018,$H$6),INDEX($A$19:$A$2018,$H$6),INDEX($A$19:$A$2018,MATCH(P442,$D$19:INDEX($D$19:$D$2018,$H$6),1))+(P442-INDEX($D$19:$D$2018,MATCH(P442,$D$19:INDEX($D$19:$D$2018,$H$6),1)))*(INDEX($A$19:$A$2018,MATCH(P442,$D$19:INDEX($D$19:$D$2018,$H$6),1)+1)-INDEX($A$19:$A$2018,MATCH(P442,$D$19:INDEX($D$19:$D$2018,$H$6),1)))/(INDEX($D$19:$D$2018,MATCH(P442,$D$19:INDEX($D$19:$D$2018,$H$6),1)+1)-INDEX($D$19:$D$2018,MATCH(P442,$D$19:INDEX($D$19:$D$2018,$H$6),1))))))</f>
        <v/>
      </c>
      <c r="R442" s="8">
        <f>IF(P442=0,0,-Y442*N442/P442)</f>
        <v/>
      </c>
      <c r="S442" s="8">
        <f>IF(P442=0,0,Y442*O442/P442)</f>
        <v/>
      </c>
      <c r="T442" s="8">
        <f>IF(Y442=0,$B$7/2,$B$7/2-Z442*R442/Y442)</f>
        <v/>
      </c>
      <c r="U442" s="8">
        <f>IF(Y442=0,$B$8/2,$B$8/2+Z442*S442/Y442)</f>
        <v/>
      </c>
      <c r="V442" s="8">
        <f>SQRT((T442-L442)^2+(U442-M442)^2)</f>
        <v/>
      </c>
      <c r="Y442">
        <f>$B$10*TAN(RADIANS(Q442))</f>
        <v/>
      </c>
      <c r="Z442">
        <f>IF(OR($H$7&lt;&gt;"OK",Q442=""),"",IF(Q442&lt;=$A$19,$D$19,IF(Q442&gt;=INDEX($A$19:$A$2018,$H$6),INDEX($D$19:$D$2018,$H$6),INDEX($D$19:$D$2018,MATCH(Q442,$A$19:INDEX($A$19:$A$2018,$H$6),1))+(Q442-INDEX($A$19:$A$2018,MATCH(Q442,$A$19:INDEX($A$19:$A$2018,$H$6),1)))*(INDEX($D$19:$D$2018,MATCH(Q442,$A$19:INDEX($A$19:$A$2018,$H$6),1)+1)-INDEX($D$19:$D$2018,MATCH(Q442,$A$19:INDEX($A$19:$A$2018,$H$6),1)))/(INDEX($A$19:$A$2018,MATCH(Q442,$A$19:INDEX($A$19:$A$2018,$H$6),1)+1)-INDEX($A$19:$A$2018,MATCH(Q442,$A$19:INDEX($A$19:$A$2018,$H$6),1))))))</f>
        <v/>
      </c>
    </row>
    <row r="443">
      <c r="A443" s="11" t="n"/>
      <c r="B443" s="11" t="n"/>
      <c r="C443" s="12">
        <f>IF(A443="","",$B$9*TAN(RADIANS(A443)))</f>
        <v/>
      </c>
      <c r="D443" s="12">
        <f>IF(C443="","",C443*(1+B443/100))</f>
        <v/>
      </c>
      <c r="E443" s="12">
        <f>IF(A443="","",$B$10*TAN(RADIANS(A443)))</f>
        <v/>
      </c>
      <c r="G443" s="8" t="n">
        <v>425</v>
      </c>
      <c r="H443" s="8">
        <f>$K$14</f>
        <v/>
      </c>
      <c r="I443" s="7" t="inlineStr">
        <is>
          <t>豎</t>
        </is>
      </c>
      <c r="J443" s="8" t="n">
        <v>2</v>
      </c>
      <c r="K443" s="7" t="inlineStr">
        <is>
          <t>左上</t>
        </is>
      </c>
      <c r="L443" s="8">
        <f>$O$14+($M$14+$L$14)/2-$M$14/2+$L$14/2+1*2*$L$14+(-1)*$L$14/2</f>
        <v/>
      </c>
      <c r="M443" s="8">
        <f>$P$14+(-1)*$M$14/2</f>
        <v/>
      </c>
      <c r="N443" s="8">
        <f>L443-$B$7/2</f>
        <v/>
      </c>
      <c r="O443" s="8">
        <f>M443-$B$8/2</f>
        <v/>
      </c>
      <c r="P443" s="8">
        <f>SQRT(N443^2+O443^2)</f>
        <v/>
      </c>
      <c r="Q443" s="8">
        <f>IF(OR($H$7&lt;&gt;"OK",P443=""),"",IF(P443&lt;=$D$19,$A$19,IF(P443&gt;=INDEX($D$19:$D$2018,$H$6),INDEX($A$19:$A$2018,$H$6),INDEX($A$19:$A$2018,MATCH(P443,$D$19:INDEX($D$19:$D$2018,$H$6),1))+(P443-INDEX($D$19:$D$2018,MATCH(P443,$D$19:INDEX($D$19:$D$2018,$H$6),1)))*(INDEX($A$19:$A$2018,MATCH(P443,$D$19:INDEX($D$19:$D$2018,$H$6),1)+1)-INDEX($A$19:$A$2018,MATCH(P443,$D$19:INDEX($D$19:$D$2018,$H$6),1)))/(INDEX($D$19:$D$2018,MATCH(P443,$D$19:INDEX($D$19:$D$2018,$H$6),1)+1)-INDEX($D$19:$D$2018,MATCH(P443,$D$19:INDEX($D$19:$D$2018,$H$6),1))))))</f>
        <v/>
      </c>
      <c r="R443" s="8">
        <f>IF(P443=0,0,-Y443*N443/P443)</f>
        <v/>
      </c>
      <c r="S443" s="8">
        <f>IF(P443=0,0,Y443*O443/P443)</f>
        <v/>
      </c>
      <c r="T443" s="8">
        <f>IF(Y443=0,$B$7/2,$B$7/2-Z443*R443/Y443)</f>
        <v/>
      </c>
      <c r="U443" s="8">
        <f>IF(Y443=0,$B$8/2,$B$8/2+Z443*S443/Y443)</f>
        <v/>
      </c>
      <c r="V443" s="8">
        <f>SQRT((T443-L443)^2+(U443-M443)^2)</f>
        <v/>
      </c>
      <c r="Y443">
        <f>$B$10*TAN(RADIANS(Q443))</f>
        <v/>
      </c>
      <c r="Z443">
        <f>IF(OR($H$7&lt;&gt;"OK",Q443=""),"",IF(Q443&lt;=$A$19,$D$19,IF(Q443&gt;=INDEX($A$19:$A$2018,$H$6),INDEX($D$19:$D$2018,$H$6),INDEX($D$19:$D$2018,MATCH(Q443,$A$19:INDEX($A$19:$A$2018,$H$6),1))+(Q443-INDEX($A$19:$A$2018,MATCH(Q443,$A$19:INDEX($A$19:$A$2018,$H$6),1)))*(INDEX($D$19:$D$2018,MATCH(Q443,$A$19:INDEX($A$19:$A$2018,$H$6),1)+1)-INDEX($D$19:$D$2018,MATCH(Q443,$A$19:INDEX($A$19:$A$2018,$H$6),1)))/(INDEX($A$19:$A$2018,MATCH(Q443,$A$19:INDEX($A$19:$A$2018,$H$6),1)+1)-INDEX($A$19:$A$2018,MATCH(Q443,$A$19:INDEX($A$19:$A$2018,$H$6),1))))))</f>
        <v/>
      </c>
    </row>
    <row r="444">
      <c r="A444" s="11" t="n"/>
      <c r="B444" s="11" t="n"/>
      <c r="C444" s="12">
        <f>IF(A444="","",$B$9*TAN(RADIANS(A444)))</f>
        <v/>
      </c>
      <c r="D444" s="12">
        <f>IF(C444="","",C444*(1+B444/100))</f>
        <v/>
      </c>
      <c r="E444" s="12">
        <f>IF(A444="","",$B$10*TAN(RADIANS(A444)))</f>
        <v/>
      </c>
      <c r="G444" s="8" t="n">
        <v>426</v>
      </c>
      <c r="H444" s="8">
        <f>$K$14</f>
        <v/>
      </c>
      <c r="I444" s="7" t="inlineStr">
        <is>
          <t>豎</t>
        </is>
      </c>
      <c r="J444" s="8" t="n">
        <v>2</v>
      </c>
      <c r="K444" s="7" t="inlineStr">
        <is>
          <t>右上</t>
        </is>
      </c>
      <c r="L444" s="8">
        <f>$O$14+($M$14+$L$14)/2-$M$14/2+$L$14/2+1*2*$L$14+(1)*$L$14/2</f>
        <v/>
      </c>
      <c r="M444" s="8">
        <f>$P$14+(-1)*$M$14/2</f>
        <v/>
      </c>
      <c r="N444" s="8">
        <f>L444-$B$7/2</f>
        <v/>
      </c>
      <c r="O444" s="8">
        <f>M444-$B$8/2</f>
        <v/>
      </c>
      <c r="P444" s="8">
        <f>SQRT(N444^2+O444^2)</f>
        <v/>
      </c>
      <c r="Q444" s="8">
        <f>IF(OR($H$7&lt;&gt;"OK",P444=""),"",IF(P444&lt;=$D$19,$A$19,IF(P444&gt;=INDEX($D$19:$D$2018,$H$6),INDEX($A$19:$A$2018,$H$6),INDEX($A$19:$A$2018,MATCH(P444,$D$19:INDEX($D$19:$D$2018,$H$6),1))+(P444-INDEX($D$19:$D$2018,MATCH(P444,$D$19:INDEX($D$19:$D$2018,$H$6),1)))*(INDEX($A$19:$A$2018,MATCH(P444,$D$19:INDEX($D$19:$D$2018,$H$6),1)+1)-INDEX($A$19:$A$2018,MATCH(P444,$D$19:INDEX($D$19:$D$2018,$H$6),1)))/(INDEX($D$19:$D$2018,MATCH(P444,$D$19:INDEX($D$19:$D$2018,$H$6),1)+1)-INDEX($D$19:$D$2018,MATCH(P444,$D$19:INDEX($D$19:$D$2018,$H$6),1))))))</f>
        <v/>
      </c>
      <c r="R444" s="8">
        <f>IF(P444=0,0,-Y444*N444/P444)</f>
        <v/>
      </c>
      <c r="S444" s="8">
        <f>IF(P444=0,0,Y444*O444/P444)</f>
        <v/>
      </c>
      <c r="T444" s="8">
        <f>IF(Y444=0,$B$7/2,$B$7/2-Z444*R444/Y444)</f>
        <v/>
      </c>
      <c r="U444" s="8">
        <f>IF(Y444=0,$B$8/2,$B$8/2+Z444*S444/Y444)</f>
        <v/>
      </c>
      <c r="V444" s="8">
        <f>SQRT((T444-L444)^2+(U444-M444)^2)</f>
        <v/>
      </c>
      <c r="Y444">
        <f>$B$10*TAN(RADIANS(Q444))</f>
        <v/>
      </c>
      <c r="Z444">
        <f>IF(OR($H$7&lt;&gt;"OK",Q444=""),"",IF(Q444&lt;=$A$19,$D$19,IF(Q444&gt;=INDEX($A$19:$A$2018,$H$6),INDEX($D$19:$D$2018,$H$6),INDEX($D$19:$D$2018,MATCH(Q444,$A$19:INDEX($A$19:$A$2018,$H$6),1))+(Q444-INDEX($A$19:$A$2018,MATCH(Q444,$A$19:INDEX($A$19:$A$2018,$H$6),1)))*(INDEX($D$19:$D$2018,MATCH(Q444,$A$19:INDEX($A$19:$A$2018,$H$6),1)+1)-INDEX($D$19:$D$2018,MATCH(Q444,$A$19:INDEX($A$19:$A$2018,$H$6),1)))/(INDEX($A$19:$A$2018,MATCH(Q444,$A$19:INDEX($A$19:$A$2018,$H$6),1)+1)-INDEX($A$19:$A$2018,MATCH(Q444,$A$19:INDEX($A$19:$A$2018,$H$6),1))))))</f>
        <v/>
      </c>
    </row>
    <row r="445">
      <c r="A445" s="11" t="n"/>
      <c r="B445" s="11" t="n"/>
      <c r="C445" s="12">
        <f>IF(A445="","",$B$9*TAN(RADIANS(A445)))</f>
        <v/>
      </c>
      <c r="D445" s="12">
        <f>IF(C445="","",C445*(1+B445/100))</f>
        <v/>
      </c>
      <c r="E445" s="12">
        <f>IF(A445="","",$B$10*TAN(RADIANS(A445)))</f>
        <v/>
      </c>
      <c r="G445" s="8" t="n">
        <v>427</v>
      </c>
      <c r="H445" s="8">
        <f>$K$14</f>
        <v/>
      </c>
      <c r="I445" s="7" t="inlineStr">
        <is>
          <t>豎</t>
        </is>
      </c>
      <c r="J445" s="8" t="n">
        <v>2</v>
      </c>
      <c r="K445" s="7" t="inlineStr">
        <is>
          <t>右下</t>
        </is>
      </c>
      <c r="L445" s="8">
        <f>$O$14+($M$14+$L$14)/2-$M$14/2+$L$14/2+1*2*$L$14+(1)*$L$14/2</f>
        <v/>
      </c>
      <c r="M445" s="8">
        <f>$P$14+(1)*$M$14/2</f>
        <v/>
      </c>
      <c r="N445" s="8">
        <f>L445-$B$7/2</f>
        <v/>
      </c>
      <c r="O445" s="8">
        <f>M445-$B$8/2</f>
        <v/>
      </c>
      <c r="P445" s="8">
        <f>SQRT(N445^2+O445^2)</f>
        <v/>
      </c>
      <c r="Q445" s="8">
        <f>IF(OR($H$7&lt;&gt;"OK",P445=""),"",IF(P445&lt;=$D$19,$A$19,IF(P445&gt;=INDEX($D$19:$D$2018,$H$6),INDEX($A$19:$A$2018,$H$6),INDEX($A$19:$A$2018,MATCH(P445,$D$19:INDEX($D$19:$D$2018,$H$6),1))+(P445-INDEX($D$19:$D$2018,MATCH(P445,$D$19:INDEX($D$19:$D$2018,$H$6),1)))*(INDEX($A$19:$A$2018,MATCH(P445,$D$19:INDEX($D$19:$D$2018,$H$6),1)+1)-INDEX($A$19:$A$2018,MATCH(P445,$D$19:INDEX($D$19:$D$2018,$H$6),1)))/(INDEX($D$19:$D$2018,MATCH(P445,$D$19:INDEX($D$19:$D$2018,$H$6),1)+1)-INDEX($D$19:$D$2018,MATCH(P445,$D$19:INDEX($D$19:$D$2018,$H$6),1))))))</f>
        <v/>
      </c>
      <c r="R445" s="8">
        <f>IF(P445=0,0,-Y445*N445/P445)</f>
        <v/>
      </c>
      <c r="S445" s="8">
        <f>IF(P445=0,0,Y445*O445/P445)</f>
        <v/>
      </c>
      <c r="T445" s="8">
        <f>IF(Y445=0,$B$7/2,$B$7/2-Z445*R445/Y445)</f>
        <v/>
      </c>
      <c r="U445" s="8">
        <f>IF(Y445=0,$B$8/2,$B$8/2+Z445*S445/Y445)</f>
        <v/>
      </c>
      <c r="V445" s="8">
        <f>SQRT((T445-L445)^2+(U445-M445)^2)</f>
        <v/>
      </c>
      <c r="Y445">
        <f>$B$10*TAN(RADIANS(Q445))</f>
        <v/>
      </c>
      <c r="Z445">
        <f>IF(OR($H$7&lt;&gt;"OK",Q445=""),"",IF(Q445&lt;=$A$19,$D$19,IF(Q445&gt;=INDEX($A$19:$A$2018,$H$6),INDEX($D$19:$D$2018,$H$6),INDEX($D$19:$D$2018,MATCH(Q445,$A$19:INDEX($A$19:$A$2018,$H$6),1))+(Q445-INDEX($A$19:$A$2018,MATCH(Q445,$A$19:INDEX($A$19:$A$2018,$H$6),1)))*(INDEX($D$19:$D$2018,MATCH(Q445,$A$19:INDEX($A$19:$A$2018,$H$6),1)+1)-INDEX($D$19:$D$2018,MATCH(Q445,$A$19:INDEX($A$19:$A$2018,$H$6),1)))/(INDEX($A$19:$A$2018,MATCH(Q445,$A$19:INDEX($A$19:$A$2018,$H$6),1)+1)-INDEX($A$19:$A$2018,MATCH(Q445,$A$19:INDEX($A$19:$A$2018,$H$6),1))))))</f>
        <v/>
      </c>
    </row>
    <row r="446">
      <c r="A446" s="11" t="n"/>
      <c r="B446" s="11" t="n"/>
      <c r="C446" s="12">
        <f>IF(A446="","",$B$9*TAN(RADIANS(A446)))</f>
        <v/>
      </c>
      <c r="D446" s="12">
        <f>IF(C446="","",C446*(1+B446/100))</f>
        <v/>
      </c>
      <c r="E446" s="12">
        <f>IF(A446="","",$B$10*TAN(RADIANS(A446)))</f>
        <v/>
      </c>
      <c r="G446" s="8" t="n">
        <v>428</v>
      </c>
      <c r="H446" s="8">
        <f>$K$14</f>
        <v/>
      </c>
      <c r="I446" s="7" t="inlineStr">
        <is>
          <t>豎</t>
        </is>
      </c>
      <c r="J446" s="8" t="n">
        <v>2</v>
      </c>
      <c r="K446" s="7" t="inlineStr">
        <is>
          <t>左下</t>
        </is>
      </c>
      <c r="L446" s="8">
        <f>$O$14+($M$14+$L$14)/2-$M$14/2+$L$14/2+1*2*$L$14+(-1)*$L$14/2</f>
        <v/>
      </c>
      <c r="M446" s="8">
        <f>$P$14+(1)*$M$14/2</f>
        <v/>
      </c>
      <c r="N446" s="8">
        <f>L446-$B$7/2</f>
        <v/>
      </c>
      <c r="O446" s="8">
        <f>M446-$B$8/2</f>
        <v/>
      </c>
      <c r="P446" s="8">
        <f>SQRT(N446^2+O446^2)</f>
        <v/>
      </c>
      <c r="Q446" s="8">
        <f>IF(OR($H$7&lt;&gt;"OK",P446=""),"",IF(P446&lt;=$D$19,$A$19,IF(P446&gt;=INDEX($D$19:$D$2018,$H$6),INDEX($A$19:$A$2018,$H$6),INDEX($A$19:$A$2018,MATCH(P446,$D$19:INDEX($D$19:$D$2018,$H$6),1))+(P446-INDEX($D$19:$D$2018,MATCH(P446,$D$19:INDEX($D$19:$D$2018,$H$6),1)))*(INDEX($A$19:$A$2018,MATCH(P446,$D$19:INDEX($D$19:$D$2018,$H$6),1)+1)-INDEX($A$19:$A$2018,MATCH(P446,$D$19:INDEX($D$19:$D$2018,$H$6),1)))/(INDEX($D$19:$D$2018,MATCH(P446,$D$19:INDEX($D$19:$D$2018,$H$6),1)+1)-INDEX($D$19:$D$2018,MATCH(P446,$D$19:INDEX($D$19:$D$2018,$H$6),1))))))</f>
        <v/>
      </c>
      <c r="R446" s="8">
        <f>IF(P446=0,0,-Y446*N446/P446)</f>
        <v/>
      </c>
      <c r="S446" s="8">
        <f>IF(P446=0,0,Y446*O446/P446)</f>
        <v/>
      </c>
      <c r="T446" s="8">
        <f>IF(Y446=0,$B$7/2,$B$7/2-Z446*R446/Y446)</f>
        <v/>
      </c>
      <c r="U446" s="8">
        <f>IF(Y446=0,$B$8/2,$B$8/2+Z446*S446/Y446)</f>
        <v/>
      </c>
      <c r="V446" s="8">
        <f>SQRT((T446-L446)^2+(U446-M446)^2)</f>
        <v/>
      </c>
      <c r="Y446">
        <f>$B$10*TAN(RADIANS(Q446))</f>
        <v/>
      </c>
      <c r="Z446">
        <f>IF(OR($H$7&lt;&gt;"OK",Q446=""),"",IF(Q446&lt;=$A$19,$D$19,IF(Q446&gt;=INDEX($A$19:$A$2018,$H$6),INDEX($D$19:$D$2018,$H$6),INDEX($D$19:$D$2018,MATCH(Q446,$A$19:INDEX($A$19:$A$2018,$H$6),1))+(Q446-INDEX($A$19:$A$2018,MATCH(Q446,$A$19:INDEX($A$19:$A$2018,$H$6),1)))*(INDEX($D$19:$D$2018,MATCH(Q446,$A$19:INDEX($A$19:$A$2018,$H$6),1)+1)-INDEX($D$19:$D$2018,MATCH(Q446,$A$19:INDEX($A$19:$A$2018,$H$6),1)))/(INDEX($A$19:$A$2018,MATCH(Q446,$A$19:INDEX($A$19:$A$2018,$H$6),1)+1)-INDEX($A$19:$A$2018,MATCH(Q446,$A$19:INDEX($A$19:$A$2018,$H$6),1))))))</f>
        <v/>
      </c>
    </row>
    <row r="447">
      <c r="A447" s="11" t="n"/>
      <c r="B447" s="11" t="n"/>
      <c r="C447" s="12">
        <f>IF(A447="","",$B$9*TAN(RADIANS(A447)))</f>
        <v/>
      </c>
      <c r="D447" s="12">
        <f>IF(C447="","",C447*(1+B447/100))</f>
        <v/>
      </c>
      <c r="E447" s="12">
        <f>IF(A447="","",$B$10*TAN(RADIANS(A447)))</f>
        <v/>
      </c>
      <c r="G447" s="8" t="n">
        <v>429</v>
      </c>
      <c r="H447" s="8">
        <f>$K$14</f>
        <v/>
      </c>
      <c r="I447" s="7" t="inlineStr">
        <is>
          <t>豎</t>
        </is>
      </c>
      <c r="J447" s="8" t="n">
        <v>3</v>
      </c>
      <c r="K447" s="7" t="inlineStr">
        <is>
          <t>左上</t>
        </is>
      </c>
      <c r="L447" s="8">
        <f>$O$14+($M$14+$L$14)/2-$M$14/2+$L$14/2+2*2*$L$14+(-1)*$L$14/2</f>
        <v/>
      </c>
      <c r="M447" s="8">
        <f>$P$14+(-1)*$M$14/2</f>
        <v/>
      </c>
      <c r="N447" s="8">
        <f>L447-$B$7/2</f>
        <v/>
      </c>
      <c r="O447" s="8">
        <f>M447-$B$8/2</f>
        <v/>
      </c>
      <c r="P447" s="8">
        <f>SQRT(N447^2+O447^2)</f>
        <v/>
      </c>
      <c r="Q447" s="8">
        <f>IF(OR($H$7&lt;&gt;"OK",P447=""),"",IF(P447&lt;=$D$19,$A$19,IF(P447&gt;=INDEX($D$19:$D$2018,$H$6),INDEX($A$19:$A$2018,$H$6),INDEX($A$19:$A$2018,MATCH(P447,$D$19:INDEX($D$19:$D$2018,$H$6),1))+(P447-INDEX($D$19:$D$2018,MATCH(P447,$D$19:INDEX($D$19:$D$2018,$H$6),1)))*(INDEX($A$19:$A$2018,MATCH(P447,$D$19:INDEX($D$19:$D$2018,$H$6),1)+1)-INDEX($A$19:$A$2018,MATCH(P447,$D$19:INDEX($D$19:$D$2018,$H$6),1)))/(INDEX($D$19:$D$2018,MATCH(P447,$D$19:INDEX($D$19:$D$2018,$H$6),1)+1)-INDEX($D$19:$D$2018,MATCH(P447,$D$19:INDEX($D$19:$D$2018,$H$6),1))))))</f>
        <v/>
      </c>
      <c r="R447" s="8">
        <f>IF(P447=0,0,-Y447*N447/P447)</f>
        <v/>
      </c>
      <c r="S447" s="8">
        <f>IF(P447=0,0,Y447*O447/P447)</f>
        <v/>
      </c>
      <c r="T447" s="8">
        <f>IF(Y447=0,$B$7/2,$B$7/2-Z447*R447/Y447)</f>
        <v/>
      </c>
      <c r="U447" s="8">
        <f>IF(Y447=0,$B$8/2,$B$8/2+Z447*S447/Y447)</f>
        <v/>
      </c>
      <c r="V447" s="8">
        <f>SQRT((T447-L447)^2+(U447-M447)^2)</f>
        <v/>
      </c>
      <c r="Y447">
        <f>$B$10*TAN(RADIANS(Q447))</f>
        <v/>
      </c>
      <c r="Z447">
        <f>IF(OR($H$7&lt;&gt;"OK",Q447=""),"",IF(Q447&lt;=$A$19,$D$19,IF(Q447&gt;=INDEX($A$19:$A$2018,$H$6),INDEX($D$19:$D$2018,$H$6),INDEX($D$19:$D$2018,MATCH(Q447,$A$19:INDEX($A$19:$A$2018,$H$6),1))+(Q447-INDEX($A$19:$A$2018,MATCH(Q447,$A$19:INDEX($A$19:$A$2018,$H$6),1)))*(INDEX($D$19:$D$2018,MATCH(Q447,$A$19:INDEX($A$19:$A$2018,$H$6),1)+1)-INDEX($D$19:$D$2018,MATCH(Q447,$A$19:INDEX($A$19:$A$2018,$H$6),1)))/(INDEX($A$19:$A$2018,MATCH(Q447,$A$19:INDEX($A$19:$A$2018,$H$6),1)+1)-INDEX($A$19:$A$2018,MATCH(Q447,$A$19:INDEX($A$19:$A$2018,$H$6),1))))))</f>
        <v/>
      </c>
    </row>
    <row r="448">
      <c r="A448" s="11" t="n"/>
      <c r="B448" s="11" t="n"/>
      <c r="C448" s="12">
        <f>IF(A448="","",$B$9*TAN(RADIANS(A448)))</f>
        <v/>
      </c>
      <c r="D448" s="12">
        <f>IF(C448="","",C448*(1+B448/100))</f>
        <v/>
      </c>
      <c r="E448" s="12">
        <f>IF(A448="","",$B$10*TAN(RADIANS(A448)))</f>
        <v/>
      </c>
      <c r="G448" s="8" t="n">
        <v>430</v>
      </c>
      <c r="H448" s="8">
        <f>$K$14</f>
        <v/>
      </c>
      <c r="I448" s="7" t="inlineStr">
        <is>
          <t>豎</t>
        </is>
      </c>
      <c r="J448" s="8" t="n">
        <v>3</v>
      </c>
      <c r="K448" s="7" t="inlineStr">
        <is>
          <t>右上</t>
        </is>
      </c>
      <c r="L448" s="8">
        <f>$O$14+($M$14+$L$14)/2-$M$14/2+$L$14/2+2*2*$L$14+(1)*$L$14/2</f>
        <v/>
      </c>
      <c r="M448" s="8">
        <f>$P$14+(-1)*$M$14/2</f>
        <v/>
      </c>
      <c r="N448" s="8">
        <f>L448-$B$7/2</f>
        <v/>
      </c>
      <c r="O448" s="8">
        <f>M448-$B$8/2</f>
        <v/>
      </c>
      <c r="P448" s="8">
        <f>SQRT(N448^2+O448^2)</f>
        <v/>
      </c>
      <c r="Q448" s="8">
        <f>IF(OR($H$7&lt;&gt;"OK",P448=""),"",IF(P448&lt;=$D$19,$A$19,IF(P448&gt;=INDEX($D$19:$D$2018,$H$6),INDEX($A$19:$A$2018,$H$6),INDEX($A$19:$A$2018,MATCH(P448,$D$19:INDEX($D$19:$D$2018,$H$6),1))+(P448-INDEX($D$19:$D$2018,MATCH(P448,$D$19:INDEX($D$19:$D$2018,$H$6),1)))*(INDEX($A$19:$A$2018,MATCH(P448,$D$19:INDEX($D$19:$D$2018,$H$6),1)+1)-INDEX($A$19:$A$2018,MATCH(P448,$D$19:INDEX($D$19:$D$2018,$H$6),1)))/(INDEX($D$19:$D$2018,MATCH(P448,$D$19:INDEX($D$19:$D$2018,$H$6),1)+1)-INDEX($D$19:$D$2018,MATCH(P448,$D$19:INDEX($D$19:$D$2018,$H$6),1))))))</f>
        <v/>
      </c>
      <c r="R448" s="8">
        <f>IF(P448=0,0,-Y448*N448/P448)</f>
        <v/>
      </c>
      <c r="S448" s="8">
        <f>IF(P448=0,0,Y448*O448/P448)</f>
        <v/>
      </c>
      <c r="T448" s="8">
        <f>IF(Y448=0,$B$7/2,$B$7/2-Z448*R448/Y448)</f>
        <v/>
      </c>
      <c r="U448" s="8">
        <f>IF(Y448=0,$B$8/2,$B$8/2+Z448*S448/Y448)</f>
        <v/>
      </c>
      <c r="V448" s="8">
        <f>SQRT((T448-L448)^2+(U448-M448)^2)</f>
        <v/>
      </c>
      <c r="Y448">
        <f>$B$10*TAN(RADIANS(Q448))</f>
        <v/>
      </c>
      <c r="Z448">
        <f>IF(OR($H$7&lt;&gt;"OK",Q448=""),"",IF(Q448&lt;=$A$19,$D$19,IF(Q448&gt;=INDEX($A$19:$A$2018,$H$6),INDEX($D$19:$D$2018,$H$6),INDEX($D$19:$D$2018,MATCH(Q448,$A$19:INDEX($A$19:$A$2018,$H$6),1))+(Q448-INDEX($A$19:$A$2018,MATCH(Q448,$A$19:INDEX($A$19:$A$2018,$H$6),1)))*(INDEX($D$19:$D$2018,MATCH(Q448,$A$19:INDEX($A$19:$A$2018,$H$6),1)+1)-INDEX($D$19:$D$2018,MATCH(Q448,$A$19:INDEX($A$19:$A$2018,$H$6),1)))/(INDEX($A$19:$A$2018,MATCH(Q448,$A$19:INDEX($A$19:$A$2018,$H$6),1)+1)-INDEX($A$19:$A$2018,MATCH(Q448,$A$19:INDEX($A$19:$A$2018,$H$6),1))))))</f>
        <v/>
      </c>
    </row>
    <row r="449">
      <c r="A449" s="11" t="n"/>
      <c r="B449" s="11" t="n"/>
      <c r="C449" s="12">
        <f>IF(A449="","",$B$9*TAN(RADIANS(A449)))</f>
        <v/>
      </c>
      <c r="D449" s="12">
        <f>IF(C449="","",C449*(1+B449/100))</f>
        <v/>
      </c>
      <c r="E449" s="12">
        <f>IF(A449="","",$B$10*TAN(RADIANS(A449)))</f>
        <v/>
      </c>
      <c r="G449" s="8" t="n">
        <v>431</v>
      </c>
      <c r="H449" s="8">
        <f>$K$14</f>
        <v/>
      </c>
      <c r="I449" s="7" t="inlineStr">
        <is>
          <t>豎</t>
        </is>
      </c>
      <c r="J449" s="8" t="n">
        <v>3</v>
      </c>
      <c r="K449" s="7" t="inlineStr">
        <is>
          <t>右下</t>
        </is>
      </c>
      <c r="L449" s="8">
        <f>$O$14+($M$14+$L$14)/2-$M$14/2+$L$14/2+2*2*$L$14+(1)*$L$14/2</f>
        <v/>
      </c>
      <c r="M449" s="8">
        <f>$P$14+(1)*$M$14/2</f>
        <v/>
      </c>
      <c r="N449" s="8">
        <f>L449-$B$7/2</f>
        <v/>
      </c>
      <c r="O449" s="8">
        <f>M449-$B$8/2</f>
        <v/>
      </c>
      <c r="P449" s="8">
        <f>SQRT(N449^2+O449^2)</f>
        <v/>
      </c>
      <c r="Q449" s="8">
        <f>IF(OR($H$7&lt;&gt;"OK",P449=""),"",IF(P449&lt;=$D$19,$A$19,IF(P449&gt;=INDEX($D$19:$D$2018,$H$6),INDEX($A$19:$A$2018,$H$6),INDEX($A$19:$A$2018,MATCH(P449,$D$19:INDEX($D$19:$D$2018,$H$6),1))+(P449-INDEX($D$19:$D$2018,MATCH(P449,$D$19:INDEX($D$19:$D$2018,$H$6),1)))*(INDEX($A$19:$A$2018,MATCH(P449,$D$19:INDEX($D$19:$D$2018,$H$6),1)+1)-INDEX($A$19:$A$2018,MATCH(P449,$D$19:INDEX($D$19:$D$2018,$H$6),1)))/(INDEX($D$19:$D$2018,MATCH(P449,$D$19:INDEX($D$19:$D$2018,$H$6),1)+1)-INDEX($D$19:$D$2018,MATCH(P449,$D$19:INDEX($D$19:$D$2018,$H$6),1))))))</f>
        <v/>
      </c>
      <c r="R449" s="8">
        <f>IF(P449=0,0,-Y449*N449/P449)</f>
        <v/>
      </c>
      <c r="S449" s="8">
        <f>IF(P449=0,0,Y449*O449/P449)</f>
        <v/>
      </c>
      <c r="T449" s="8">
        <f>IF(Y449=0,$B$7/2,$B$7/2-Z449*R449/Y449)</f>
        <v/>
      </c>
      <c r="U449" s="8">
        <f>IF(Y449=0,$B$8/2,$B$8/2+Z449*S449/Y449)</f>
        <v/>
      </c>
      <c r="V449" s="8">
        <f>SQRT((T449-L449)^2+(U449-M449)^2)</f>
        <v/>
      </c>
      <c r="Y449">
        <f>$B$10*TAN(RADIANS(Q449))</f>
        <v/>
      </c>
      <c r="Z449">
        <f>IF(OR($H$7&lt;&gt;"OK",Q449=""),"",IF(Q449&lt;=$A$19,$D$19,IF(Q449&gt;=INDEX($A$19:$A$2018,$H$6),INDEX($D$19:$D$2018,$H$6),INDEX($D$19:$D$2018,MATCH(Q449,$A$19:INDEX($A$19:$A$2018,$H$6),1))+(Q449-INDEX($A$19:$A$2018,MATCH(Q449,$A$19:INDEX($A$19:$A$2018,$H$6),1)))*(INDEX($D$19:$D$2018,MATCH(Q449,$A$19:INDEX($A$19:$A$2018,$H$6),1)+1)-INDEX($D$19:$D$2018,MATCH(Q449,$A$19:INDEX($A$19:$A$2018,$H$6),1)))/(INDEX($A$19:$A$2018,MATCH(Q449,$A$19:INDEX($A$19:$A$2018,$H$6),1)+1)-INDEX($A$19:$A$2018,MATCH(Q449,$A$19:INDEX($A$19:$A$2018,$H$6),1))))))</f>
        <v/>
      </c>
    </row>
    <row r="450">
      <c r="A450" s="11" t="n"/>
      <c r="B450" s="11" t="n"/>
      <c r="C450" s="12">
        <f>IF(A450="","",$B$9*TAN(RADIANS(A450)))</f>
        <v/>
      </c>
      <c r="D450" s="12">
        <f>IF(C450="","",C450*(1+B450/100))</f>
        <v/>
      </c>
      <c r="E450" s="12">
        <f>IF(A450="","",$B$10*TAN(RADIANS(A450)))</f>
        <v/>
      </c>
      <c r="G450" s="8" t="n">
        <v>432</v>
      </c>
      <c r="H450" s="8">
        <f>$K$14</f>
        <v/>
      </c>
      <c r="I450" s="7" t="inlineStr">
        <is>
          <t>豎</t>
        </is>
      </c>
      <c r="J450" s="8" t="n">
        <v>3</v>
      </c>
      <c r="K450" s="7" t="inlineStr">
        <is>
          <t>左下</t>
        </is>
      </c>
      <c r="L450" s="8">
        <f>$O$14+($M$14+$L$14)/2-$M$14/2+$L$14/2+2*2*$L$14+(-1)*$L$14/2</f>
        <v/>
      </c>
      <c r="M450" s="8">
        <f>$P$14+(1)*$M$14/2</f>
        <v/>
      </c>
      <c r="N450" s="8">
        <f>L450-$B$7/2</f>
        <v/>
      </c>
      <c r="O450" s="8">
        <f>M450-$B$8/2</f>
        <v/>
      </c>
      <c r="P450" s="8">
        <f>SQRT(N450^2+O450^2)</f>
        <v/>
      </c>
      <c r="Q450" s="8">
        <f>IF(OR($H$7&lt;&gt;"OK",P450=""),"",IF(P450&lt;=$D$19,$A$19,IF(P450&gt;=INDEX($D$19:$D$2018,$H$6),INDEX($A$19:$A$2018,$H$6),INDEX($A$19:$A$2018,MATCH(P450,$D$19:INDEX($D$19:$D$2018,$H$6),1))+(P450-INDEX($D$19:$D$2018,MATCH(P450,$D$19:INDEX($D$19:$D$2018,$H$6),1)))*(INDEX($A$19:$A$2018,MATCH(P450,$D$19:INDEX($D$19:$D$2018,$H$6),1)+1)-INDEX($A$19:$A$2018,MATCH(P450,$D$19:INDEX($D$19:$D$2018,$H$6),1)))/(INDEX($D$19:$D$2018,MATCH(P450,$D$19:INDEX($D$19:$D$2018,$H$6),1)+1)-INDEX($D$19:$D$2018,MATCH(P450,$D$19:INDEX($D$19:$D$2018,$H$6),1))))))</f>
        <v/>
      </c>
      <c r="R450" s="8">
        <f>IF(P450=0,0,-Y450*N450/P450)</f>
        <v/>
      </c>
      <c r="S450" s="8">
        <f>IF(P450=0,0,Y450*O450/P450)</f>
        <v/>
      </c>
      <c r="T450" s="8">
        <f>IF(Y450=0,$B$7/2,$B$7/2-Z450*R450/Y450)</f>
        <v/>
      </c>
      <c r="U450" s="8">
        <f>IF(Y450=0,$B$8/2,$B$8/2+Z450*S450/Y450)</f>
        <v/>
      </c>
      <c r="V450" s="8">
        <f>SQRT((T450-L450)^2+(U450-M450)^2)</f>
        <v/>
      </c>
      <c r="Y450">
        <f>$B$10*TAN(RADIANS(Q450))</f>
        <v/>
      </c>
      <c r="Z450">
        <f>IF(OR($H$7&lt;&gt;"OK",Q450=""),"",IF(Q450&lt;=$A$19,$D$19,IF(Q450&gt;=INDEX($A$19:$A$2018,$H$6),INDEX($D$19:$D$2018,$H$6),INDEX($D$19:$D$2018,MATCH(Q450,$A$19:INDEX($A$19:$A$2018,$H$6),1))+(Q450-INDEX($A$19:$A$2018,MATCH(Q450,$A$19:INDEX($A$19:$A$2018,$H$6),1)))*(INDEX($D$19:$D$2018,MATCH(Q450,$A$19:INDEX($A$19:$A$2018,$H$6),1)+1)-INDEX($D$19:$D$2018,MATCH(Q450,$A$19:INDEX($A$19:$A$2018,$H$6),1)))/(INDEX($A$19:$A$2018,MATCH(Q450,$A$19:INDEX($A$19:$A$2018,$H$6),1)+1)-INDEX($A$19:$A$2018,MATCH(Q450,$A$19:INDEX($A$19:$A$2018,$H$6),1))))))</f>
        <v/>
      </c>
    </row>
    <row r="451">
      <c r="A451" s="11" t="n"/>
      <c r="B451" s="11" t="n"/>
      <c r="C451" s="12">
        <f>IF(A451="","",$B$9*TAN(RADIANS(A451)))</f>
        <v/>
      </c>
      <c r="D451" s="12">
        <f>IF(C451="","",C451*(1+B451/100))</f>
        <v/>
      </c>
      <c r="E451" s="12">
        <f>IF(A451="","",$B$10*TAN(RADIANS(A451)))</f>
        <v/>
      </c>
      <c r="G451" s="8" t="n">
        <v>433</v>
      </c>
      <c r="H451" s="8">
        <f>$K$14</f>
        <v/>
      </c>
      <c r="I451" s="7" t="inlineStr">
        <is>
          <t>豎</t>
        </is>
      </c>
      <c r="J451" s="8" t="n">
        <v>4</v>
      </c>
      <c r="K451" s="7" t="inlineStr">
        <is>
          <t>左上</t>
        </is>
      </c>
      <c r="L451" s="8">
        <f>$O$14+($M$14+$L$14)/2-$M$14/2+$L$14/2+3*2*$L$14+(-1)*$L$14/2</f>
        <v/>
      </c>
      <c r="M451" s="8">
        <f>$P$14+(-1)*$M$14/2</f>
        <v/>
      </c>
      <c r="N451" s="8">
        <f>L451-$B$7/2</f>
        <v/>
      </c>
      <c r="O451" s="8">
        <f>M451-$B$8/2</f>
        <v/>
      </c>
      <c r="P451" s="8">
        <f>SQRT(N451^2+O451^2)</f>
        <v/>
      </c>
      <c r="Q451" s="8">
        <f>IF(OR($H$7&lt;&gt;"OK",P451=""),"",IF(P451&lt;=$D$19,$A$19,IF(P451&gt;=INDEX($D$19:$D$2018,$H$6),INDEX($A$19:$A$2018,$H$6),INDEX($A$19:$A$2018,MATCH(P451,$D$19:INDEX($D$19:$D$2018,$H$6),1))+(P451-INDEX($D$19:$D$2018,MATCH(P451,$D$19:INDEX($D$19:$D$2018,$H$6),1)))*(INDEX($A$19:$A$2018,MATCH(P451,$D$19:INDEX($D$19:$D$2018,$H$6),1)+1)-INDEX($A$19:$A$2018,MATCH(P451,$D$19:INDEX($D$19:$D$2018,$H$6),1)))/(INDEX($D$19:$D$2018,MATCH(P451,$D$19:INDEX($D$19:$D$2018,$H$6),1)+1)-INDEX($D$19:$D$2018,MATCH(P451,$D$19:INDEX($D$19:$D$2018,$H$6),1))))))</f>
        <v/>
      </c>
      <c r="R451" s="8">
        <f>IF(P451=0,0,-Y451*N451/P451)</f>
        <v/>
      </c>
      <c r="S451" s="8">
        <f>IF(P451=0,0,Y451*O451/P451)</f>
        <v/>
      </c>
      <c r="T451" s="8">
        <f>IF(Y451=0,$B$7/2,$B$7/2-Z451*R451/Y451)</f>
        <v/>
      </c>
      <c r="U451" s="8">
        <f>IF(Y451=0,$B$8/2,$B$8/2+Z451*S451/Y451)</f>
        <v/>
      </c>
      <c r="V451" s="8">
        <f>SQRT((T451-L451)^2+(U451-M451)^2)</f>
        <v/>
      </c>
      <c r="Y451">
        <f>$B$10*TAN(RADIANS(Q451))</f>
        <v/>
      </c>
      <c r="Z451">
        <f>IF(OR($H$7&lt;&gt;"OK",Q451=""),"",IF(Q451&lt;=$A$19,$D$19,IF(Q451&gt;=INDEX($A$19:$A$2018,$H$6),INDEX($D$19:$D$2018,$H$6),INDEX($D$19:$D$2018,MATCH(Q451,$A$19:INDEX($A$19:$A$2018,$H$6),1))+(Q451-INDEX($A$19:$A$2018,MATCH(Q451,$A$19:INDEX($A$19:$A$2018,$H$6),1)))*(INDEX($D$19:$D$2018,MATCH(Q451,$A$19:INDEX($A$19:$A$2018,$H$6),1)+1)-INDEX($D$19:$D$2018,MATCH(Q451,$A$19:INDEX($A$19:$A$2018,$H$6),1)))/(INDEX($A$19:$A$2018,MATCH(Q451,$A$19:INDEX($A$19:$A$2018,$H$6),1)+1)-INDEX($A$19:$A$2018,MATCH(Q451,$A$19:INDEX($A$19:$A$2018,$H$6),1))))))</f>
        <v/>
      </c>
    </row>
    <row r="452">
      <c r="A452" s="11" t="n"/>
      <c r="B452" s="11" t="n"/>
      <c r="C452" s="12">
        <f>IF(A452="","",$B$9*TAN(RADIANS(A452)))</f>
        <v/>
      </c>
      <c r="D452" s="12">
        <f>IF(C452="","",C452*(1+B452/100))</f>
        <v/>
      </c>
      <c r="E452" s="12">
        <f>IF(A452="","",$B$10*TAN(RADIANS(A452)))</f>
        <v/>
      </c>
      <c r="G452" s="8" t="n">
        <v>434</v>
      </c>
      <c r="H452" s="8">
        <f>$K$14</f>
        <v/>
      </c>
      <c r="I452" s="7" t="inlineStr">
        <is>
          <t>豎</t>
        </is>
      </c>
      <c r="J452" s="8" t="n">
        <v>4</v>
      </c>
      <c r="K452" s="7" t="inlineStr">
        <is>
          <t>右上</t>
        </is>
      </c>
      <c r="L452" s="8">
        <f>$O$14+($M$14+$L$14)/2-$M$14/2+$L$14/2+3*2*$L$14+(1)*$L$14/2</f>
        <v/>
      </c>
      <c r="M452" s="8">
        <f>$P$14+(-1)*$M$14/2</f>
        <v/>
      </c>
      <c r="N452" s="8">
        <f>L452-$B$7/2</f>
        <v/>
      </c>
      <c r="O452" s="8">
        <f>M452-$B$8/2</f>
        <v/>
      </c>
      <c r="P452" s="8">
        <f>SQRT(N452^2+O452^2)</f>
        <v/>
      </c>
      <c r="Q452" s="8">
        <f>IF(OR($H$7&lt;&gt;"OK",P452=""),"",IF(P452&lt;=$D$19,$A$19,IF(P452&gt;=INDEX($D$19:$D$2018,$H$6),INDEX($A$19:$A$2018,$H$6),INDEX($A$19:$A$2018,MATCH(P452,$D$19:INDEX($D$19:$D$2018,$H$6),1))+(P452-INDEX($D$19:$D$2018,MATCH(P452,$D$19:INDEX($D$19:$D$2018,$H$6),1)))*(INDEX($A$19:$A$2018,MATCH(P452,$D$19:INDEX($D$19:$D$2018,$H$6),1)+1)-INDEX($A$19:$A$2018,MATCH(P452,$D$19:INDEX($D$19:$D$2018,$H$6),1)))/(INDEX($D$19:$D$2018,MATCH(P452,$D$19:INDEX($D$19:$D$2018,$H$6),1)+1)-INDEX($D$19:$D$2018,MATCH(P452,$D$19:INDEX($D$19:$D$2018,$H$6),1))))))</f>
        <v/>
      </c>
      <c r="R452" s="8">
        <f>IF(P452=0,0,-Y452*N452/P452)</f>
        <v/>
      </c>
      <c r="S452" s="8">
        <f>IF(P452=0,0,Y452*O452/P452)</f>
        <v/>
      </c>
      <c r="T452" s="8">
        <f>IF(Y452=0,$B$7/2,$B$7/2-Z452*R452/Y452)</f>
        <v/>
      </c>
      <c r="U452" s="8">
        <f>IF(Y452=0,$B$8/2,$B$8/2+Z452*S452/Y452)</f>
        <v/>
      </c>
      <c r="V452" s="8">
        <f>SQRT((T452-L452)^2+(U452-M452)^2)</f>
        <v/>
      </c>
      <c r="Y452">
        <f>$B$10*TAN(RADIANS(Q452))</f>
        <v/>
      </c>
      <c r="Z452">
        <f>IF(OR($H$7&lt;&gt;"OK",Q452=""),"",IF(Q452&lt;=$A$19,$D$19,IF(Q452&gt;=INDEX($A$19:$A$2018,$H$6),INDEX($D$19:$D$2018,$H$6),INDEX($D$19:$D$2018,MATCH(Q452,$A$19:INDEX($A$19:$A$2018,$H$6),1))+(Q452-INDEX($A$19:$A$2018,MATCH(Q452,$A$19:INDEX($A$19:$A$2018,$H$6),1)))*(INDEX($D$19:$D$2018,MATCH(Q452,$A$19:INDEX($A$19:$A$2018,$H$6),1)+1)-INDEX($D$19:$D$2018,MATCH(Q452,$A$19:INDEX($A$19:$A$2018,$H$6),1)))/(INDEX($A$19:$A$2018,MATCH(Q452,$A$19:INDEX($A$19:$A$2018,$H$6),1)+1)-INDEX($A$19:$A$2018,MATCH(Q452,$A$19:INDEX($A$19:$A$2018,$H$6),1))))))</f>
        <v/>
      </c>
    </row>
    <row r="453">
      <c r="A453" s="11" t="n"/>
      <c r="B453" s="11" t="n"/>
      <c r="C453" s="12">
        <f>IF(A453="","",$B$9*TAN(RADIANS(A453)))</f>
        <v/>
      </c>
      <c r="D453" s="12">
        <f>IF(C453="","",C453*(1+B453/100))</f>
        <v/>
      </c>
      <c r="E453" s="12">
        <f>IF(A453="","",$B$10*TAN(RADIANS(A453)))</f>
        <v/>
      </c>
      <c r="G453" s="8" t="n">
        <v>435</v>
      </c>
      <c r="H453" s="8">
        <f>$K$14</f>
        <v/>
      </c>
      <c r="I453" s="7" t="inlineStr">
        <is>
          <t>豎</t>
        </is>
      </c>
      <c r="J453" s="8" t="n">
        <v>4</v>
      </c>
      <c r="K453" s="7" t="inlineStr">
        <is>
          <t>右下</t>
        </is>
      </c>
      <c r="L453" s="8">
        <f>$O$14+($M$14+$L$14)/2-$M$14/2+$L$14/2+3*2*$L$14+(1)*$L$14/2</f>
        <v/>
      </c>
      <c r="M453" s="8">
        <f>$P$14+(1)*$M$14/2</f>
        <v/>
      </c>
      <c r="N453" s="8">
        <f>L453-$B$7/2</f>
        <v/>
      </c>
      <c r="O453" s="8">
        <f>M453-$B$8/2</f>
        <v/>
      </c>
      <c r="P453" s="8">
        <f>SQRT(N453^2+O453^2)</f>
        <v/>
      </c>
      <c r="Q453" s="8">
        <f>IF(OR($H$7&lt;&gt;"OK",P453=""),"",IF(P453&lt;=$D$19,$A$19,IF(P453&gt;=INDEX($D$19:$D$2018,$H$6),INDEX($A$19:$A$2018,$H$6),INDEX($A$19:$A$2018,MATCH(P453,$D$19:INDEX($D$19:$D$2018,$H$6),1))+(P453-INDEX($D$19:$D$2018,MATCH(P453,$D$19:INDEX($D$19:$D$2018,$H$6),1)))*(INDEX($A$19:$A$2018,MATCH(P453,$D$19:INDEX($D$19:$D$2018,$H$6),1)+1)-INDEX($A$19:$A$2018,MATCH(P453,$D$19:INDEX($D$19:$D$2018,$H$6),1)))/(INDEX($D$19:$D$2018,MATCH(P453,$D$19:INDEX($D$19:$D$2018,$H$6),1)+1)-INDEX($D$19:$D$2018,MATCH(P453,$D$19:INDEX($D$19:$D$2018,$H$6),1))))))</f>
        <v/>
      </c>
      <c r="R453" s="8">
        <f>IF(P453=0,0,-Y453*N453/P453)</f>
        <v/>
      </c>
      <c r="S453" s="8">
        <f>IF(P453=0,0,Y453*O453/P453)</f>
        <v/>
      </c>
      <c r="T453" s="8">
        <f>IF(Y453=0,$B$7/2,$B$7/2-Z453*R453/Y453)</f>
        <v/>
      </c>
      <c r="U453" s="8">
        <f>IF(Y453=0,$B$8/2,$B$8/2+Z453*S453/Y453)</f>
        <v/>
      </c>
      <c r="V453" s="8">
        <f>SQRT((T453-L453)^2+(U453-M453)^2)</f>
        <v/>
      </c>
      <c r="Y453">
        <f>$B$10*TAN(RADIANS(Q453))</f>
        <v/>
      </c>
      <c r="Z453">
        <f>IF(OR($H$7&lt;&gt;"OK",Q453=""),"",IF(Q453&lt;=$A$19,$D$19,IF(Q453&gt;=INDEX($A$19:$A$2018,$H$6),INDEX($D$19:$D$2018,$H$6),INDEX($D$19:$D$2018,MATCH(Q453,$A$19:INDEX($A$19:$A$2018,$H$6),1))+(Q453-INDEX($A$19:$A$2018,MATCH(Q453,$A$19:INDEX($A$19:$A$2018,$H$6),1)))*(INDEX($D$19:$D$2018,MATCH(Q453,$A$19:INDEX($A$19:$A$2018,$H$6),1)+1)-INDEX($D$19:$D$2018,MATCH(Q453,$A$19:INDEX($A$19:$A$2018,$H$6),1)))/(INDEX($A$19:$A$2018,MATCH(Q453,$A$19:INDEX($A$19:$A$2018,$H$6),1)+1)-INDEX($A$19:$A$2018,MATCH(Q453,$A$19:INDEX($A$19:$A$2018,$H$6),1))))))</f>
        <v/>
      </c>
    </row>
    <row r="454">
      <c r="A454" s="11" t="n"/>
      <c r="B454" s="11" t="n"/>
      <c r="C454" s="12">
        <f>IF(A454="","",$B$9*TAN(RADIANS(A454)))</f>
        <v/>
      </c>
      <c r="D454" s="12">
        <f>IF(C454="","",C454*(1+B454/100))</f>
        <v/>
      </c>
      <c r="E454" s="12">
        <f>IF(A454="","",$B$10*TAN(RADIANS(A454)))</f>
        <v/>
      </c>
      <c r="G454" s="8" t="n">
        <v>436</v>
      </c>
      <c r="H454" s="8">
        <f>$K$14</f>
        <v/>
      </c>
      <c r="I454" s="7" t="inlineStr">
        <is>
          <t>豎</t>
        </is>
      </c>
      <c r="J454" s="8" t="n">
        <v>4</v>
      </c>
      <c r="K454" s="7" t="inlineStr">
        <is>
          <t>左下</t>
        </is>
      </c>
      <c r="L454" s="8">
        <f>$O$14+($M$14+$L$14)/2-$M$14/2+$L$14/2+3*2*$L$14+(-1)*$L$14/2</f>
        <v/>
      </c>
      <c r="M454" s="8">
        <f>$P$14+(1)*$M$14/2</f>
        <v/>
      </c>
      <c r="N454" s="8">
        <f>L454-$B$7/2</f>
        <v/>
      </c>
      <c r="O454" s="8">
        <f>M454-$B$8/2</f>
        <v/>
      </c>
      <c r="P454" s="8">
        <f>SQRT(N454^2+O454^2)</f>
        <v/>
      </c>
      <c r="Q454" s="8">
        <f>IF(OR($H$7&lt;&gt;"OK",P454=""),"",IF(P454&lt;=$D$19,$A$19,IF(P454&gt;=INDEX($D$19:$D$2018,$H$6),INDEX($A$19:$A$2018,$H$6),INDEX($A$19:$A$2018,MATCH(P454,$D$19:INDEX($D$19:$D$2018,$H$6),1))+(P454-INDEX($D$19:$D$2018,MATCH(P454,$D$19:INDEX($D$19:$D$2018,$H$6),1)))*(INDEX($A$19:$A$2018,MATCH(P454,$D$19:INDEX($D$19:$D$2018,$H$6),1)+1)-INDEX($A$19:$A$2018,MATCH(P454,$D$19:INDEX($D$19:$D$2018,$H$6),1)))/(INDEX($D$19:$D$2018,MATCH(P454,$D$19:INDEX($D$19:$D$2018,$H$6),1)+1)-INDEX($D$19:$D$2018,MATCH(P454,$D$19:INDEX($D$19:$D$2018,$H$6),1))))))</f>
        <v/>
      </c>
      <c r="R454" s="8">
        <f>IF(P454=0,0,-Y454*N454/P454)</f>
        <v/>
      </c>
      <c r="S454" s="8">
        <f>IF(P454=0,0,Y454*O454/P454)</f>
        <v/>
      </c>
      <c r="T454" s="8">
        <f>IF(Y454=0,$B$7/2,$B$7/2-Z454*R454/Y454)</f>
        <v/>
      </c>
      <c r="U454" s="8">
        <f>IF(Y454=0,$B$8/2,$B$8/2+Z454*S454/Y454)</f>
        <v/>
      </c>
      <c r="V454" s="8">
        <f>SQRT((T454-L454)^2+(U454-M454)^2)</f>
        <v/>
      </c>
      <c r="Y454">
        <f>$B$10*TAN(RADIANS(Q454))</f>
        <v/>
      </c>
      <c r="Z454">
        <f>IF(OR($H$7&lt;&gt;"OK",Q454=""),"",IF(Q454&lt;=$A$19,$D$19,IF(Q454&gt;=INDEX($A$19:$A$2018,$H$6),INDEX($D$19:$D$2018,$H$6),INDEX($D$19:$D$2018,MATCH(Q454,$A$19:INDEX($A$19:$A$2018,$H$6),1))+(Q454-INDEX($A$19:$A$2018,MATCH(Q454,$A$19:INDEX($A$19:$A$2018,$H$6),1)))*(INDEX($D$19:$D$2018,MATCH(Q454,$A$19:INDEX($A$19:$A$2018,$H$6),1)+1)-INDEX($D$19:$D$2018,MATCH(Q454,$A$19:INDEX($A$19:$A$2018,$H$6),1)))/(INDEX($A$19:$A$2018,MATCH(Q454,$A$19:INDEX($A$19:$A$2018,$H$6),1)+1)-INDEX($A$19:$A$2018,MATCH(Q454,$A$19:INDEX($A$19:$A$2018,$H$6),1))))))</f>
        <v/>
      </c>
    </row>
    <row r="455">
      <c r="A455" s="11" t="n"/>
      <c r="B455" s="11" t="n"/>
      <c r="C455" s="12">
        <f>IF(A455="","",$B$9*TAN(RADIANS(A455)))</f>
        <v/>
      </c>
      <c r="D455" s="12">
        <f>IF(C455="","",C455*(1+B455/100))</f>
        <v/>
      </c>
      <c r="E455" s="12">
        <f>IF(A455="","",$B$10*TAN(RADIANS(A455)))</f>
        <v/>
      </c>
      <c r="G455" s="8" t="n">
        <v>437</v>
      </c>
      <c r="H455" s="8">
        <f>$K$14</f>
        <v/>
      </c>
      <c r="I455" s="7" t="inlineStr">
        <is>
          <t>豎</t>
        </is>
      </c>
      <c r="J455" s="8" t="n">
        <v>5</v>
      </c>
      <c r="K455" s="7" t="inlineStr">
        <is>
          <t>左上</t>
        </is>
      </c>
      <c r="L455" s="8">
        <f>$O$14+($M$14+$L$14)/2-$M$14/2+$L$14/2+4*2*$L$14+(-1)*$L$14/2</f>
        <v/>
      </c>
      <c r="M455" s="8">
        <f>$P$14+(-1)*$M$14/2</f>
        <v/>
      </c>
      <c r="N455" s="8">
        <f>L455-$B$7/2</f>
        <v/>
      </c>
      <c r="O455" s="8">
        <f>M455-$B$8/2</f>
        <v/>
      </c>
      <c r="P455" s="8">
        <f>SQRT(N455^2+O455^2)</f>
        <v/>
      </c>
      <c r="Q455" s="8">
        <f>IF(OR($H$7&lt;&gt;"OK",P455=""),"",IF(P455&lt;=$D$19,$A$19,IF(P455&gt;=INDEX($D$19:$D$2018,$H$6),INDEX($A$19:$A$2018,$H$6),INDEX($A$19:$A$2018,MATCH(P455,$D$19:INDEX($D$19:$D$2018,$H$6),1))+(P455-INDEX($D$19:$D$2018,MATCH(P455,$D$19:INDEX($D$19:$D$2018,$H$6),1)))*(INDEX($A$19:$A$2018,MATCH(P455,$D$19:INDEX($D$19:$D$2018,$H$6),1)+1)-INDEX($A$19:$A$2018,MATCH(P455,$D$19:INDEX($D$19:$D$2018,$H$6),1)))/(INDEX($D$19:$D$2018,MATCH(P455,$D$19:INDEX($D$19:$D$2018,$H$6),1)+1)-INDEX($D$19:$D$2018,MATCH(P455,$D$19:INDEX($D$19:$D$2018,$H$6),1))))))</f>
        <v/>
      </c>
      <c r="R455" s="8">
        <f>IF(P455=0,0,-Y455*N455/P455)</f>
        <v/>
      </c>
      <c r="S455" s="8">
        <f>IF(P455=0,0,Y455*O455/P455)</f>
        <v/>
      </c>
      <c r="T455" s="8">
        <f>IF(Y455=0,$B$7/2,$B$7/2-Z455*R455/Y455)</f>
        <v/>
      </c>
      <c r="U455" s="8">
        <f>IF(Y455=0,$B$8/2,$B$8/2+Z455*S455/Y455)</f>
        <v/>
      </c>
      <c r="V455" s="8">
        <f>SQRT((T455-L455)^2+(U455-M455)^2)</f>
        <v/>
      </c>
      <c r="Y455">
        <f>$B$10*TAN(RADIANS(Q455))</f>
        <v/>
      </c>
      <c r="Z455">
        <f>IF(OR($H$7&lt;&gt;"OK",Q455=""),"",IF(Q455&lt;=$A$19,$D$19,IF(Q455&gt;=INDEX($A$19:$A$2018,$H$6),INDEX($D$19:$D$2018,$H$6),INDEX($D$19:$D$2018,MATCH(Q455,$A$19:INDEX($A$19:$A$2018,$H$6),1))+(Q455-INDEX($A$19:$A$2018,MATCH(Q455,$A$19:INDEX($A$19:$A$2018,$H$6),1)))*(INDEX($D$19:$D$2018,MATCH(Q455,$A$19:INDEX($A$19:$A$2018,$H$6),1)+1)-INDEX($D$19:$D$2018,MATCH(Q455,$A$19:INDEX($A$19:$A$2018,$H$6),1)))/(INDEX($A$19:$A$2018,MATCH(Q455,$A$19:INDEX($A$19:$A$2018,$H$6),1)+1)-INDEX($A$19:$A$2018,MATCH(Q455,$A$19:INDEX($A$19:$A$2018,$H$6),1))))))</f>
        <v/>
      </c>
    </row>
    <row r="456">
      <c r="A456" s="11" t="n"/>
      <c r="B456" s="11" t="n"/>
      <c r="C456" s="12">
        <f>IF(A456="","",$B$9*TAN(RADIANS(A456)))</f>
        <v/>
      </c>
      <c r="D456" s="12">
        <f>IF(C456="","",C456*(1+B456/100))</f>
        <v/>
      </c>
      <c r="E456" s="12">
        <f>IF(A456="","",$B$10*TAN(RADIANS(A456)))</f>
        <v/>
      </c>
      <c r="G456" s="8" t="n">
        <v>438</v>
      </c>
      <c r="H456" s="8">
        <f>$K$14</f>
        <v/>
      </c>
      <c r="I456" s="7" t="inlineStr">
        <is>
          <t>豎</t>
        </is>
      </c>
      <c r="J456" s="8" t="n">
        <v>5</v>
      </c>
      <c r="K456" s="7" t="inlineStr">
        <is>
          <t>右上</t>
        </is>
      </c>
      <c r="L456" s="8">
        <f>$O$14+($M$14+$L$14)/2-$M$14/2+$L$14/2+4*2*$L$14+(1)*$L$14/2</f>
        <v/>
      </c>
      <c r="M456" s="8">
        <f>$P$14+(-1)*$M$14/2</f>
        <v/>
      </c>
      <c r="N456" s="8">
        <f>L456-$B$7/2</f>
        <v/>
      </c>
      <c r="O456" s="8">
        <f>M456-$B$8/2</f>
        <v/>
      </c>
      <c r="P456" s="8">
        <f>SQRT(N456^2+O456^2)</f>
        <v/>
      </c>
      <c r="Q456" s="8">
        <f>IF(OR($H$7&lt;&gt;"OK",P456=""),"",IF(P456&lt;=$D$19,$A$19,IF(P456&gt;=INDEX($D$19:$D$2018,$H$6),INDEX($A$19:$A$2018,$H$6),INDEX($A$19:$A$2018,MATCH(P456,$D$19:INDEX($D$19:$D$2018,$H$6),1))+(P456-INDEX($D$19:$D$2018,MATCH(P456,$D$19:INDEX($D$19:$D$2018,$H$6),1)))*(INDEX($A$19:$A$2018,MATCH(P456,$D$19:INDEX($D$19:$D$2018,$H$6),1)+1)-INDEX($A$19:$A$2018,MATCH(P456,$D$19:INDEX($D$19:$D$2018,$H$6),1)))/(INDEX($D$19:$D$2018,MATCH(P456,$D$19:INDEX($D$19:$D$2018,$H$6),1)+1)-INDEX($D$19:$D$2018,MATCH(P456,$D$19:INDEX($D$19:$D$2018,$H$6),1))))))</f>
        <v/>
      </c>
      <c r="R456" s="8">
        <f>IF(P456=0,0,-Y456*N456/P456)</f>
        <v/>
      </c>
      <c r="S456" s="8">
        <f>IF(P456=0,0,Y456*O456/P456)</f>
        <v/>
      </c>
      <c r="T456" s="8">
        <f>IF(Y456=0,$B$7/2,$B$7/2-Z456*R456/Y456)</f>
        <v/>
      </c>
      <c r="U456" s="8">
        <f>IF(Y456=0,$B$8/2,$B$8/2+Z456*S456/Y456)</f>
        <v/>
      </c>
      <c r="V456" s="8">
        <f>SQRT((T456-L456)^2+(U456-M456)^2)</f>
        <v/>
      </c>
      <c r="Y456">
        <f>$B$10*TAN(RADIANS(Q456))</f>
        <v/>
      </c>
      <c r="Z456">
        <f>IF(OR($H$7&lt;&gt;"OK",Q456=""),"",IF(Q456&lt;=$A$19,$D$19,IF(Q456&gt;=INDEX($A$19:$A$2018,$H$6),INDEX($D$19:$D$2018,$H$6),INDEX($D$19:$D$2018,MATCH(Q456,$A$19:INDEX($A$19:$A$2018,$H$6),1))+(Q456-INDEX($A$19:$A$2018,MATCH(Q456,$A$19:INDEX($A$19:$A$2018,$H$6),1)))*(INDEX($D$19:$D$2018,MATCH(Q456,$A$19:INDEX($A$19:$A$2018,$H$6),1)+1)-INDEX($D$19:$D$2018,MATCH(Q456,$A$19:INDEX($A$19:$A$2018,$H$6),1)))/(INDEX($A$19:$A$2018,MATCH(Q456,$A$19:INDEX($A$19:$A$2018,$H$6),1)+1)-INDEX($A$19:$A$2018,MATCH(Q456,$A$19:INDEX($A$19:$A$2018,$H$6),1))))))</f>
        <v/>
      </c>
    </row>
    <row r="457">
      <c r="A457" s="11" t="n"/>
      <c r="B457" s="11" t="n"/>
      <c r="C457" s="12">
        <f>IF(A457="","",$B$9*TAN(RADIANS(A457)))</f>
        <v/>
      </c>
      <c r="D457" s="12">
        <f>IF(C457="","",C457*(1+B457/100))</f>
        <v/>
      </c>
      <c r="E457" s="12">
        <f>IF(A457="","",$B$10*TAN(RADIANS(A457)))</f>
        <v/>
      </c>
      <c r="G457" s="8" t="n">
        <v>439</v>
      </c>
      <c r="H457" s="8">
        <f>$K$14</f>
        <v/>
      </c>
      <c r="I457" s="7" t="inlineStr">
        <is>
          <t>豎</t>
        </is>
      </c>
      <c r="J457" s="8" t="n">
        <v>5</v>
      </c>
      <c r="K457" s="7" t="inlineStr">
        <is>
          <t>右下</t>
        </is>
      </c>
      <c r="L457" s="8">
        <f>$O$14+($M$14+$L$14)/2-$M$14/2+$L$14/2+4*2*$L$14+(1)*$L$14/2</f>
        <v/>
      </c>
      <c r="M457" s="8">
        <f>$P$14+(1)*$M$14/2</f>
        <v/>
      </c>
      <c r="N457" s="8">
        <f>L457-$B$7/2</f>
        <v/>
      </c>
      <c r="O457" s="8">
        <f>M457-$B$8/2</f>
        <v/>
      </c>
      <c r="P457" s="8">
        <f>SQRT(N457^2+O457^2)</f>
        <v/>
      </c>
      <c r="Q457" s="8">
        <f>IF(OR($H$7&lt;&gt;"OK",P457=""),"",IF(P457&lt;=$D$19,$A$19,IF(P457&gt;=INDEX($D$19:$D$2018,$H$6),INDEX($A$19:$A$2018,$H$6),INDEX($A$19:$A$2018,MATCH(P457,$D$19:INDEX($D$19:$D$2018,$H$6),1))+(P457-INDEX($D$19:$D$2018,MATCH(P457,$D$19:INDEX($D$19:$D$2018,$H$6),1)))*(INDEX($A$19:$A$2018,MATCH(P457,$D$19:INDEX($D$19:$D$2018,$H$6),1)+1)-INDEX($A$19:$A$2018,MATCH(P457,$D$19:INDEX($D$19:$D$2018,$H$6),1)))/(INDEX($D$19:$D$2018,MATCH(P457,$D$19:INDEX($D$19:$D$2018,$H$6),1)+1)-INDEX($D$19:$D$2018,MATCH(P457,$D$19:INDEX($D$19:$D$2018,$H$6),1))))))</f>
        <v/>
      </c>
      <c r="R457" s="8">
        <f>IF(P457=0,0,-Y457*N457/P457)</f>
        <v/>
      </c>
      <c r="S457" s="8">
        <f>IF(P457=0,0,Y457*O457/P457)</f>
        <v/>
      </c>
      <c r="T457" s="8">
        <f>IF(Y457=0,$B$7/2,$B$7/2-Z457*R457/Y457)</f>
        <v/>
      </c>
      <c r="U457" s="8">
        <f>IF(Y457=0,$B$8/2,$B$8/2+Z457*S457/Y457)</f>
        <v/>
      </c>
      <c r="V457" s="8">
        <f>SQRT((T457-L457)^2+(U457-M457)^2)</f>
        <v/>
      </c>
      <c r="Y457">
        <f>$B$10*TAN(RADIANS(Q457))</f>
        <v/>
      </c>
      <c r="Z457">
        <f>IF(OR($H$7&lt;&gt;"OK",Q457=""),"",IF(Q457&lt;=$A$19,$D$19,IF(Q457&gt;=INDEX($A$19:$A$2018,$H$6),INDEX($D$19:$D$2018,$H$6),INDEX($D$19:$D$2018,MATCH(Q457,$A$19:INDEX($A$19:$A$2018,$H$6),1))+(Q457-INDEX($A$19:$A$2018,MATCH(Q457,$A$19:INDEX($A$19:$A$2018,$H$6),1)))*(INDEX($D$19:$D$2018,MATCH(Q457,$A$19:INDEX($A$19:$A$2018,$H$6),1)+1)-INDEX($D$19:$D$2018,MATCH(Q457,$A$19:INDEX($A$19:$A$2018,$H$6),1)))/(INDEX($A$19:$A$2018,MATCH(Q457,$A$19:INDEX($A$19:$A$2018,$H$6),1)+1)-INDEX($A$19:$A$2018,MATCH(Q457,$A$19:INDEX($A$19:$A$2018,$H$6),1))))))</f>
        <v/>
      </c>
    </row>
    <row r="458">
      <c r="A458" s="11" t="n"/>
      <c r="B458" s="11" t="n"/>
      <c r="C458" s="12">
        <f>IF(A458="","",$B$9*TAN(RADIANS(A458)))</f>
        <v/>
      </c>
      <c r="D458" s="12">
        <f>IF(C458="","",C458*(1+B458/100))</f>
        <v/>
      </c>
      <c r="E458" s="12">
        <f>IF(A458="","",$B$10*TAN(RADIANS(A458)))</f>
        <v/>
      </c>
      <c r="G458" s="8" t="n">
        <v>440</v>
      </c>
      <c r="H458" s="8">
        <f>$K$14</f>
        <v/>
      </c>
      <c r="I458" s="7" t="inlineStr">
        <is>
          <t>豎</t>
        </is>
      </c>
      <c r="J458" s="8" t="n">
        <v>5</v>
      </c>
      <c r="K458" s="7" t="inlineStr">
        <is>
          <t>左下</t>
        </is>
      </c>
      <c r="L458" s="8">
        <f>$O$14+($M$14+$L$14)/2-$M$14/2+$L$14/2+4*2*$L$14+(-1)*$L$14/2</f>
        <v/>
      </c>
      <c r="M458" s="8">
        <f>$P$14+(1)*$M$14/2</f>
        <v/>
      </c>
      <c r="N458" s="8">
        <f>L458-$B$7/2</f>
        <v/>
      </c>
      <c r="O458" s="8">
        <f>M458-$B$8/2</f>
        <v/>
      </c>
      <c r="P458" s="8">
        <f>SQRT(N458^2+O458^2)</f>
        <v/>
      </c>
      <c r="Q458" s="8">
        <f>IF(OR($H$7&lt;&gt;"OK",P458=""),"",IF(P458&lt;=$D$19,$A$19,IF(P458&gt;=INDEX($D$19:$D$2018,$H$6),INDEX($A$19:$A$2018,$H$6),INDEX($A$19:$A$2018,MATCH(P458,$D$19:INDEX($D$19:$D$2018,$H$6),1))+(P458-INDEX($D$19:$D$2018,MATCH(P458,$D$19:INDEX($D$19:$D$2018,$H$6),1)))*(INDEX($A$19:$A$2018,MATCH(P458,$D$19:INDEX($D$19:$D$2018,$H$6),1)+1)-INDEX($A$19:$A$2018,MATCH(P458,$D$19:INDEX($D$19:$D$2018,$H$6),1)))/(INDEX($D$19:$D$2018,MATCH(P458,$D$19:INDEX($D$19:$D$2018,$H$6),1)+1)-INDEX($D$19:$D$2018,MATCH(P458,$D$19:INDEX($D$19:$D$2018,$H$6),1))))))</f>
        <v/>
      </c>
      <c r="R458" s="8">
        <f>IF(P458=0,0,-Y458*N458/P458)</f>
        <v/>
      </c>
      <c r="S458" s="8">
        <f>IF(P458=0,0,Y458*O458/P458)</f>
        <v/>
      </c>
      <c r="T458" s="8">
        <f>IF(Y458=0,$B$7/2,$B$7/2-Z458*R458/Y458)</f>
        <v/>
      </c>
      <c r="U458" s="8">
        <f>IF(Y458=0,$B$8/2,$B$8/2+Z458*S458/Y458)</f>
        <v/>
      </c>
      <c r="V458" s="8">
        <f>SQRT((T458-L458)^2+(U458-M458)^2)</f>
        <v/>
      </c>
      <c r="Y458">
        <f>$B$10*TAN(RADIANS(Q458))</f>
        <v/>
      </c>
      <c r="Z458">
        <f>IF(OR($H$7&lt;&gt;"OK",Q458=""),"",IF(Q458&lt;=$A$19,$D$19,IF(Q458&gt;=INDEX($A$19:$A$2018,$H$6),INDEX($D$19:$D$2018,$H$6),INDEX($D$19:$D$2018,MATCH(Q458,$A$19:INDEX($A$19:$A$2018,$H$6),1))+(Q458-INDEX($A$19:$A$2018,MATCH(Q458,$A$19:INDEX($A$19:$A$2018,$H$6),1)))*(INDEX($D$19:$D$2018,MATCH(Q458,$A$19:INDEX($A$19:$A$2018,$H$6),1)+1)-INDEX($D$19:$D$2018,MATCH(Q458,$A$19:INDEX($A$19:$A$2018,$H$6),1)))/(INDEX($A$19:$A$2018,MATCH(Q458,$A$19:INDEX($A$19:$A$2018,$H$6),1)+1)-INDEX($A$19:$A$2018,MATCH(Q458,$A$19:INDEX($A$19:$A$2018,$H$6),1))))))</f>
        <v/>
      </c>
    </row>
    <row r="459">
      <c r="A459" s="11" t="n"/>
      <c r="B459" s="11" t="n"/>
      <c r="C459" s="12">
        <f>IF(A459="","",$B$9*TAN(RADIANS(A459)))</f>
        <v/>
      </c>
      <c r="D459" s="12">
        <f>IF(C459="","",C459*(1+B459/100))</f>
        <v/>
      </c>
      <c r="E459" s="12">
        <f>IF(A459="","",$B$10*TAN(RADIANS(A459)))</f>
        <v/>
      </c>
    </row>
    <row r="460">
      <c r="A460" s="11" t="n"/>
      <c r="B460" s="11" t="n"/>
      <c r="C460" s="12">
        <f>IF(A460="","",$B$9*TAN(RADIANS(A460)))</f>
        <v/>
      </c>
      <c r="D460" s="12">
        <f>IF(C460="","",C460*(1+B460/100))</f>
        <v/>
      </c>
      <c r="E460" s="12">
        <f>IF(A460="","",$B$10*TAN(RADIANS(A460)))</f>
        <v/>
      </c>
    </row>
    <row r="461">
      <c r="A461" s="11" t="n"/>
      <c r="B461" s="11" t="n"/>
      <c r="C461" s="12">
        <f>IF(A461="","",$B$9*TAN(RADIANS(A461)))</f>
        <v/>
      </c>
      <c r="D461" s="12">
        <f>IF(C461="","",C461*(1+B461/100))</f>
        <v/>
      </c>
      <c r="E461" s="12">
        <f>IF(A461="","",$B$10*TAN(RADIANS(A461)))</f>
        <v/>
      </c>
    </row>
    <row r="462">
      <c r="A462" s="11" t="n"/>
      <c r="B462" s="11" t="n"/>
      <c r="C462" s="12">
        <f>IF(A462="","",$B$9*TAN(RADIANS(A462)))</f>
        <v/>
      </c>
      <c r="D462" s="12">
        <f>IF(C462="","",C462*(1+B462/100))</f>
        <v/>
      </c>
      <c r="E462" s="12">
        <f>IF(A462="","",$B$10*TAN(RADIANS(A462)))</f>
        <v/>
      </c>
    </row>
    <row r="463">
      <c r="A463" s="11" t="n"/>
      <c r="B463" s="11" t="n"/>
      <c r="C463" s="12">
        <f>IF(A463="","",$B$9*TAN(RADIANS(A463)))</f>
        <v/>
      </c>
      <c r="D463" s="12">
        <f>IF(C463="","",C463*(1+B463/100))</f>
        <v/>
      </c>
      <c r="E463" s="12">
        <f>IF(A463="","",$B$10*TAN(RADIANS(A463)))</f>
        <v/>
      </c>
    </row>
    <row r="464">
      <c r="A464" s="11" t="n"/>
      <c r="B464" s="11" t="n"/>
      <c r="C464" s="12">
        <f>IF(A464="","",$B$9*TAN(RADIANS(A464)))</f>
        <v/>
      </c>
      <c r="D464" s="12">
        <f>IF(C464="","",C464*(1+B464/100))</f>
        <v/>
      </c>
      <c r="E464" s="12">
        <f>IF(A464="","",$B$10*TAN(RADIANS(A464)))</f>
        <v/>
      </c>
    </row>
    <row r="465">
      <c r="A465" s="11" t="n"/>
      <c r="B465" s="11" t="n"/>
      <c r="C465" s="12">
        <f>IF(A465="","",$B$9*TAN(RADIANS(A465)))</f>
        <v/>
      </c>
      <c r="D465" s="12">
        <f>IF(C465="","",C465*(1+B465/100))</f>
        <v/>
      </c>
      <c r="E465" s="12">
        <f>IF(A465="","",$B$10*TAN(RADIANS(A465)))</f>
        <v/>
      </c>
    </row>
    <row r="466">
      <c r="A466" s="11" t="n"/>
      <c r="B466" s="11" t="n"/>
      <c r="C466" s="12">
        <f>IF(A466="","",$B$9*TAN(RADIANS(A466)))</f>
        <v/>
      </c>
      <c r="D466" s="12">
        <f>IF(C466="","",C466*(1+B466/100))</f>
        <v/>
      </c>
      <c r="E466" s="12">
        <f>IF(A466="","",$B$10*TAN(RADIANS(A466)))</f>
        <v/>
      </c>
    </row>
    <row r="467">
      <c r="A467" s="11" t="n"/>
      <c r="B467" s="11" t="n"/>
      <c r="C467" s="12">
        <f>IF(A467="","",$B$9*TAN(RADIANS(A467)))</f>
        <v/>
      </c>
      <c r="D467" s="12">
        <f>IF(C467="","",C467*(1+B467/100))</f>
        <v/>
      </c>
      <c r="E467" s="12">
        <f>IF(A467="","",$B$10*TAN(RADIANS(A467)))</f>
        <v/>
      </c>
    </row>
    <row r="468">
      <c r="A468" s="11" t="n"/>
      <c r="B468" s="11" t="n"/>
      <c r="C468" s="12">
        <f>IF(A468="","",$B$9*TAN(RADIANS(A468)))</f>
        <v/>
      </c>
      <c r="D468" s="12">
        <f>IF(C468="","",C468*(1+B468/100))</f>
        <v/>
      </c>
      <c r="E468" s="12">
        <f>IF(A468="","",$B$10*TAN(RADIANS(A468)))</f>
        <v/>
      </c>
    </row>
    <row r="469">
      <c r="A469" s="11" t="n"/>
      <c r="B469" s="11" t="n"/>
      <c r="C469" s="12">
        <f>IF(A469="","",$B$9*TAN(RADIANS(A469)))</f>
        <v/>
      </c>
      <c r="D469" s="12">
        <f>IF(C469="","",C469*(1+B469/100))</f>
        <v/>
      </c>
      <c r="E469" s="12">
        <f>IF(A469="","",$B$10*TAN(RADIANS(A469)))</f>
        <v/>
      </c>
    </row>
    <row r="470">
      <c r="A470" s="11" t="n"/>
      <c r="B470" s="11" t="n"/>
      <c r="C470" s="12">
        <f>IF(A470="","",$B$9*TAN(RADIANS(A470)))</f>
        <v/>
      </c>
      <c r="D470" s="12">
        <f>IF(C470="","",C470*(1+B470/100))</f>
        <v/>
      </c>
      <c r="E470" s="12">
        <f>IF(A470="","",$B$10*TAN(RADIANS(A470)))</f>
        <v/>
      </c>
    </row>
    <row r="471">
      <c r="A471" s="11" t="n"/>
      <c r="B471" s="11" t="n"/>
      <c r="C471" s="12">
        <f>IF(A471="","",$B$9*TAN(RADIANS(A471)))</f>
        <v/>
      </c>
      <c r="D471" s="12">
        <f>IF(C471="","",C471*(1+B471/100))</f>
        <v/>
      </c>
      <c r="E471" s="12">
        <f>IF(A471="","",$B$10*TAN(RADIANS(A471)))</f>
        <v/>
      </c>
    </row>
    <row r="472">
      <c r="A472" s="11" t="n"/>
      <c r="B472" s="11" t="n"/>
      <c r="C472" s="12">
        <f>IF(A472="","",$B$9*TAN(RADIANS(A472)))</f>
        <v/>
      </c>
      <c r="D472" s="12">
        <f>IF(C472="","",C472*(1+B472/100))</f>
        <v/>
      </c>
      <c r="E472" s="12">
        <f>IF(A472="","",$B$10*TAN(RADIANS(A472)))</f>
        <v/>
      </c>
    </row>
    <row r="473">
      <c r="A473" s="11" t="n"/>
      <c r="B473" s="11" t="n"/>
      <c r="C473" s="12">
        <f>IF(A473="","",$B$9*TAN(RADIANS(A473)))</f>
        <v/>
      </c>
      <c r="D473" s="12">
        <f>IF(C473="","",C473*(1+B473/100))</f>
        <v/>
      </c>
      <c r="E473" s="12">
        <f>IF(A473="","",$B$10*TAN(RADIANS(A473)))</f>
        <v/>
      </c>
    </row>
    <row r="474">
      <c r="A474" s="11" t="n"/>
      <c r="B474" s="11" t="n"/>
      <c r="C474" s="12">
        <f>IF(A474="","",$B$9*TAN(RADIANS(A474)))</f>
        <v/>
      </c>
      <c r="D474" s="12">
        <f>IF(C474="","",C474*(1+B474/100))</f>
        <v/>
      </c>
      <c r="E474" s="12">
        <f>IF(A474="","",$B$10*TAN(RADIANS(A474)))</f>
        <v/>
      </c>
    </row>
    <row r="475">
      <c r="A475" s="11" t="n"/>
      <c r="B475" s="11" t="n"/>
      <c r="C475" s="12">
        <f>IF(A475="","",$B$9*TAN(RADIANS(A475)))</f>
        <v/>
      </c>
      <c r="D475" s="12">
        <f>IF(C475="","",C475*(1+B475/100))</f>
        <v/>
      </c>
      <c r="E475" s="12">
        <f>IF(A475="","",$B$10*TAN(RADIANS(A475)))</f>
        <v/>
      </c>
    </row>
    <row r="476">
      <c r="A476" s="11" t="n"/>
      <c r="B476" s="11" t="n"/>
      <c r="C476" s="12">
        <f>IF(A476="","",$B$9*TAN(RADIANS(A476)))</f>
        <v/>
      </c>
      <c r="D476" s="12">
        <f>IF(C476="","",C476*(1+B476/100))</f>
        <v/>
      </c>
      <c r="E476" s="12">
        <f>IF(A476="","",$B$10*TAN(RADIANS(A476)))</f>
        <v/>
      </c>
    </row>
    <row r="477">
      <c r="A477" s="11" t="n"/>
      <c r="B477" s="11" t="n"/>
      <c r="C477" s="12">
        <f>IF(A477="","",$B$9*TAN(RADIANS(A477)))</f>
        <v/>
      </c>
      <c r="D477" s="12">
        <f>IF(C477="","",C477*(1+B477/100))</f>
        <v/>
      </c>
      <c r="E477" s="12">
        <f>IF(A477="","",$B$10*TAN(RADIANS(A477)))</f>
        <v/>
      </c>
    </row>
    <row r="478">
      <c r="A478" s="11" t="n"/>
      <c r="B478" s="11" t="n"/>
      <c r="C478" s="12">
        <f>IF(A478="","",$B$9*TAN(RADIANS(A478)))</f>
        <v/>
      </c>
      <c r="D478" s="12">
        <f>IF(C478="","",C478*(1+B478/100))</f>
        <v/>
      </c>
      <c r="E478" s="12">
        <f>IF(A478="","",$B$10*TAN(RADIANS(A478)))</f>
        <v/>
      </c>
    </row>
    <row r="479">
      <c r="A479" s="11" t="n"/>
      <c r="B479" s="11" t="n"/>
      <c r="C479" s="12">
        <f>IF(A479="","",$B$9*TAN(RADIANS(A479)))</f>
        <v/>
      </c>
      <c r="D479" s="12">
        <f>IF(C479="","",C479*(1+B479/100))</f>
        <v/>
      </c>
      <c r="E479" s="12">
        <f>IF(A479="","",$B$10*TAN(RADIANS(A479)))</f>
        <v/>
      </c>
    </row>
    <row r="480">
      <c r="A480" s="11" t="n"/>
      <c r="B480" s="11" t="n"/>
      <c r="C480" s="12">
        <f>IF(A480="","",$B$9*TAN(RADIANS(A480)))</f>
        <v/>
      </c>
      <c r="D480" s="12">
        <f>IF(C480="","",C480*(1+B480/100))</f>
        <v/>
      </c>
      <c r="E480" s="12">
        <f>IF(A480="","",$B$10*TAN(RADIANS(A480)))</f>
        <v/>
      </c>
    </row>
    <row r="481">
      <c r="A481" s="11" t="n"/>
      <c r="B481" s="11" t="n"/>
      <c r="C481" s="12">
        <f>IF(A481="","",$B$9*TAN(RADIANS(A481)))</f>
        <v/>
      </c>
      <c r="D481" s="12">
        <f>IF(C481="","",C481*(1+B481/100))</f>
        <v/>
      </c>
      <c r="E481" s="12">
        <f>IF(A481="","",$B$10*TAN(RADIANS(A481)))</f>
        <v/>
      </c>
    </row>
    <row r="482">
      <c r="A482" s="11" t="n"/>
      <c r="B482" s="11" t="n"/>
      <c r="C482" s="12">
        <f>IF(A482="","",$B$9*TAN(RADIANS(A482)))</f>
        <v/>
      </c>
      <c r="D482" s="12">
        <f>IF(C482="","",C482*(1+B482/100))</f>
        <v/>
      </c>
      <c r="E482" s="12">
        <f>IF(A482="","",$B$10*TAN(RADIANS(A482)))</f>
        <v/>
      </c>
    </row>
    <row r="483">
      <c r="A483" s="11" t="n"/>
      <c r="B483" s="11" t="n"/>
      <c r="C483" s="12">
        <f>IF(A483="","",$B$9*TAN(RADIANS(A483)))</f>
        <v/>
      </c>
      <c r="D483" s="12">
        <f>IF(C483="","",C483*(1+B483/100))</f>
        <v/>
      </c>
      <c r="E483" s="12">
        <f>IF(A483="","",$B$10*TAN(RADIANS(A483)))</f>
        <v/>
      </c>
    </row>
    <row r="484">
      <c r="A484" s="11" t="n"/>
      <c r="B484" s="11" t="n"/>
      <c r="C484" s="12">
        <f>IF(A484="","",$B$9*TAN(RADIANS(A484)))</f>
        <v/>
      </c>
      <c r="D484" s="12">
        <f>IF(C484="","",C484*(1+B484/100))</f>
        <v/>
      </c>
      <c r="E484" s="12">
        <f>IF(A484="","",$B$10*TAN(RADIANS(A484)))</f>
        <v/>
      </c>
    </row>
    <row r="485">
      <c r="A485" s="11" t="n"/>
      <c r="B485" s="11" t="n"/>
      <c r="C485" s="12">
        <f>IF(A485="","",$B$9*TAN(RADIANS(A485)))</f>
        <v/>
      </c>
      <c r="D485" s="12">
        <f>IF(C485="","",C485*(1+B485/100))</f>
        <v/>
      </c>
      <c r="E485" s="12">
        <f>IF(A485="","",$B$10*TAN(RADIANS(A485)))</f>
        <v/>
      </c>
    </row>
    <row r="486">
      <c r="A486" s="11" t="n"/>
      <c r="B486" s="11" t="n"/>
      <c r="C486" s="12">
        <f>IF(A486="","",$B$9*TAN(RADIANS(A486)))</f>
        <v/>
      </c>
      <c r="D486" s="12">
        <f>IF(C486="","",C486*(1+B486/100))</f>
        <v/>
      </c>
      <c r="E486" s="12">
        <f>IF(A486="","",$B$10*TAN(RADIANS(A486)))</f>
        <v/>
      </c>
    </row>
    <row r="487">
      <c r="A487" s="11" t="n"/>
      <c r="B487" s="11" t="n"/>
      <c r="C487" s="12">
        <f>IF(A487="","",$B$9*TAN(RADIANS(A487)))</f>
        <v/>
      </c>
      <c r="D487" s="12">
        <f>IF(C487="","",C487*(1+B487/100))</f>
        <v/>
      </c>
      <c r="E487" s="12">
        <f>IF(A487="","",$B$10*TAN(RADIANS(A487)))</f>
        <v/>
      </c>
    </row>
    <row r="488">
      <c r="A488" s="11" t="n"/>
      <c r="B488" s="11" t="n"/>
      <c r="C488" s="12">
        <f>IF(A488="","",$B$9*TAN(RADIANS(A488)))</f>
        <v/>
      </c>
      <c r="D488" s="12">
        <f>IF(C488="","",C488*(1+B488/100))</f>
        <v/>
      </c>
      <c r="E488" s="12">
        <f>IF(A488="","",$B$10*TAN(RADIANS(A488)))</f>
        <v/>
      </c>
    </row>
    <row r="489">
      <c r="A489" s="11" t="n"/>
      <c r="B489" s="11" t="n"/>
      <c r="C489" s="12">
        <f>IF(A489="","",$B$9*TAN(RADIANS(A489)))</f>
        <v/>
      </c>
      <c r="D489" s="12">
        <f>IF(C489="","",C489*(1+B489/100))</f>
        <v/>
      </c>
      <c r="E489" s="12">
        <f>IF(A489="","",$B$10*TAN(RADIANS(A489)))</f>
        <v/>
      </c>
    </row>
    <row r="490">
      <c r="A490" s="11" t="n"/>
      <c r="B490" s="11" t="n"/>
      <c r="C490" s="12">
        <f>IF(A490="","",$B$9*TAN(RADIANS(A490)))</f>
        <v/>
      </c>
      <c r="D490" s="12">
        <f>IF(C490="","",C490*(1+B490/100))</f>
        <v/>
      </c>
      <c r="E490" s="12">
        <f>IF(A490="","",$B$10*TAN(RADIANS(A490)))</f>
        <v/>
      </c>
    </row>
    <row r="491">
      <c r="A491" s="11" t="n"/>
      <c r="B491" s="11" t="n"/>
      <c r="C491" s="12">
        <f>IF(A491="","",$B$9*TAN(RADIANS(A491)))</f>
        <v/>
      </c>
      <c r="D491" s="12">
        <f>IF(C491="","",C491*(1+B491/100))</f>
        <v/>
      </c>
      <c r="E491" s="12">
        <f>IF(A491="","",$B$10*TAN(RADIANS(A491)))</f>
        <v/>
      </c>
    </row>
    <row r="492">
      <c r="A492" s="11" t="n"/>
      <c r="B492" s="11" t="n"/>
      <c r="C492" s="12">
        <f>IF(A492="","",$B$9*TAN(RADIANS(A492)))</f>
        <v/>
      </c>
      <c r="D492" s="12">
        <f>IF(C492="","",C492*(1+B492/100))</f>
        <v/>
      </c>
      <c r="E492" s="12">
        <f>IF(A492="","",$B$10*TAN(RADIANS(A492)))</f>
        <v/>
      </c>
    </row>
    <row r="493">
      <c r="A493" s="11" t="n"/>
      <c r="B493" s="11" t="n"/>
      <c r="C493" s="12">
        <f>IF(A493="","",$B$9*TAN(RADIANS(A493)))</f>
        <v/>
      </c>
      <c r="D493" s="12">
        <f>IF(C493="","",C493*(1+B493/100))</f>
        <v/>
      </c>
      <c r="E493" s="12">
        <f>IF(A493="","",$B$10*TAN(RADIANS(A493)))</f>
        <v/>
      </c>
    </row>
    <row r="494">
      <c r="A494" s="11" t="n"/>
      <c r="B494" s="11" t="n"/>
      <c r="C494" s="12">
        <f>IF(A494="","",$B$9*TAN(RADIANS(A494)))</f>
        <v/>
      </c>
      <c r="D494" s="12">
        <f>IF(C494="","",C494*(1+B494/100))</f>
        <v/>
      </c>
      <c r="E494" s="12">
        <f>IF(A494="","",$B$10*TAN(RADIANS(A494)))</f>
        <v/>
      </c>
    </row>
    <row r="495">
      <c r="A495" s="11" t="n"/>
      <c r="B495" s="11" t="n"/>
      <c r="C495" s="12">
        <f>IF(A495="","",$B$9*TAN(RADIANS(A495)))</f>
        <v/>
      </c>
      <c r="D495" s="12">
        <f>IF(C495="","",C495*(1+B495/100))</f>
        <v/>
      </c>
      <c r="E495" s="12">
        <f>IF(A495="","",$B$10*TAN(RADIANS(A495)))</f>
        <v/>
      </c>
    </row>
    <row r="496">
      <c r="A496" s="11" t="n"/>
      <c r="B496" s="11" t="n"/>
      <c r="C496" s="12">
        <f>IF(A496="","",$B$9*TAN(RADIANS(A496)))</f>
        <v/>
      </c>
      <c r="D496" s="12">
        <f>IF(C496="","",C496*(1+B496/100))</f>
        <v/>
      </c>
      <c r="E496" s="12">
        <f>IF(A496="","",$B$10*TAN(RADIANS(A496)))</f>
        <v/>
      </c>
    </row>
    <row r="497">
      <c r="A497" s="11" t="n"/>
      <c r="B497" s="11" t="n"/>
      <c r="C497" s="12">
        <f>IF(A497="","",$B$9*TAN(RADIANS(A497)))</f>
        <v/>
      </c>
      <c r="D497" s="12">
        <f>IF(C497="","",C497*(1+B497/100))</f>
        <v/>
      </c>
      <c r="E497" s="12">
        <f>IF(A497="","",$B$10*TAN(RADIANS(A497)))</f>
        <v/>
      </c>
    </row>
    <row r="498">
      <c r="A498" s="11" t="n"/>
      <c r="B498" s="11" t="n"/>
      <c r="C498" s="12">
        <f>IF(A498="","",$B$9*TAN(RADIANS(A498)))</f>
        <v/>
      </c>
      <c r="D498" s="12">
        <f>IF(C498="","",C498*(1+B498/100))</f>
        <v/>
      </c>
      <c r="E498" s="12">
        <f>IF(A498="","",$B$10*TAN(RADIANS(A498)))</f>
        <v/>
      </c>
    </row>
    <row r="499">
      <c r="A499" s="11" t="n"/>
      <c r="B499" s="11" t="n"/>
      <c r="C499" s="12">
        <f>IF(A499="","",$B$9*TAN(RADIANS(A499)))</f>
        <v/>
      </c>
      <c r="D499" s="12">
        <f>IF(C499="","",C499*(1+B499/100))</f>
        <v/>
      </c>
      <c r="E499" s="12">
        <f>IF(A499="","",$B$10*TAN(RADIANS(A499)))</f>
        <v/>
      </c>
    </row>
    <row r="500">
      <c r="A500" s="11" t="n"/>
      <c r="B500" s="11" t="n"/>
      <c r="C500" s="12">
        <f>IF(A500="","",$B$9*TAN(RADIANS(A500)))</f>
        <v/>
      </c>
      <c r="D500" s="12">
        <f>IF(C500="","",C500*(1+B500/100))</f>
        <v/>
      </c>
      <c r="E500" s="12">
        <f>IF(A500="","",$B$10*TAN(RADIANS(A500)))</f>
        <v/>
      </c>
    </row>
    <row r="501">
      <c r="A501" s="11" t="n"/>
      <c r="B501" s="11" t="n"/>
      <c r="C501" s="12">
        <f>IF(A501="","",$B$9*TAN(RADIANS(A501)))</f>
        <v/>
      </c>
      <c r="D501" s="12">
        <f>IF(C501="","",C501*(1+B501/100))</f>
        <v/>
      </c>
      <c r="E501" s="12">
        <f>IF(A501="","",$B$10*TAN(RADIANS(A501)))</f>
        <v/>
      </c>
    </row>
    <row r="502">
      <c r="A502" s="11" t="n"/>
      <c r="B502" s="11" t="n"/>
      <c r="C502" s="12">
        <f>IF(A502="","",$B$9*TAN(RADIANS(A502)))</f>
        <v/>
      </c>
      <c r="D502" s="12">
        <f>IF(C502="","",C502*(1+B502/100))</f>
        <v/>
      </c>
      <c r="E502" s="12">
        <f>IF(A502="","",$B$10*TAN(RADIANS(A502)))</f>
        <v/>
      </c>
    </row>
    <row r="503">
      <c r="A503" s="11" t="n"/>
      <c r="B503" s="11" t="n"/>
      <c r="C503" s="12">
        <f>IF(A503="","",$B$9*TAN(RADIANS(A503)))</f>
        <v/>
      </c>
      <c r="D503" s="12">
        <f>IF(C503="","",C503*(1+B503/100))</f>
        <v/>
      </c>
      <c r="E503" s="12">
        <f>IF(A503="","",$B$10*TAN(RADIANS(A503)))</f>
        <v/>
      </c>
    </row>
    <row r="504">
      <c r="A504" s="11" t="n"/>
      <c r="B504" s="11" t="n"/>
      <c r="C504" s="12">
        <f>IF(A504="","",$B$9*TAN(RADIANS(A504)))</f>
        <v/>
      </c>
      <c r="D504" s="12">
        <f>IF(C504="","",C504*(1+B504/100))</f>
        <v/>
      </c>
      <c r="E504" s="12">
        <f>IF(A504="","",$B$10*TAN(RADIANS(A504)))</f>
        <v/>
      </c>
    </row>
    <row r="505">
      <c r="A505" s="11" t="n"/>
      <c r="B505" s="11" t="n"/>
      <c r="C505" s="12">
        <f>IF(A505="","",$B$9*TAN(RADIANS(A505)))</f>
        <v/>
      </c>
      <c r="D505" s="12">
        <f>IF(C505="","",C505*(1+B505/100))</f>
        <v/>
      </c>
      <c r="E505" s="12">
        <f>IF(A505="","",$B$10*TAN(RADIANS(A505)))</f>
        <v/>
      </c>
    </row>
    <row r="506">
      <c r="A506" s="11" t="n"/>
      <c r="B506" s="11" t="n"/>
      <c r="C506" s="12">
        <f>IF(A506="","",$B$9*TAN(RADIANS(A506)))</f>
        <v/>
      </c>
      <c r="D506" s="12">
        <f>IF(C506="","",C506*(1+B506/100))</f>
        <v/>
      </c>
      <c r="E506" s="12">
        <f>IF(A506="","",$B$10*TAN(RADIANS(A506)))</f>
        <v/>
      </c>
    </row>
    <row r="507">
      <c r="A507" s="11" t="n"/>
      <c r="B507" s="11" t="n"/>
      <c r="C507" s="12">
        <f>IF(A507="","",$B$9*TAN(RADIANS(A507)))</f>
        <v/>
      </c>
      <c r="D507" s="12">
        <f>IF(C507="","",C507*(1+B507/100))</f>
        <v/>
      </c>
      <c r="E507" s="12">
        <f>IF(A507="","",$B$10*TAN(RADIANS(A507)))</f>
        <v/>
      </c>
    </row>
    <row r="508">
      <c r="A508" s="11" t="n"/>
      <c r="B508" s="11" t="n"/>
      <c r="C508" s="12">
        <f>IF(A508="","",$B$9*TAN(RADIANS(A508)))</f>
        <v/>
      </c>
      <c r="D508" s="12">
        <f>IF(C508="","",C508*(1+B508/100))</f>
        <v/>
      </c>
      <c r="E508" s="12">
        <f>IF(A508="","",$B$10*TAN(RADIANS(A508)))</f>
        <v/>
      </c>
    </row>
    <row r="509">
      <c r="A509" s="11" t="n"/>
      <c r="B509" s="11" t="n"/>
      <c r="C509" s="12">
        <f>IF(A509="","",$B$9*TAN(RADIANS(A509)))</f>
        <v/>
      </c>
      <c r="D509" s="12">
        <f>IF(C509="","",C509*(1+B509/100))</f>
        <v/>
      </c>
      <c r="E509" s="12">
        <f>IF(A509="","",$B$10*TAN(RADIANS(A509)))</f>
        <v/>
      </c>
    </row>
    <row r="510">
      <c r="A510" s="11" t="n"/>
      <c r="B510" s="11" t="n"/>
      <c r="C510" s="12">
        <f>IF(A510="","",$B$9*TAN(RADIANS(A510)))</f>
        <v/>
      </c>
      <c r="D510" s="12">
        <f>IF(C510="","",C510*(1+B510/100))</f>
        <v/>
      </c>
      <c r="E510" s="12">
        <f>IF(A510="","",$B$10*TAN(RADIANS(A510)))</f>
        <v/>
      </c>
    </row>
    <row r="511">
      <c r="A511" s="11" t="n"/>
      <c r="B511" s="11" t="n"/>
      <c r="C511" s="12">
        <f>IF(A511="","",$B$9*TAN(RADIANS(A511)))</f>
        <v/>
      </c>
      <c r="D511" s="12">
        <f>IF(C511="","",C511*(1+B511/100))</f>
        <v/>
      </c>
      <c r="E511" s="12">
        <f>IF(A511="","",$B$10*TAN(RADIANS(A511)))</f>
        <v/>
      </c>
    </row>
    <row r="512">
      <c r="A512" s="11" t="n"/>
      <c r="B512" s="11" t="n"/>
      <c r="C512" s="12">
        <f>IF(A512="","",$B$9*TAN(RADIANS(A512)))</f>
        <v/>
      </c>
      <c r="D512" s="12">
        <f>IF(C512="","",C512*(1+B512/100))</f>
        <v/>
      </c>
      <c r="E512" s="12">
        <f>IF(A512="","",$B$10*TAN(RADIANS(A512)))</f>
        <v/>
      </c>
    </row>
    <row r="513">
      <c r="A513" s="11" t="n"/>
      <c r="B513" s="11" t="n"/>
      <c r="C513" s="12">
        <f>IF(A513="","",$B$9*TAN(RADIANS(A513)))</f>
        <v/>
      </c>
      <c r="D513" s="12">
        <f>IF(C513="","",C513*(1+B513/100))</f>
        <v/>
      </c>
      <c r="E513" s="12">
        <f>IF(A513="","",$B$10*TAN(RADIANS(A513)))</f>
        <v/>
      </c>
    </row>
    <row r="514">
      <c r="A514" s="11" t="n"/>
      <c r="B514" s="11" t="n"/>
      <c r="C514" s="12">
        <f>IF(A514="","",$B$9*TAN(RADIANS(A514)))</f>
        <v/>
      </c>
      <c r="D514" s="12">
        <f>IF(C514="","",C514*(1+B514/100))</f>
        <v/>
      </c>
      <c r="E514" s="12">
        <f>IF(A514="","",$B$10*TAN(RADIANS(A514)))</f>
        <v/>
      </c>
    </row>
    <row r="515">
      <c r="A515" s="11" t="n"/>
      <c r="B515" s="11" t="n"/>
      <c r="C515" s="12">
        <f>IF(A515="","",$B$9*TAN(RADIANS(A515)))</f>
        <v/>
      </c>
      <c r="D515" s="12">
        <f>IF(C515="","",C515*(1+B515/100))</f>
        <v/>
      </c>
      <c r="E515" s="12">
        <f>IF(A515="","",$B$10*TAN(RADIANS(A515)))</f>
        <v/>
      </c>
    </row>
    <row r="516">
      <c r="A516" s="11" t="n"/>
      <c r="B516" s="11" t="n"/>
      <c r="C516" s="12">
        <f>IF(A516="","",$B$9*TAN(RADIANS(A516)))</f>
        <v/>
      </c>
      <c r="D516" s="12">
        <f>IF(C516="","",C516*(1+B516/100))</f>
        <v/>
      </c>
      <c r="E516" s="12">
        <f>IF(A516="","",$B$10*TAN(RADIANS(A516)))</f>
        <v/>
      </c>
    </row>
    <row r="517">
      <c r="A517" s="11" t="n"/>
      <c r="B517" s="11" t="n"/>
      <c r="C517" s="12">
        <f>IF(A517="","",$B$9*TAN(RADIANS(A517)))</f>
        <v/>
      </c>
      <c r="D517" s="12">
        <f>IF(C517="","",C517*(1+B517/100))</f>
        <v/>
      </c>
      <c r="E517" s="12">
        <f>IF(A517="","",$B$10*TAN(RADIANS(A517)))</f>
        <v/>
      </c>
    </row>
    <row r="518">
      <c r="A518" s="11" t="n"/>
      <c r="B518" s="11" t="n"/>
      <c r="C518" s="12">
        <f>IF(A518="","",$B$9*TAN(RADIANS(A518)))</f>
        <v/>
      </c>
      <c r="D518" s="12">
        <f>IF(C518="","",C518*(1+B518/100))</f>
        <v/>
      </c>
      <c r="E518" s="12">
        <f>IF(A518="","",$B$10*TAN(RADIANS(A518)))</f>
        <v/>
      </c>
    </row>
    <row r="519">
      <c r="A519" s="11" t="n"/>
      <c r="B519" s="11" t="n"/>
      <c r="C519" s="12">
        <f>IF(A519="","",$B$9*TAN(RADIANS(A519)))</f>
        <v/>
      </c>
      <c r="D519" s="12">
        <f>IF(C519="","",C519*(1+B519/100))</f>
        <v/>
      </c>
      <c r="E519" s="12">
        <f>IF(A519="","",$B$10*TAN(RADIANS(A519)))</f>
        <v/>
      </c>
    </row>
    <row r="520">
      <c r="A520" s="11" t="n"/>
      <c r="B520" s="11" t="n"/>
      <c r="C520" s="12">
        <f>IF(A520="","",$B$9*TAN(RADIANS(A520)))</f>
        <v/>
      </c>
      <c r="D520" s="12">
        <f>IF(C520="","",C520*(1+B520/100))</f>
        <v/>
      </c>
      <c r="E520" s="12">
        <f>IF(A520="","",$B$10*TAN(RADIANS(A520)))</f>
        <v/>
      </c>
    </row>
    <row r="521">
      <c r="A521" s="11" t="n"/>
      <c r="B521" s="11" t="n"/>
      <c r="C521" s="12">
        <f>IF(A521="","",$B$9*TAN(RADIANS(A521)))</f>
        <v/>
      </c>
      <c r="D521" s="12">
        <f>IF(C521="","",C521*(1+B521/100))</f>
        <v/>
      </c>
      <c r="E521" s="12">
        <f>IF(A521="","",$B$10*TAN(RADIANS(A521)))</f>
        <v/>
      </c>
    </row>
    <row r="522">
      <c r="A522" s="11" t="n"/>
      <c r="B522" s="11" t="n"/>
      <c r="C522" s="12">
        <f>IF(A522="","",$B$9*TAN(RADIANS(A522)))</f>
        <v/>
      </c>
      <c r="D522" s="12">
        <f>IF(C522="","",C522*(1+B522/100))</f>
        <v/>
      </c>
      <c r="E522" s="12">
        <f>IF(A522="","",$B$10*TAN(RADIANS(A522)))</f>
        <v/>
      </c>
    </row>
    <row r="523">
      <c r="A523" s="11" t="n"/>
      <c r="B523" s="11" t="n"/>
      <c r="C523" s="12">
        <f>IF(A523="","",$B$9*TAN(RADIANS(A523)))</f>
        <v/>
      </c>
      <c r="D523" s="12">
        <f>IF(C523="","",C523*(1+B523/100))</f>
        <v/>
      </c>
      <c r="E523" s="12">
        <f>IF(A523="","",$B$10*TAN(RADIANS(A523)))</f>
        <v/>
      </c>
    </row>
    <row r="524">
      <c r="A524" s="11" t="n"/>
      <c r="B524" s="11" t="n"/>
      <c r="C524" s="12">
        <f>IF(A524="","",$B$9*TAN(RADIANS(A524)))</f>
        <v/>
      </c>
      <c r="D524" s="12">
        <f>IF(C524="","",C524*(1+B524/100))</f>
        <v/>
      </c>
      <c r="E524" s="12">
        <f>IF(A524="","",$B$10*TAN(RADIANS(A524)))</f>
        <v/>
      </c>
    </row>
    <row r="525">
      <c r="A525" s="11" t="n"/>
      <c r="B525" s="11" t="n"/>
      <c r="C525" s="12">
        <f>IF(A525="","",$B$9*TAN(RADIANS(A525)))</f>
        <v/>
      </c>
      <c r="D525" s="12">
        <f>IF(C525="","",C525*(1+B525/100))</f>
        <v/>
      </c>
      <c r="E525" s="12">
        <f>IF(A525="","",$B$10*TAN(RADIANS(A525)))</f>
        <v/>
      </c>
    </row>
    <row r="526">
      <c r="A526" s="11" t="n"/>
      <c r="B526" s="11" t="n"/>
      <c r="C526" s="12">
        <f>IF(A526="","",$B$9*TAN(RADIANS(A526)))</f>
        <v/>
      </c>
      <c r="D526" s="12">
        <f>IF(C526="","",C526*(1+B526/100))</f>
        <v/>
      </c>
      <c r="E526" s="12">
        <f>IF(A526="","",$B$10*TAN(RADIANS(A526)))</f>
        <v/>
      </c>
    </row>
    <row r="527">
      <c r="A527" s="11" t="n"/>
      <c r="B527" s="11" t="n"/>
      <c r="C527" s="12">
        <f>IF(A527="","",$B$9*TAN(RADIANS(A527)))</f>
        <v/>
      </c>
      <c r="D527" s="12">
        <f>IF(C527="","",C527*(1+B527/100))</f>
        <v/>
      </c>
      <c r="E527" s="12">
        <f>IF(A527="","",$B$10*TAN(RADIANS(A527)))</f>
        <v/>
      </c>
    </row>
    <row r="528">
      <c r="A528" s="11" t="n"/>
      <c r="B528" s="11" t="n"/>
      <c r="C528" s="12">
        <f>IF(A528="","",$B$9*TAN(RADIANS(A528)))</f>
        <v/>
      </c>
      <c r="D528" s="12">
        <f>IF(C528="","",C528*(1+B528/100))</f>
        <v/>
      </c>
      <c r="E528" s="12">
        <f>IF(A528="","",$B$10*TAN(RADIANS(A528)))</f>
        <v/>
      </c>
    </row>
    <row r="529">
      <c r="A529" s="11" t="n"/>
      <c r="B529" s="11" t="n"/>
      <c r="C529" s="12">
        <f>IF(A529="","",$B$9*TAN(RADIANS(A529)))</f>
        <v/>
      </c>
      <c r="D529" s="12">
        <f>IF(C529="","",C529*(1+B529/100))</f>
        <v/>
      </c>
      <c r="E529" s="12">
        <f>IF(A529="","",$B$10*TAN(RADIANS(A529)))</f>
        <v/>
      </c>
    </row>
    <row r="530">
      <c r="A530" s="11" t="n"/>
      <c r="B530" s="11" t="n"/>
      <c r="C530" s="12">
        <f>IF(A530="","",$B$9*TAN(RADIANS(A530)))</f>
        <v/>
      </c>
      <c r="D530" s="12">
        <f>IF(C530="","",C530*(1+B530/100))</f>
        <v/>
      </c>
      <c r="E530" s="12">
        <f>IF(A530="","",$B$10*TAN(RADIANS(A530)))</f>
        <v/>
      </c>
    </row>
    <row r="531">
      <c r="A531" s="11" t="n"/>
      <c r="B531" s="11" t="n"/>
      <c r="C531" s="12">
        <f>IF(A531="","",$B$9*TAN(RADIANS(A531)))</f>
        <v/>
      </c>
      <c r="D531" s="12">
        <f>IF(C531="","",C531*(1+B531/100))</f>
        <v/>
      </c>
      <c r="E531" s="12">
        <f>IF(A531="","",$B$10*TAN(RADIANS(A531)))</f>
        <v/>
      </c>
    </row>
    <row r="532">
      <c r="A532" s="11" t="n"/>
      <c r="B532" s="11" t="n"/>
      <c r="C532" s="12">
        <f>IF(A532="","",$B$9*TAN(RADIANS(A532)))</f>
        <v/>
      </c>
      <c r="D532" s="12">
        <f>IF(C532="","",C532*(1+B532/100))</f>
        <v/>
      </c>
      <c r="E532" s="12">
        <f>IF(A532="","",$B$10*TAN(RADIANS(A532)))</f>
        <v/>
      </c>
    </row>
    <row r="533">
      <c r="A533" s="11" t="n"/>
      <c r="B533" s="11" t="n"/>
      <c r="C533" s="12">
        <f>IF(A533="","",$B$9*TAN(RADIANS(A533)))</f>
        <v/>
      </c>
      <c r="D533" s="12">
        <f>IF(C533="","",C533*(1+B533/100))</f>
        <v/>
      </c>
      <c r="E533" s="12">
        <f>IF(A533="","",$B$10*TAN(RADIANS(A533)))</f>
        <v/>
      </c>
    </row>
    <row r="534">
      <c r="A534" s="11" t="n"/>
      <c r="B534" s="11" t="n"/>
      <c r="C534" s="12">
        <f>IF(A534="","",$B$9*TAN(RADIANS(A534)))</f>
        <v/>
      </c>
      <c r="D534" s="12">
        <f>IF(C534="","",C534*(1+B534/100))</f>
        <v/>
      </c>
      <c r="E534" s="12">
        <f>IF(A534="","",$B$10*TAN(RADIANS(A534)))</f>
        <v/>
      </c>
    </row>
    <row r="535">
      <c r="A535" s="11" t="n"/>
      <c r="B535" s="11" t="n"/>
      <c r="C535" s="12">
        <f>IF(A535="","",$B$9*TAN(RADIANS(A535)))</f>
        <v/>
      </c>
      <c r="D535" s="12">
        <f>IF(C535="","",C535*(1+B535/100))</f>
        <v/>
      </c>
      <c r="E535" s="12">
        <f>IF(A535="","",$B$10*TAN(RADIANS(A535)))</f>
        <v/>
      </c>
    </row>
    <row r="536">
      <c r="A536" s="11" t="n"/>
      <c r="B536" s="11" t="n"/>
      <c r="C536" s="12">
        <f>IF(A536="","",$B$9*TAN(RADIANS(A536)))</f>
        <v/>
      </c>
      <c r="D536" s="12">
        <f>IF(C536="","",C536*(1+B536/100))</f>
        <v/>
      </c>
      <c r="E536" s="12">
        <f>IF(A536="","",$B$10*TAN(RADIANS(A536)))</f>
        <v/>
      </c>
    </row>
    <row r="537">
      <c r="A537" s="11" t="n"/>
      <c r="B537" s="11" t="n"/>
      <c r="C537" s="12">
        <f>IF(A537="","",$B$9*TAN(RADIANS(A537)))</f>
        <v/>
      </c>
      <c r="D537" s="12">
        <f>IF(C537="","",C537*(1+B537/100))</f>
        <v/>
      </c>
      <c r="E537" s="12">
        <f>IF(A537="","",$B$10*TAN(RADIANS(A537)))</f>
        <v/>
      </c>
    </row>
    <row r="538">
      <c r="A538" s="11" t="n"/>
      <c r="B538" s="11" t="n"/>
      <c r="C538" s="12">
        <f>IF(A538="","",$B$9*TAN(RADIANS(A538)))</f>
        <v/>
      </c>
      <c r="D538" s="12">
        <f>IF(C538="","",C538*(1+B538/100))</f>
        <v/>
      </c>
      <c r="E538" s="12">
        <f>IF(A538="","",$B$10*TAN(RADIANS(A538)))</f>
        <v/>
      </c>
    </row>
    <row r="539">
      <c r="A539" s="11" t="n"/>
      <c r="B539" s="11" t="n"/>
      <c r="C539" s="12">
        <f>IF(A539="","",$B$9*TAN(RADIANS(A539)))</f>
        <v/>
      </c>
      <c r="D539" s="12">
        <f>IF(C539="","",C539*(1+B539/100))</f>
        <v/>
      </c>
      <c r="E539" s="12">
        <f>IF(A539="","",$B$10*TAN(RADIANS(A539)))</f>
        <v/>
      </c>
    </row>
    <row r="540">
      <c r="A540" s="11" t="n"/>
      <c r="B540" s="11" t="n"/>
      <c r="C540" s="12">
        <f>IF(A540="","",$B$9*TAN(RADIANS(A540)))</f>
        <v/>
      </c>
      <c r="D540" s="12">
        <f>IF(C540="","",C540*(1+B540/100))</f>
        <v/>
      </c>
      <c r="E540" s="12">
        <f>IF(A540="","",$B$10*TAN(RADIANS(A540)))</f>
        <v/>
      </c>
    </row>
    <row r="541">
      <c r="A541" s="11" t="n"/>
      <c r="B541" s="11" t="n"/>
      <c r="C541" s="12">
        <f>IF(A541="","",$B$9*TAN(RADIANS(A541)))</f>
        <v/>
      </c>
      <c r="D541" s="12">
        <f>IF(C541="","",C541*(1+B541/100))</f>
        <v/>
      </c>
      <c r="E541" s="12">
        <f>IF(A541="","",$B$10*TAN(RADIANS(A541)))</f>
        <v/>
      </c>
    </row>
    <row r="542">
      <c r="A542" s="11" t="n"/>
      <c r="B542" s="11" t="n"/>
      <c r="C542" s="12">
        <f>IF(A542="","",$B$9*TAN(RADIANS(A542)))</f>
        <v/>
      </c>
      <c r="D542" s="12">
        <f>IF(C542="","",C542*(1+B542/100))</f>
        <v/>
      </c>
      <c r="E542" s="12">
        <f>IF(A542="","",$B$10*TAN(RADIANS(A542)))</f>
        <v/>
      </c>
    </row>
    <row r="543">
      <c r="A543" s="11" t="n"/>
      <c r="B543" s="11" t="n"/>
      <c r="C543" s="12">
        <f>IF(A543="","",$B$9*TAN(RADIANS(A543)))</f>
        <v/>
      </c>
      <c r="D543" s="12">
        <f>IF(C543="","",C543*(1+B543/100))</f>
        <v/>
      </c>
      <c r="E543" s="12">
        <f>IF(A543="","",$B$10*TAN(RADIANS(A543)))</f>
        <v/>
      </c>
    </row>
    <row r="544">
      <c r="A544" s="11" t="n"/>
      <c r="B544" s="11" t="n"/>
      <c r="C544" s="12">
        <f>IF(A544="","",$B$9*TAN(RADIANS(A544)))</f>
        <v/>
      </c>
      <c r="D544" s="12">
        <f>IF(C544="","",C544*(1+B544/100))</f>
        <v/>
      </c>
      <c r="E544" s="12">
        <f>IF(A544="","",$B$10*TAN(RADIANS(A544)))</f>
        <v/>
      </c>
    </row>
    <row r="545">
      <c r="A545" s="11" t="n"/>
      <c r="B545" s="11" t="n"/>
      <c r="C545" s="12">
        <f>IF(A545="","",$B$9*TAN(RADIANS(A545)))</f>
        <v/>
      </c>
      <c r="D545" s="12">
        <f>IF(C545="","",C545*(1+B545/100))</f>
        <v/>
      </c>
      <c r="E545" s="12">
        <f>IF(A545="","",$B$10*TAN(RADIANS(A545)))</f>
        <v/>
      </c>
    </row>
    <row r="546">
      <c r="A546" s="11" t="n"/>
      <c r="B546" s="11" t="n"/>
      <c r="C546" s="12">
        <f>IF(A546="","",$B$9*TAN(RADIANS(A546)))</f>
        <v/>
      </c>
      <c r="D546" s="12">
        <f>IF(C546="","",C546*(1+B546/100))</f>
        <v/>
      </c>
      <c r="E546" s="12">
        <f>IF(A546="","",$B$10*TAN(RADIANS(A546)))</f>
        <v/>
      </c>
    </row>
    <row r="547">
      <c r="A547" s="11" t="n"/>
      <c r="B547" s="11" t="n"/>
      <c r="C547" s="12">
        <f>IF(A547="","",$B$9*TAN(RADIANS(A547)))</f>
        <v/>
      </c>
      <c r="D547" s="12">
        <f>IF(C547="","",C547*(1+B547/100))</f>
        <v/>
      </c>
      <c r="E547" s="12">
        <f>IF(A547="","",$B$10*TAN(RADIANS(A547)))</f>
        <v/>
      </c>
    </row>
    <row r="548">
      <c r="A548" s="11" t="n"/>
      <c r="B548" s="11" t="n"/>
      <c r="C548" s="12">
        <f>IF(A548="","",$B$9*TAN(RADIANS(A548)))</f>
        <v/>
      </c>
      <c r="D548" s="12">
        <f>IF(C548="","",C548*(1+B548/100))</f>
        <v/>
      </c>
      <c r="E548" s="12">
        <f>IF(A548="","",$B$10*TAN(RADIANS(A548)))</f>
        <v/>
      </c>
    </row>
    <row r="549">
      <c r="A549" s="11" t="n"/>
      <c r="B549" s="11" t="n"/>
      <c r="C549" s="12">
        <f>IF(A549="","",$B$9*TAN(RADIANS(A549)))</f>
        <v/>
      </c>
      <c r="D549" s="12">
        <f>IF(C549="","",C549*(1+B549/100))</f>
        <v/>
      </c>
      <c r="E549" s="12">
        <f>IF(A549="","",$B$10*TAN(RADIANS(A549)))</f>
        <v/>
      </c>
    </row>
    <row r="550">
      <c r="A550" s="11" t="n"/>
      <c r="B550" s="11" t="n"/>
      <c r="C550" s="12">
        <f>IF(A550="","",$B$9*TAN(RADIANS(A550)))</f>
        <v/>
      </c>
      <c r="D550" s="12">
        <f>IF(C550="","",C550*(1+B550/100))</f>
        <v/>
      </c>
      <c r="E550" s="12">
        <f>IF(A550="","",$B$10*TAN(RADIANS(A550)))</f>
        <v/>
      </c>
    </row>
    <row r="551">
      <c r="A551" s="11" t="n"/>
      <c r="B551" s="11" t="n"/>
      <c r="C551" s="12">
        <f>IF(A551="","",$B$9*TAN(RADIANS(A551)))</f>
        <v/>
      </c>
      <c r="D551" s="12">
        <f>IF(C551="","",C551*(1+B551/100))</f>
        <v/>
      </c>
      <c r="E551" s="12">
        <f>IF(A551="","",$B$10*TAN(RADIANS(A551)))</f>
        <v/>
      </c>
    </row>
    <row r="552">
      <c r="A552" s="11" t="n"/>
      <c r="B552" s="11" t="n"/>
      <c r="C552" s="12">
        <f>IF(A552="","",$B$9*TAN(RADIANS(A552)))</f>
        <v/>
      </c>
      <c r="D552" s="12">
        <f>IF(C552="","",C552*(1+B552/100))</f>
        <v/>
      </c>
      <c r="E552" s="12">
        <f>IF(A552="","",$B$10*TAN(RADIANS(A552)))</f>
        <v/>
      </c>
    </row>
    <row r="553">
      <c r="A553" s="11" t="n"/>
      <c r="B553" s="11" t="n"/>
      <c r="C553" s="12">
        <f>IF(A553="","",$B$9*TAN(RADIANS(A553)))</f>
        <v/>
      </c>
      <c r="D553" s="12">
        <f>IF(C553="","",C553*(1+B553/100))</f>
        <v/>
      </c>
      <c r="E553" s="12">
        <f>IF(A553="","",$B$10*TAN(RADIANS(A553)))</f>
        <v/>
      </c>
    </row>
    <row r="554">
      <c r="A554" s="11" t="n"/>
      <c r="B554" s="11" t="n"/>
      <c r="C554" s="12">
        <f>IF(A554="","",$B$9*TAN(RADIANS(A554)))</f>
        <v/>
      </c>
      <c r="D554" s="12">
        <f>IF(C554="","",C554*(1+B554/100))</f>
        <v/>
      </c>
      <c r="E554" s="12">
        <f>IF(A554="","",$B$10*TAN(RADIANS(A554)))</f>
        <v/>
      </c>
    </row>
    <row r="555">
      <c r="A555" s="11" t="n"/>
      <c r="B555" s="11" t="n"/>
      <c r="C555" s="12">
        <f>IF(A555="","",$B$9*TAN(RADIANS(A555)))</f>
        <v/>
      </c>
      <c r="D555" s="12">
        <f>IF(C555="","",C555*(1+B555/100))</f>
        <v/>
      </c>
      <c r="E555" s="12">
        <f>IF(A555="","",$B$10*TAN(RADIANS(A555)))</f>
        <v/>
      </c>
    </row>
    <row r="556">
      <c r="A556" s="11" t="n"/>
      <c r="B556" s="11" t="n"/>
      <c r="C556" s="12">
        <f>IF(A556="","",$B$9*TAN(RADIANS(A556)))</f>
        <v/>
      </c>
      <c r="D556" s="12">
        <f>IF(C556="","",C556*(1+B556/100))</f>
        <v/>
      </c>
      <c r="E556" s="12">
        <f>IF(A556="","",$B$10*TAN(RADIANS(A556)))</f>
        <v/>
      </c>
    </row>
    <row r="557">
      <c r="A557" s="11" t="n"/>
      <c r="B557" s="11" t="n"/>
      <c r="C557" s="12">
        <f>IF(A557="","",$B$9*TAN(RADIANS(A557)))</f>
        <v/>
      </c>
      <c r="D557" s="12">
        <f>IF(C557="","",C557*(1+B557/100))</f>
        <v/>
      </c>
      <c r="E557" s="12">
        <f>IF(A557="","",$B$10*TAN(RADIANS(A557)))</f>
        <v/>
      </c>
    </row>
    <row r="558">
      <c r="A558" s="11" t="n"/>
      <c r="B558" s="11" t="n"/>
      <c r="C558" s="12">
        <f>IF(A558="","",$B$9*TAN(RADIANS(A558)))</f>
        <v/>
      </c>
      <c r="D558" s="12">
        <f>IF(C558="","",C558*(1+B558/100))</f>
        <v/>
      </c>
      <c r="E558" s="12">
        <f>IF(A558="","",$B$10*TAN(RADIANS(A558)))</f>
        <v/>
      </c>
    </row>
    <row r="559">
      <c r="A559" s="11" t="n"/>
      <c r="B559" s="11" t="n"/>
      <c r="C559" s="12">
        <f>IF(A559="","",$B$9*TAN(RADIANS(A559)))</f>
        <v/>
      </c>
      <c r="D559" s="12">
        <f>IF(C559="","",C559*(1+B559/100))</f>
        <v/>
      </c>
      <c r="E559" s="12">
        <f>IF(A559="","",$B$10*TAN(RADIANS(A559)))</f>
        <v/>
      </c>
    </row>
    <row r="560">
      <c r="A560" s="11" t="n"/>
      <c r="B560" s="11" t="n"/>
      <c r="C560" s="12">
        <f>IF(A560="","",$B$9*TAN(RADIANS(A560)))</f>
        <v/>
      </c>
      <c r="D560" s="12">
        <f>IF(C560="","",C560*(1+B560/100))</f>
        <v/>
      </c>
      <c r="E560" s="12">
        <f>IF(A560="","",$B$10*TAN(RADIANS(A560)))</f>
        <v/>
      </c>
    </row>
    <row r="561">
      <c r="A561" s="11" t="n"/>
      <c r="B561" s="11" t="n"/>
      <c r="C561" s="12">
        <f>IF(A561="","",$B$9*TAN(RADIANS(A561)))</f>
        <v/>
      </c>
      <c r="D561" s="12">
        <f>IF(C561="","",C561*(1+B561/100))</f>
        <v/>
      </c>
      <c r="E561" s="12">
        <f>IF(A561="","",$B$10*TAN(RADIANS(A561)))</f>
        <v/>
      </c>
    </row>
    <row r="562">
      <c r="A562" s="11" t="n"/>
      <c r="B562" s="11" t="n"/>
      <c r="C562" s="12">
        <f>IF(A562="","",$B$9*TAN(RADIANS(A562)))</f>
        <v/>
      </c>
      <c r="D562" s="12">
        <f>IF(C562="","",C562*(1+B562/100))</f>
        <v/>
      </c>
      <c r="E562" s="12">
        <f>IF(A562="","",$B$10*TAN(RADIANS(A562)))</f>
        <v/>
      </c>
    </row>
    <row r="563">
      <c r="A563" s="11" t="n"/>
      <c r="B563" s="11" t="n"/>
      <c r="C563" s="12">
        <f>IF(A563="","",$B$9*TAN(RADIANS(A563)))</f>
        <v/>
      </c>
      <c r="D563" s="12">
        <f>IF(C563="","",C563*(1+B563/100))</f>
        <v/>
      </c>
      <c r="E563" s="12">
        <f>IF(A563="","",$B$10*TAN(RADIANS(A563)))</f>
        <v/>
      </c>
    </row>
    <row r="564">
      <c r="A564" s="11" t="n"/>
      <c r="B564" s="11" t="n"/>
      <c r="C564" s="12">
        <f>IF(A564="","",$B$9*TAN(RADIANS(A564)))</f>
        <v/>
      </c>
      <c r="D564" s="12">
        <f>IF(C564="","",C564*(1+B564/100))</f>
        <v/>
      </c>
      <c r="E564" s="12">
        <f>IF(A564="","",$B$10*TAN(RADIANS(A564)))</f>
        <v/>
      </c>
    </row>
    <row r="565">
      <c r="A565" s="11" t="n"/>
      <c r="B565" s="11" t="n"/>
      <c r="C565" s="12">
        <f>IF(A565="","",$B$9*TAN(RADIANS(A565)))</f>
        <v/>
      </c>
      <c r="D565" s="12">
        <f>IF(C565="","",C565*(1+B565/100))</f>
        <v/>
      </c>
      <c r="E565" s="12">
        <f>IF(A565="","",$B$10*TAN(RADIANS(A565)))</f>
        <v/>
      </c>
    </row>
    <row r="566">
      <c r="A566" s="11" t="n"/>
      <c r="B566" s="11" t="n"/>
      <c r="C566" s="12">
        <f>IF(A566="","",$B$9*TAN(RADIANS(A566)))</f>
        <v/>
      </c>
      <c r="D566" s="12">
        <f>IF(C566="","",C566*(1+B566/100))</f>
        <v/>
      </c>
      <c r="E566" s="12">
        <f>IF(A566="","",$B$10*TAN(RADIANS(A566)))</f>
        <v/>
      </c>
    </row>
    <row r="567">
      <c r="A567" s="11" t="n"/>
      <c r="B567" s="11" t="n"/>
      <c r="C567" s="12">
        <f>IF(A567="","",$B$9*TAN(RADIANS(A567)))</f>
        <v/>
      </c>
      <c r="D567" s="12">
        <f>IF(C567="","",C567*(1+B567/100))</f>
        <v/>
      </c>
      <c r="E567" s="12">
        <f>IF(A567="","",$B$10*TAN(RADIANS(A567)))</f>
        <v/>
      </c>
    </row>
    <row r="568">
      <c r="A568" s="11" t="n"/>
      <c r="B568" s="11" t="n"/>
      <c r="C568" s="12">
        <f>IF(A568="","",$B$9*TAN(RADIANS(A568)))</f>
        <v/>
      </c>
      <c r="D568" s="12">
        <f>IF(C568="","",C568*(1+B568/100))</f>
        <v/>
      </c>
      <c r="E568" s="12">
        <f>IF(A568="","",$B$10*TAN(RADIANS(A568)))</f>
        <v/>
      </c>
    </row>
    <row r="569">
      <c r="A569" s="11" t="n"/>
      <c r="B569" s="11" t="n"/>
      <c r="C569" s="12">
        <f>IF(A569="","",$B$9*TAN(RADIANS(A569)))</f>
        <v/>
      </c>
      <c r="D569" s="12">
        <f>IF(C569="","",C569*(1+B569/100))</f>
        <v/>
      </c>
      <c r="E569" s="12">
        <f>IF(A569="","",$B$10*TAN(RADIANS(A569)))</f>
        <v/>
      </c>
    </row>
    <row r="570">
      <c r="A570" s="11" t="n"/>
      <c r="B570" s="11" t="n"/>
      <c r="C570" s="12">
        <f>IF(A570="","",$B$9*TAN(RADIANS(A570)))</f>
        <v/>
      </c>
      <c r="D570" s="12">
        <f>IF(C570="","",C570*(1+B570/100))</f>
        <v/>
      </c>
      <c r="E570" s="12">
        <f>IF(A570="","",$B$10*TAN(RADIANS(A570)))</f>
        <v/>
      </c>
    </row>
    <row r="571">
      <c r="A571" s="11" t="n"/>
      <c r="B571" s="11" t="n"/>
      <c r="C571" s="12">
        <f>IF(A571="","",$B$9*TAN(RADIANS(A571)))</f>
        <v/>
      </c>
      <c r="D571" s="12">
        <f>IF(C571="","",C571*(1+B571/100))</f>
        <v/>
      </c>
      <c r="E571" s="12">
        <f>IF(A571="","",$B$10*TAN(RADIANS(A571)))</f>
        <v/>
      </c>
    </row>
    <row r="572">
      <c r="A572" s="11" t="n"/>
      <c r="B572" s="11" t="n"/>
      <c r="C572" s="12">
        <f>IF(A572="","",$B$9*TAN(RADIANS(A572)))</f>
        <v/>
      </c>
      <c r="D572" s="12">
        <f>IF(C572="","",C572*(1+B572/100))</f>
        <v/>
      </c>
      <c r="E572" s="12">
        <f>IF(A572="","",$B$10*TAN(RADIANS(A572)))</f>
        <v/>
      </c>
    </row>
    <row r="573">
      <c r="A573" s="11" t="n"/>
      <c r="B573" s="11" t="n"/>
      <c r="C573" s="12">
        <f>IF(A573="","",$B$9*TAN(RADIANS(A573)))</f>
        <v/>
      </c>
      <c r="D573" s="12">
        <f>IF(C573="","",C573*(1+B573/100))</f>
        <v/>
      </c>
      <c r="E573" s="12">
        <f>IF(A573="","",$B$10*TAN(RADIANS(A573)))</f>
        <v/>
      </c>
    </row>
    <row r="574">
      <c r="A574" s="11" t="n"/>
      <c r="B574" s="11" t="n"/>
      <c r="C574" s="12">
        <f>IF(A574="","",$B$9*TAN(RADIANS(A574)))</f>
        <v/>
      </c>
      <c r="D574" s="12">
        <f>IF(C574="","",C574*(1+B574/100))</f>
        <v/>
      </c>
      <c r="E574" s="12">
        <f>IF(A574="","",$B$10*TAN(RADIANS(A574)))</f>
        <v/>
      </c>
    </row>
    <row r="575">
      <c r="A575" s="11" t="n"/>
      <c r="B575" s="11" t="n"/>
      <c r="C575" s="12">
        <f>IF(A575="","",$B$9*TAN(RADIANS(A575)))</f>
        <v/>
      </c>
      <c r="D575" s="12">
        <f>IF(C575="","",C575*(1+B575/100))</f>
        <v/>
      </c>
      <c r="E575" s="12">
        <f>IF(A575="","",$B$10*TAN(RADIANS(A575)))</f>
        <v/>
      </c>
    </row>
    <row r="576">
      <c r="A576" s="11" t="n"/>
      <c r="B576" s="11" t="n"/>
      <c r="C576" s="12">
        <f>IF(A576="","",$B$9*TAN(RADIANS(A576)))</f>
        <v/>
      </c>
      <c r="D576" s="12">
        <f>IF(C576="","",C576*(1+B576/100))</f>
        <v/>
      </c>
      <c r="E576" s="12">
        <f>IF(A576="","",$B$10*TAN(RADIANS(A576)))</f>
        <v/>
      </c>
    </row>
    <row r="577">
      <c r="A577" s="11" t="n"/>
      <c r="B577" s="11" t="n"/>
      <c r="C577" s="12">
        <f>IF(A577="","",$B$9*TAN(RADIANS(A577)))</f>
        <v/>
      </c>
      <c r="D577" s="12">
        <f>IF(C577="","",C577*(1+B577/100))</f>
        <v/>
      </c>
      <c r="E577" s="12">
        <f>IF(A577="","",$B$10*TAN(RADIANS(A577)))</f>
        <v/>
      </c>
    </row>
    <row r="578">
      <c r="A578" s="11" t="n"/>
      <c r="B578" s="11" t="n"/>
      <c r="C578" s="12">
        <f>IF(A578="","",$B$9*TAN(RADIANS(A578)))</f>
        <v/>
      </c>
      <c r="D578" s="12">
        <f>IF(C578="","",C578*(1+B578/100))</f>
        <v/>
      </c>
      <c r="E578" s="12">
        <f>IF(A578="","",$B$10*TAN(RADIANS(A578)))</f>
        <v/>
      </c>
    </row>
    <row r="579">
      <c r="A579" s="11" t="n"/>
      <c r="B579" s="11" t="n"/>
      <c r="C579" s="12">
        <f>IF(A579="","",$B$9*TAN(RADIANS(A579)))</f>
        <v/>
      </c>
      <c r="D579" s="12">
        <f>IF(C579="","",C579*(1+B579/100))</f>
        <v/>
      </c>
      <c r="E579" s="12">
        <f>IF(A579="","",$B$10*TAN(RADIANS(A579)))</f>
        <v/>
      </c>
    </row>
    <row r="580">
      <c r="A580" s="11" t="n"/>
      <c r="B580" s="11" t="n"/>
      <c r="C580" s="12">
        <f>IF(A580="","",$B$9*TAN(RADIANS(A580)))</f>
        <v/>
      </c>
      <c r="D580" s="12">
        <f>IF(C580="","",C580*(1+B580/100))</f>
        <v/>
      </c>
      <c r="E580" s="12">
        <f>IF(A580="","",$B$10*TAN(RADIANS(A580)))</f>
        <v/>
      </c>
    </row>
    <row r="581">
      <c r="A581" s="11" t="n"/>
      <c r="B581" s="11" t="n"/>
      <c r="C581" s="12">
        <f>IF(A581="","",$B$9*TAN(RADIANS(A581)))</f>
        <v/>
      </c>
      <c r="D581" s="12">
        <f>IF(C581="","",C581*(1+B581/100))</f>
        <v/>
      </c>
      <c r="E581" s="12">
        <f>IF(A581="","",$B$10*TAN(RADIANS(A581)))</f>
        <v/>
      </c>
    </row>
    <row r="582">
      <c r="A582" s="11" t="n"/>
      <c r="B582" s="11" t="n"/>
      <c r="C582" s="12">
        <f>IF(A582="","",$B$9*TAN(RADIANS(A582)))</f>
        <v/>
      </c>
      <c r="D582" s="12">
        <f>IF(C582="","",C582*(1+B582/100))</f>
        <v/>
      </c>
      <c r="E582" s="12">
        <f>IF(A582="","",$B$10*TAN(RADIANS(A582)))</f>
        <v/>
      </c>
    </row>
    <row r="583">
      <c r="A583" s="11" t="n"/>
      <c r="B583" s="11" t="n"/>
      <c r="C583" s="12">
        <f>IF(A583="","",$B$9*TAN(RADIANS(A583)))</f>
        <v/>
      </c>
      <c r="D583" s="12">
        <f>IF(C583="","",C583*(1+B583/100))</f>
        <v/>
      </c>
      <c r="E583" s="12">
        <f>IF(A583="","",$B$10*TAN(RADIANS(A583)))</f>
        <v/>
      </c>
    </row>
    <row r="584">
      <c r="A584" s="11" t="n"/>
      <c r="B584" s="11" t="n"/>
      <c r="C584" s="12">
        <f>IF(A584="","",$B$9*TAN(RADIANS(A584)))</f>
        <v/>
      </c>
      <c r="D584" s="12">
        <f>IF(C584="","",C584*(1+B584/100))</f>
        <v/>
      </c>
      <c r="E584" s="12">
        <f>IF(A584="","",$B$10*TAN(RADIANS(A584)))</f>
        <v/>
      </c>
    </row>
    <row r="585">
      <c r="A585" s="11" t="n"/>
      <c r="B585" s="11" t="n"/>
      <c r="C585" s="12">
        <f>IF(A585="","",$B$9*TAN(RADIANS(A585)))</f>
        <v/>
      </c>
      <c r="D585" s="12">
        <f>IF(C585="","",C585*(1+B585/100))</f>
        <v/>
      </c>
      <c r="E585" s="12">
        <f>IF(A585="","",$B$10*TAN(RADIANS(A585)))</f>
        <v/>
      </c>
    </row>
    <row r="586">
      <c r="A586" s="11" t="n"/>
      <c r="B586" s="11" t="n"/>
      <c r="C586" s="12">
        <f>IF(A586="","",$B$9*TAN(RADIANS(A586)))</f>
        <v/>
      </c>
      <c r="D586" s="12">
        <f>IF(C586="","",C586*(1+B586/100))</f>
        <v/>
      </c>
      <c r="E586" s="12">
        <f>IF(A586="","",$B$10*TAN(RADIANS(A586)))</f>
        <v/>
      </c>
    </row>
    <row r="587">
      <c r="A587" s="11" t="n"/>
      <c r="B587" s="11" t="n"/>
      <c r="C587" s="12">
        <f>IF(A587="","",$B$9*TAN(RADIANS(A587)))</f>
        <v/>
      </c>
      <c r="D587" s="12">
        <f>IF(C587="","",C587*(1+B587/100))</f>
        <v/>
      </c>
      <c r="E587" s="12">
        <f>IF(A587="","",$B$10*TAN(RADIANS(A587)))</f>
        <v/>
      </c>
    </row>
    <row r="588">
      <c r="A588" s="11" t="n"/>
      <c r="B588" s="11" t="n"/>
      <c r="C588" s="12">
        <f>IF(A588="","",$B$9*TAN(RADIANS(A588)))</f>
        <v/>
      </c>
      <c r="D588" s="12">
        <f>IF(C588="","",C588*(1+B588/100))</f>
        <v/>
      </c>
      <c r="E588" s="12">
        <f>IF(A588="","",$B$10*TAN(RADIANS(A588)))</f>
        <v/>
      </c>
    </row>
    <row r="589">
      <c r="A589" s="11" t="n"/>
      <c r="B589" s="11" t="n"/>
      <c r="C589" s="12">
        <f>IF(A589="","",$B$9*TAN(RADIANS(A589)))</f>
        <v/>
      </c>
      <c r="D589" s="12">
        <f>IF(C589="","",C589*(1+B589/100))</f>
        <v/>
      </c>
      <c r="E589" s="12">
        <f>IF(A589="","",$B$10*TAN(RADIANS(A589)))</f>
        <v/>
      </c>
    </row>
    <row r="590">
      <c r="A590" s="11" t="n"/>
      <c r="B590" s="11" t="n"/>
      <c r="C590" s="12">
        <f>IF(A590="","",$B$9*TAN(RADIANS(A590)))</f>
        <v/>
      </c>
      <c r="D590" s="12">
        <f>IF(C590="","",C590*(1+B590/100))</f>
        <v/>
      </c>
      <c r="E590" s="12">
        <f>IF(A590="","",$B$10*TAN(RADIANS(A590)))</f>
        <v/>
      </c>
    </row>
    <row r="591">
      <c r="A591" s="11" t="n"/>
      <c r="B591" s="11" t="n"/>
      <c r="C591" s="12">
        <f>IF(A591="","",$B$9*TAN(RADIANS(A591)))</f>
        <v/>
      </c>
      <c r="D591" s="12">
        <f>IF(C591="","",C591*(1+B591/100))</f>
        <v/>
      </c>
      <c r="E591" s="12">
        <f>IF(A591="","",$B$10*TAN(RADIANS(A591)))</f>
        <v/>
      </c>
    </row>
    <row r="592">
      <c r="A592" s="11" t="n"/>
      <c r="B592" s="11" t="n"/>
      <c r="C592" s="12">
        <f>IF(A592="","",$B$9*TAN(RADIANS(A592)))</f>
        <v/>
      </c>
      <c r="D592" s="12">
        <f>IF(C592="","",C592*(1+B592/100))</f>
        <v/>
      </c>
      <c r="E592" s="12">
        <f>IF(A592="","",$B$10*TAN(RADIANS(A592)))</f>
        <v/>
      </c>
    </row>
    <row r="593">
      <c r="A593" s="11" t="n"/>
      <c r="B593" s="11" t="n"/>
      <c r="C593" s="12">
        <f>IF(A593="","",$B$9*TAN(RADIANS(A593)))</f>
        <v/>
      </c>
      <c r="D593" s="12">
        <f>IF(C593="","",C593*(1+B593/100))</f>
        <v/>
      </c>
      <c r="E593" s="12">
        <f>IF(A593="","",$B$10*TAN(RADIANS(A593)))</f>
        <v/>
      </c>
    </row>
    <row r="594">
      <c r="A594" s="11" t="n"/>
      <c r="B594" s="11" t="n"/>
      <c r="C594" s="12">
        <f>IF(A594="","",$B$9*TAN(RADIANS(A594)))</f>
        <v/>
      </c>
      <c r="D594" s="12">
        <f>IF(C594="","",C594*(1+B594/100))</f>
        <v/>
      </c>
      <c r="E594" s="12">
        <f>IF(A594="","",$B$10*TAN(RADIANS(A594)))</f>
        <v/>
      </c>
    </row>
    <row r="595">
      <c r="A595" s="11" t="n"/>
      <c r="B595" s="11" t="n"/>
      <c r="C595" s="12">
        <f>IF(A595="","",$B$9*TAN(RADIANS(A595)))</f>
        <v/>
      </c>
      <c r="D595" s="12">
        <f>IF(C595="","",C595*(1+B595/100))</f>
        <v/>
      </c>
      <c r="E595" s="12">
        <f>IF(A595="","",$B$10*TAN(RADIANS(A595)))</f>
        <v/>
      </c>
    </row>
    <row r="596">
      <c r="A596" s="11" t="n"/>
      <c r="B596" s="11" t="n"/>
      <c r="C596" s="12">
        <f>IF(A596="","",$B$9*TAN(RADIANS(A596)))</f>
        <v/>
      </c>
      <c r="D596" s="12">
        <f>IF(C596="","",C596*(1+B596/100))</f>
        <v/>
      </c>
      <c r="E596" s="12">
        <f>IF(A596="","",$B$10*TAN(RADIANS(A596)))</f>
        <v/>
      </c>
    </row>
    <row r="597">
      <c r="A597" s="11" t="n"/>
      <c r="B597" s="11" t="n"/>
      <c r="C597" s="12">
        <f>IF(A597="","",$B$9*TAN(RADIANS(A597)))</f>
        <v/>
      </c>
      <c r="D597" s="12">
        <f>IF(C597="","",C597*(1+B597/100))</f>
        <v/>
      </c>
      <c r="E597" s="12">
        <f>IF(A597="","",$B$10*TAN(RADIANS(A597)))</f>
        <v/>
      </c>
    </row>
    <row r="598">
      <c r="A598" s="11" t="n"/>
      <c r="B598" s="11" t="n"/>
      <c r="C598" s="12">
        <f>IF(A598="","",$B$9*TAN(RADIANS(A598)))</f>
        <v/>
      </c>
      <c r="D598" s="12">
        <f>IF(C598="","",C598*(1+B598/100))</f>
        <v/>
      </c>
      <c r="E598" s="12">
        <f>IF(A598="","",$B$10*TAN(RADIANS(A598)))</f>
        <v/>
      </c>
    </row>
    <row r="599">
      <c r="A599" s="11" t="n"/>
      <c r="B599" s="11" t="n"/>
      <c r="C599" s="12">
        <f>IF(A599="","",$B$9*TAN(RADIANS(A599)))</f>
        <v/>
      </c>
      <c r="D599" s="12">
        <f>IF(C599="","",C599*(1+B599/100))</f>
        <v/>
      </c>
      <c r="E599" s="12">
        <f>IF(A599="","",$B$10*TAN(RADIANS(A599)))</f>
        <v/>
      </c>
    </row>
    <row r="600">
      <c r="A600" s="11" t="n"/>
      <c r="B600" s="11" t="n"/>
      <c r="C600" s="12">
        <f>IF(A600="","",$B$9*TAN(RADIANS(A600)))</f>
        <v/>
      </c>
      <c r="D600" s="12">
        <f>IF(C600="","",C600*(1+B600/100))</f>
        <v/>
      </c>
      <c r="E600" s="12">
        <f>IF(A600="","",$B$10*TAN(RADIANS(A600)))</f>
        <v/>
      </c>
    </row>
    <row r="601">
      <c r="A601" s="11" t="n"/>
      <c r="B601" s="11" t="n"/>
      <c r="C601" s="12">
        <f>IF(A601="","",$B$9*TAN(RADIANS(A601)))</f>
        <v/>
      </c>
      <c r="D601" s="12">
        <f>IF(C601="","",C601*(1+B601/100))</f>
        <v/>
      </c>
      <c r="E601" s="12">
        <f>IF(A601="","",$B$10*TAN(RADIANS(A601)))</f>
        <v/>
      </c>
    </row>
    <row r="602">
      <c r="A602" s="11" t="n"/>
      <c r="B602" s="11" t="n"/>
      <c r="C602" s="12">
        <f>IF(A602="","",$B$9*TAN(RADIANS(A602)))</f>
        <v/>
      </c>
      <c r="D602" s="12">
        <f>IF(C602="","",C602*(1+B602/100))</f>
        <v/>
      </c>
      <c r="E602" s="12">
        <f>IF(A602="","",$B$10*TAN(RADIANS(A602)))</f>
        <v/>
      </c>
    </row>
    <row r="603">
      <c r="A603" s="11" t="n"/>
      <c r="B603" s="11" t="n"/>
      <c r="C603" s="12">
        <f>IF(A603="","",$B$9*TAN(RADIANS(A603)))</f>
        <v/>
      </c>
      <c r="D603" s="12">
        <f>IF(C603="","",C603*(1+B603/100))</f>
        <v/>
      </c>
      <c r="E603" s="12">
        <f>IF(A603="","",$B$10*TAN(RADIANS(A603)))</f>
        <v/>
      </c>
    </row>
    <row r="604">
      <c r="A604" s="11" t="n"/>
      <c r="B604" s="11" t="n"/>
      <c r="C604" s="12">
        <f>IF(A604="","",$B$9*TAN(RADIANS(A604)))</f>
        <v/>
      </c>
      <c r="D604" s="12">
        <f>IF(C604="","",C604*(1+B604/100))</f>
        <v/>
      </c>
      <c r="E604" s="12">
        <f>IF(A604="","",$B$10*TAN(RADIANS(A604)))</f>
        <v/>
      </c>
    </row>
    <row r="605">
      <c r="A605" s="11" t="n"/>
      <c r="B605" s="11" t="n"/>
      <c r="C605" s="12">
        <f>IF(A605="","",$B$9*TAN(RADIANS(A605)))</f>
        <v/>
      </c>
      <c r="D605" s="12">
        <f>IF(C605="","",C605*(1+B605/100))</f>
        <v/>
      </c>
      <c r="E605" s="12">
        <f>IF(A605="","",$B$10*TAN(RADIANS(A605)))</f>
        <v/>
      </c>
    </row>
    <row r="606">
      <c r="A606" s="11" t="n"/>
      <c r="B606" s="11" t="n"/>
      <c r="C606" s="12">
        <f>IF(A606="","",$B$9*TAN(RADIANS(A606)))</f>
        <v/>
      </c>
      <c r="D606" s="12">
        <f>IF(C606="","",C606*(1+B606/100))</f>
        <v/>
      </c>
      <c r="E606" s="12">
        <f>IF(A606="","",$B$10*TAN(RADIANS(A606)))</f>
        <v/>
      </c>
    </row>
    <row r="607">
      <c r="A607" s="11" t="n"/>
      <c r="B607" s="11" t="n"/>
      <c r="C607" s="12">
        <f>IF(A607="","",$B$9*TAN(RADIANS(A607)))</f>
        <v/>
      </c>
      <c r="D607" s="12">
        <f>IF(C607="","",C607*(1+B607/100))</f>
        <v/>
      </c>
      <c r="E607" s="12">
        <f>IF(A607="","",$B$10*TAN(RADIANS(A607)))</f>
        <v/>
      </c>
    </row>
    <row r="608">
      <c r="A608" s="11" t="n"/>
      <c r="B608" s="11" t="n"/>
      <c r="C608" s="12">
        <f>IF(A608="","",$B$9*TAN(RADIANS(A608)))</f>
        <v/>
      </c>
      <c r="D608" s="12">
        <f>IF(C608="","",C608*(1+B608/100))</f>
        <v/>
      </c>
      <c r="E608" s="12">
        <f>IF(A608="","",$B$10*TAN(RADIANS(A608)))</f>
        <v/>
      </c>
    </row>
    <row r="609">
      <c r="A609" s="11" t="n"/>
      <c r="B609" s="11" t="n"/>
      <c r="C609" s="12">
        <f>IF(A609="","",$B$9*TAN(RADIANS(A609)))</f>
        <v/>
      </c>
      <c r="D609" s="12">
        <f>IF(C609="","",C609*(1+B609/100))</f>
        <v/>
      </c>
      <c r="E609" s="12">
        <f>IF(A609="","",$B$10*TAN(RADIANS(A609)))</f>
        <v/>
      </c>
    </row>
    <row r="610">
      <c r="A610" s="11" t="n"/>
      <c r="B610" s="11" t="n"/>
      <c r="C610" s="12">
        <f>IF(A610="","",$B$9*TAN(RADIANS(A610)))</f>
        <v/>
      </c>
      <c r="D610" s="12">
        <f>IF(C610="","",C610*(1+B610/100))</f>
        <v/>
      </c>
      <c r="E610" s="12">
        <f>IF(A610="","",$B$10*TAN(RADIANS(A610)))</f>
        <v/>
      </c>
    </row>
    <row r="611">
      <c r="A611" s="11" t="n"/>
      <c r="B611" s="11" t="n"/>
      <c r="C611" s="12">
        <f>IF(A611="","",$B$9*TAN(RADIANS(A611)))</f>
        <v/>
      </c>
      <c r="D611" s="12">
        <f>IF(C611="","",C611*(1+B611/100))</f>
        <v/>
      </c>
      <c r="E611" s="12">
        <f>IF(A611="","",$B$10*TAN(RADIANS(A611)))</f>
        <v/>
      </c>
    </row>
    <row r="612">
      <c r="A612" s="11" t="n"/>
      <c r="B612" s="11" t="n"/>
      <c r="C612" s="12">
        <f>IF(A612="","",$B$9*TAN(RADIANS(A612)))</f>
        <v/>
      </c>
      <c r="D612" s="12">
        <f>IF(C612="","",C612*(1+B612/100))</f>
        <v/>
      </c>
      <c r="E612" s="12">
        <f>IF(A612="","",$B$10*TAN(RADIANS(A612)))</f>
        <v/>
      </c>
    </row>
    <row r="613">
      <c r="A613" s="11" t="n"/>
      <c r="B613" s="11" t="n"/>
      <c r="C613" s="12">
        <f>IF(A613="","",$B$9*TAN(RADIANS(A613)))</f>
        <v/>
      </c>
      <c r="D613" s="12">
        <f>IF(C613="","",C613*(1+B613/100))</f>
        <v/>
      </c>
      <c r="E613" s="12">
        <f>IF(A613="","",$B$10*TAN(RADIANS(A613)))</f>
        <v/>
      </c>
    </row>
    <row r="614">
      <c r="A614" s="11" t="n"/>
      <c r="B614" s="11" t="n"/>
      <c r="C614" s="12">
        <f>IF(A614="","",$B$9*TAN(RADIANS(A614)))</f>
        <v/>
      </c>
      <c r="D614" s="12">
        <f>IF(C614="","",C614*(1+B614/100))</f>
        <v/>
      </c>
      <c r="E614" s="12">
        <f>IF(A614="","",$B$10*TAN(RADIANS(A614)))</f>
        <v/>
      </c>
    </row>
    <row r="615">
      <c r="A615" s="11" t="n"/>
      <c r="B615" s="11" t="n"/>
      <c r="C615" s="12">
        <f>IF(A615="","",$B$9*TAN(RADIANS(A615)))</f>
        <v/>
      </c>
      <c r="D615" s="12">
        <f>IF(C615="","",C615*(1+B615/100))</f>
        <v/>
      </c>
      <c r="E615" s="12">
        <f>IF(A615="","",$B$10*TAN(RADIANS(A615)))</f>
        <v/>
      </c>
    </row>
    <row r="616">
      <c r="A616" s="11" t="n"/>
      <c r="B616" s="11" t="n"/>
      <c r="C616" s="12">
        <f>IF(A616="","",$B$9*TAN(RADIANS(A616)))</f>
        <v/>
      </c>
      <c r="D616" s="12">
        <f>IF(C616="","",C616*(1+B616/100))</f>
        <v/>
      </c>
      <c r="E616" s="12">
        <f>IF(A616="","",$B$10*TAN(RADIANS(A616)))</f>
        <v/>
      </c>
    </row>
    <row r="617">
      <c r="A617" s="11" t="n"/>
      <c r="B617" s="11" t="n"/>
      <c r="C617" s="12">
        <f>IF(A617="","",$B$9*TAN(RADIANS(A617)))</f>
        <v/>
      </c>
      <c r="D617" s="12">
        <f>IF(C617="","",C617*(1+B617/100))</f>
        <v/>
      </c>
      <c r="E617" s="12">
        <f>IF(A617="","",$B$10*TAN(RADIANS(A617)))</f>
        <v/>
      </c>
    </row>
    <row r="618">
      <c r="A618" s="11" t="n"/>
      <c r="B618" s="11" t="n"/>
      <c r="C618" s="12">
        <f>IF(A618="","",$B$9*TAN(RADIANS(A618)))</f>
        <v/>
      </c>
      <c r="D618" s="12">
        <f>IF(C618="","",C618*(1+B618/100))</f>
        <v/>
      </c>
      <c r="E618" s="12">
        <f>IF(A618="","",$B$10*TAN(RADIANS(A618)))</f>
        <v/>
      </c>
    </row>
    <row r="619">
      <c r="A619" s="11" t="n"/>
      <c r="B619" s="11" t="n"/>
      <c r="C619" s="12">
        <f>IF(A619="","",$B$9*TAN(RADIANS(A619)))</f>
        <v/>
      </c>
      <c r="D619" s="12">
        <f>IF(C619="","",C619*(1+B619/100))</f>
        <v/>
      </c>
      <c r="E619" s="12">
        <f>IF(A619="","",$B$10*TAN(RADIANS(A619)))</f>
        <v/>
      </c>
    </row>
    <row r="620">
      <c r="A620" s="11" t="n"/>
      <c r="B620" s="11" t="n"/>
      <c r="C620" s="12">
        <f>IF(A620="","",$B$9*TAN(RADIANS(A620)))</f>
        <v/>
      </c>
      <c r="D620" s="12">
        <f>IF(C620="","",C620*(1+B620/100))</f>
        <v/>
      </c>
      <c r="E620" s="12">
        <f>IF(A620="","",$B$10*TAN(RADIANS(A620)))</f>
        <v/>
      </c>
    </row>
    <row r="621">
      <c r="A621" s="11" t="n"/>
      <c r="B621" s="11" t="n"/>
      <c r="C621" s="12">
        <f>IF(A621="","",$B$9*TAN(RADIANS(A621)))</f>
        <v/>
      </c>
      <c r="D621" s="12">
        <f>IF(C621="","",C621*(1+B621/100))</f>
        <v/>
      </c>
      <c r="E621" s="12">
        <f>IF(A621="","",$B$10*TAN(RADIANS(A621)))</f>
        <v/>
      </c>
    </row>
    <row r="622">
      <c r="A622" s="11" t="n"/>
      <c r="B622" s="11" t="n"/>
      <c r="C622" s="12">
        <f>IF(A622="","",$B$9*TAN(RADIANS(A622)))</f>
        <v/>
      </c>
      <c r="D622" s="12">
        <f>IF(C622="","",C622*(1+B622/100))</f>
        <v/>
      </c>
      <c r="E622" s="12">
        <f>IF(A622="","",$B$10*TAN(RADIANS(A622)))</f>
        <v/>
      </c>
    </row>
    <row r="623">
      <c r="A623" s="11" t="n"/>
      <c r="B623" s="11" t="n"/>
      <c r="C623" s="12">
        <f>IF(A623="","",$B$9*TAN(RADIANS(A623)))</f>
        <v/>
      </c>
      <c r="D623" s="12">
        <f>IF(C623="","",C623*(1+B623/100))</f>
        <v/>
      </c>
      <c r="E623" s="12">
        <f>IF(A623="","",$B$10*TAN(RADIANS(A623)))</f>
        <v/>
      </c>
    </row>
    <row r="624">
      <c r="A624" s="11" t="n"/>
      <c r="B624" s="11" t="n"/>
      <c r="C624" s="12">
        <f>IF(A624="","",$B$9*TAN(RADIANS(A624)))</f>
        <v/>
      </c>
      <c r="D624" s="12">
        <f>IF(C624="","",C624*(1+B624/100))</f>
        <v/>
      </c>
      <c r="E624" s="12">
        <f>IF(A624="","",$B$10*TAN(RADIANS(A624)))</f>
        <v/>
      </c>
    </row>
    <row r="625">
      <c r="A625" s="11" t="n"/>
      <c r="B625" s="11" t="n"/>
      <c r="C625" s="12">
        <f>IF(A625="","",$B$9*TAN(RADIANS(A625)))</f>
        <v/>
      </c>
      <c r="D625" s="12">
        <f>IF(C625="","",C625*(1+B625/100))</f>
        <v/>
      </c>
      <c r="E625" s="12">
        <f>IF(A625="","",$B$10*TAN(RADIANS(A625)))</f>
        <v/>
      </c>
    </row>
    <row r="626">
      <c r="A626" s="11" t="n"/>
      <c r="B626" s="11" t="n"/>
      <c r="C626" s="12">
        <f>IF(A626="","",$B$9*TAN(RADIANS(A626)))</f>
        <v/>
      </c>
      <c r="D626" s="12">
        <f>IF(C626="","",C626*(1+B626/100))</f>
        <v/>
      </c>
      <c r="E626" s="12">
        <f>IF(A626="","",$B$10*TAN(RADIANS(A626)))</f>
        <v/>
      </c>
    </row>
    <row r="627">
      <c r="A627" s="11" t="n"/>
      <c r="B627" s="11" t="n"/>
      <c r="C627" s="12">
        <f>IF(A627="","",$B$9*TAN(RADIANS(A627)))</f>
        <v/>
      </c>
      <c r="D627" s="12">
        <f>IF(C627="","",C627*(1+B627/100))</f>
        <v/>
      </c>
      <c r="E627" s="12">
        <f>IF(A627="","",$B$10*TAN(RADIANS(A627)))</f>
        <v/>
      </c>
    </row>
    <row r="628">
      <c r="A628" s="11" t="n"/>
      <c r="B628" s="11" t="n"/>
      <c r="C628" s="12">
        <f>IF(A628="","",$B$9*TAN(RADIANS(A628)))</f>
        <v/>
      </c>
      <c r="D628" s="12">
        <f>IF(C628="","",C628*(1+B628/100))</f>
        <v/>
      </c>
      <c r="E628" s="12">
        <f>IF(A628="","",$B$10*TAN(RADIANS(A628)))</f>
        <v/>
      </c>
    </row>
    <row r="629">
      <c r="A629" s="11" t="n"/>
      <c r="B629" s="11" t="n"/>
      <c r="C629" s="12">
        <f>IF(A629="","",$B$9*TAN(RADIANS(A629)))</f>
        <v/>
      </c>
      <c r="D629" s="12">
        <f>IF(C629="","",C629*(1+B629/100))</f>
        <v/>
      </c>
      <c r="E629" s="12">
        <f>IF(A629="","",$B$10*TAN(RADIANS(A629)))</f>
        <v/>
      </c>
    </row>
    <row r="630">
      <c r="A630" s="11" t="n"/>
      <c r="B630" s="11" t="n"/>
      <c r="C630" s="12">
        <f>IF(A630="","",$B$9*TAN(RADIANS(A630)))</f>
        <v/>
      </c>
      <c r="D630" s="12">
        <f>IF(C630="","",C630*(1+B630/100))</f>
        <v/>
      </c>
      <c r="E630" s="12">
        <f>IF(A630="","",$B$10*TAN(RADIANS(A630)))</f>
        <v/>
      </c>
    </row>
    <row r="631">
      <c r="A631" s="11" t="n"/>
      <c r="B631" s="11" t="n"/>
      <c r="C631" s="12">
        <f>IF(A631="","",$B$9*TAN(RADIANS(A631)))</f>
        <v/>
      </c>
      <c r="D631" s="12">
        <f>IF(C631="","",C631*(1+B631/100))</f>
        <v/>
      </c>
      <c r="E631" s="12">
        <f>IF(A631="","",$B$10*TAN(RADIANS(A631)))</f>
        <v/>
      </c>
    </row>
    <row r="632">
      <c r="A632" s="11" t="n"/>
      <c r="B632" s="11" t="n"/>
      <c r="C632" s="12">
        <f>IF(A632="","",$B$9*TAN(RADIANS(A632)))</f>
        <v/>
      </c>
      <c r="D632" s="12">
        <f>IF(C632="","",C632*(1+B632/100))</f>
        <v/>
      </c>
      <c r="E632" s="12">
        <f>IF(A632="","",$B$10*TAN(RADIANS(A632)))</f>
        <v/>
      </c>
    </row>
    <row r="633">
      <c r="A633" s="11" t="n"/>
      <c r="B633" s="11" t="n"/>
      <c r="C633" s="12">
        <f>IF(A633="","",$B$9*TAN(RADIANS(A633)))</f>
        <v/>
      </c>
      <c r="D633" s="12">
        <f>IF(C633="","",C633*(1+B633/100))</f>
        <v/>
      </c>
      <c r="E633" s="12">
        <f>IF(A633="","",$B$10*TAN(RADIANS(A633)))</f>
        <v/>
      </c>
    </row>
    <row r="634">
      <c r="A634" s="11" t="n"/>
      <c r="B634" s="11" t="n"/>
      <c r="C634" s="12">
        <f>IF(A634="","",$B$9*TAN(RADIANS(A634)))</f>
        <v/>
      </c>
      <c r="D634" s="12">
        <f>IF(C634="","",C634*(1+B634/100))</f>
        <v/>
      </c>
      <c r="E634" s="12">
        <f>IF(A634="","",$B$10*TAN(RADIANS(A634)))</f>
        <v/>
      </c>
    </row>
    <row r="635">
      <c r="A635" s="11" t="n"/>
      <c r="B635" s="11" t="n"/>
      <c r="C635" s="12">
        <f>IF(A635="","",$B$9*TAN(RADIANS(A635)))</f>
        <v/>
      </c>
      <c r="D635" s="12">
        <f>IF(C635="","",C635*(1+B635/100))</f>
        <v/>
      </c>
      <c r="E635" s="12">
        <f>IF(A635="","",$B$10*TAN(RADIANS(A635)))</f>
        <v/>
      </c>
    </row>
    <row r="636">
      <c r="A636" s="11" t="n"/>
      <c r="B636" s="11" t="n"/>
      <c r="C636" s="12">
        <f>IF(A636="","",$B$9*TAN(RADIANS(A636)))</f>
        <v/>
      </c>
      <c r="D636" s="12">
        <f>IF(C636="","",C636*(1+B636/100))</f>
        <v/>
      </c>
      <c r="E636" s="12">
        <f>IF(A636="","",$B$10*TAN(RADIANS(A636)))</f>
        <v/>
      </c>
    </row>
    <row r="637">
      <c r="A637" s="11" t="n"/>
      <c r="B637" s="11" t="n"/>
      <c r="C637" s="12">
        <f>IF(A637="","",$B$9*TAN(RADIANS(A637)))</f>
        <v/>
      </c>
      <c r="D637" s="12">
        <f>IF(C637="","",C637*(1+B637/100))</f>
        <v/>
      </c>
      <c r="E637" s="12">
        <f>IF(A637="","",$B$10*TAN(RADIANS(A637)))</f>
        <v/>
      </c>
    </row>
    <row r="638">
      <c r="A638" s="11" t="n"/>
      <c r="B638" s="11" t="n"/>
      <c r="C638" s="12">
        <f>IF(A638="","",$B$9*TAN(RADIANS(A638)))</f>
        <v/>
      </c>
      <c r="D638" s="12">
        <f>IF(C638="","",C638*(1+B638/100))</f>
        <v/>
      </c>
      <c r="E638" s="12">
        <f>IF(A638="","",$B$10*TAN(RADIANS(A638)))</f>
        <v/>
      </c>
    </row>
    <row r="639">
      <c r="A639" s="11" t="n"/>
      <c r="B639" s="11" t="n"/>
      <c r="C639" s="12">
        <f>IF(A639="","",$B$9*TAN(RADIANS(A639)))</f>
        <v/>
      </c>
      <c r="D639" s="12">
        <f>IF(C639="","",C639*(1+B639/100))</f>
        <v/>
      </c>
      <c r="E639" s="12">
        <f>IF(A639="","",$B$10*TAN(RADIANS(A639)))</f>
        <v/>
      </c>
    </row>
    <row r="640">
      <c r="A640" s="11" t="n"/>
      <c r="B640" s="11" t="n"/>
      <c r="C640" s="12">
        <f>IF(A640="","",$B$9*TAN(RADIANS(A640)))</f>
        <v/>
      </c>
      <c r="D640" s="12">
        <f>IF(C640="","",C640*(1+B640/100))</f>
        <v/>
      </c>
      <c r="E640" s="12">
        <f>IF(A640="","",$B$10*TAN(RADIANS(A640)))</f>
        <v/>
      </c>
    </row>
    <row r="641">
      <c r="A641" s="11" t="n"/>
      <c r="B641" s="11" t="n"/>
      <c r="C641" s="12">
        <f>IF(A641="","",$B$9*TAN(RADIANS(A641)))</f>
        <v/>
      </c>
      <c r="D641" s="12">
        <f>IF(C641="","",C641*(1+B641/100))</f>
        <v/>
      </c>
      <c r="E641" s="12">
        <f>IF(A641="","",$B$10*TAN(RADIANS(A641)))</f>
        <v/>
      </c>
    </row>
    <row r="642">
      <c r="A642" s="11" t="n"/>
      <c r="B642" s="11" t="n"/>
      <c r="C642" s="12">
        <f>IF(A642="","",$B$9*TAN(RADIANS(A642)))</f>
        <v/>
      </c>
      <c r="D642" s="12">
        <f>IF(C642="","",C642*(1+B642/100))</f>
        <v/>
      </c>
      <c r="E642" s="12">
        <f>IF(A642="","",$B$10*TAN(RADIANS(A642)))</f>
        <v/>
      </c>
    </row>
    <row r="643">
      <c r="A643" s="11" t="n"/>
      <c r="B643" s="11" t="n"/>
      <c r="C643" s="12">
        <f>IF(A643="","",$B$9*TAN(RADIANS(A643)))</f>
        <v/>
      </c>
      <c r="D643" s="12">
        <f>IF(C643="","",C643*(1+B643/100))</f>
        <v/>
      </c>
      <c r="E643" s="12">
        <f>IF(A643="","",$B$10*TAN(RADIANS(A643)))</f>
        <v/>
      </c>
    </row>
    <row r="644">
      <c r="A644" s="11" t="n"/>
      <c r="B644" s="11" t="n"/>
      <c r="C644" s="12">
        <f>IF(A644="","",$B$9*TAN(RADIANS(A644)))</f>
        <v/>
      </c>
      <c r="D644" s="12">
        <f>IF(C644="","",C644*(1+B644/100))</f>
        <v/>
      </c>
      <c r="E644" s="12">
        <f>IF(A644="","",$B$10*TAN(RADIANS(A644)))</f>
        <v/>
      </c>
    </row>
    <row r="645">
      <c r="A645" s="11" t="n"/>
      <c r="B645" s="11" t="n"/>
      <c r="C645" s="12">
        <f>IF(A645="","",$B$9*TAN(RADIANS(A645)))</f>
        <v/>
      </c>
      <c r="D645" s="12">
        <f>IF(C645="","",C645*(1+B645/100))</f>
        <v/>
      </c>
      <c r="E645" s="12">
        <f>IF(A645="","",$B$10*TAN(RADIANS(A645)))</f>
        <v/>
      </c>
    </row>
    <row r="646">
      <c r="A646" s="11" t="n"/>
      <c r="B646" s="11" t="n"/>
      <c r="C646" s="12">
        <f>IF(A646="","",$B$9*TAN(RADIANS(A646)))</f>
        <v/>
      </c>
      <c r="D646" s="12">
        <f>IF(C646="","",C646*(1+B646/100))</f>
        <v/>
      </c>
      <c r="E646" s="12">
        <f>IF(A646="","",$B$10*TAN(RADIANS(A646)))</f>
        <v/>
      </c>
    </row>
    <row r="647">
      <c r="A647" s="11" t="n"/>
      <c r="B647" s="11" t="n"/>
      <c r="C647" s="12">
        <f>IF(A647="","",$B$9*TAN(RADIANS(A647)))</f>
        <v/>
      </c>
      <c r="D647" s="12">
        <f>IF(C647="","",C647*(1+B647/100))</f>
        <v/>
      </c>
      <c r="E647" s="12">
        <f>IF(A647="","",$B$10*TAN(RADIANS(A647)))</f>
        <v/>
      </c>
    </row>
    <row r="648">
      <c r="A648" s="11" t="n"/>
      <c r="B648" s="11" t="n"/>
      <c r="C648" s="12">
        <f>IF(A648="","",$B$9*TAN(RADIANS(A648)))</f>
        <v/>
      </c>
      <c r="D648" s="12">
        <f>IF(C648="","",C648*(1+B648/100))</f>
        <v/>
      </c>
      <c r="E648" s="12">
        <f>IF(A648="","",$B$10*TAN(RADIANS(A648)))</f>
        <v/>
      </c>
    </row>
    <row r="649">
      <c r="A649" s="11" t="n"/>
      <c r="B649" s="11" t="n"/>
      <c r="C649" s="12">
        <f>IF(A649="","",$B$9*TAN(RADIANS(A649)))</f>
        <v/>
      </c>
      <c r="D649" s="12">
        <f>IF(C649="","",C649*(1+B649/100))</f>
        <v/>
      </c>
      <c r="E649" s="12">
        <f>IF(A649="","",$B$10*TAN(RADIANS(A649)))</f>
        <v/>
      </c>
    </row>
    <row r="650">
      <c r="A650" s="11" t="n"/>
      <c r="B650" s="11" t="n"/>
      <c r="C650" s="12">
        <f>IF(A650="","",$B$9*TAN(RADIANS(A650)))</f>
        <v/>
      </c>
      <c r="D650" s="12">
        <f>IF(C650="","",C650*(1+B650/100))</f>
        <v/>
      </c>
      <c r="E650" s="12">
        <f>IF(A650="","",$B$10*TAN(RADIANS(A650)))</f>
        <v/>
      </c>
    </row>
    <row r="651">
      <c r="A651" s="11" t="n"/>
      <c r="B651" s="11" t="n"/>
      <c r="C651" s="12">
        <f>IF(A651="","",$B$9*TAN(RADIANS(A651)))</f>
        <v/>
      </c>
      <c r="D651" s="12">
        <f>IF(C651="","",C651*(1+B651/100))</f>
        <v/>
      </c>
      <c r="E651" s="12">
        <f>IF(A651="","",$B$10*TAN(RADIANS(A651)))</f>
        <v/>
      </c>
    </row>
    <row r="652">
      <c r="A652" s="11" t="n"/>
      <c r="B652" s="11" t="n"/>
      <c r="C652" s="12">
        <f>IF(A652="","",$B$9*TAN(RADIANS(A652)))</f>
        <v/>
      </c>
      <c r="D652" s="12">
        <f>IF(C652="","",C652*(1+B652/100))</f>
        <v/>
      </c>
      <c r="E652" s="12">
        <f>IF(A652="","",$B$10*TAN(RADIANS(A652)))</f>
        <v/>
      </c>
    </row>
    <row r="653">
      <c r="A653" s="11" t="n"/>
      <c r="B653" s="11" t="n"/>
      <c r="C653" s="12">
        <f>IF(A653="","",$B$9*TAN(RADIANS(A653)))</f>
        <v/>
      </c>
      <c r="D653" s="12">
        <f>IF(C653="","",C653*(1+B653/100))</f>
        <v/>
      </c>
      <c r="E653" s="12">
        <f>IF(A653="","",$B$10*TAN(RADIANS(A653)))</f>
        <v/>
      </c>
    </row>
    <row r="654">
      <c r="A654" s="11" t="n"/>
      <c r="B654" s="11" t="n"/>
      <c r="C654" s="12">
        <f>IF(A654="","",$B$9*TAN(RADIANS(A654)))</f>
        <v/>
      </c>
      <c r="D654" s="12">
        <f>IF(C654="","",C654*(1+B654/100))</f>
        <v/>
      </c>
      <c r="E654" s="12">
        <f>IF(A654="","",$B$10*TAN(RADIANS(A654)))</f>
        <v/>
      </c>
    </row>
    <row r="655">
      <c r="A655" s="11" t="n"/>
      <c r="B655" s="11" t="n"/>
      <c r="C655" s="12">
        <f>IF(A655="","",$B$9*TAN(RADIANS(A655)))</f>
        <v/>
      </c>
      <c r="D655" s="12">
        <f>IF(C655="","",C655*(1+B655/100))</f>
        <v/>
      </c>
      <c r="E655" s="12">
        <f>IF(A655="","",$B$10*TAN(RADIANS(A655)))</f>
        <v/>
      </c>
    </row>
    <row r="656">
      <c r="A656" s="11" t="n"/>
      <c r="B656" s="11" t="n"/>
      <c r="C656" s="12">
        <f>IF(A656="","",$B$9*TAN(RADIANS(A656)))</f>
        <v/>
      </c>
      <c r="D656" s="12">
        <f>IF(C656="","",C656*(1+B656/100))</f>
        <v/>
      </c>
      <c r="E656" s="12">
        <f>IF(A656="","",$B$10*TAN(RADIANS(A656)))</f>
        <v/>
      </c>
    </row>
    <row r="657">
      <c r="A657" s="11" t="n"/>
      <c r="B657" s="11" t="n"/>
      <c r="C657" s="12">
        <f>IF(A657="","",$B$9*TAN(RADIANS(A657)))</f>
        <v/>
      </c>
      <c r="D657" s="12">
        <f>IF(C657="","",C657*(1+B657/100))</f>
        <v/>
      </c>
      <c r="E657" s="12">
        <f>IF(A657="","",$B$10*TAN(RADIANS(A657)))</f>
        <v/>
      </c>
    </row>
    <row r="658">
      <c r="A658" s="11" t="n"/>
      <c r="B658" s="11" t="n"/>
      <c r="C658" s="12">
        <f>IF(A658="","",$B$9*TAN(RADIANS(A658)))</f>
        <v/>
      </c>
      <c r="D658" s="12">
        <f>IF(C658="","",C658*(1+B658/100))</f>
        <v/>
      </c>
      <c r="E658" s="12">
        <f>IF(A658="","",$B$10*TAN(RADIANS(A658)))</f>
        <v/>
      </c>
    </row>
    <row r="659">
      <c r="A659" s="11" t="n"/>
      <c r="B659" s="11" t="n"/>
      <c r="C659" s="12">
        <f>IF(A659="","",$B$9*TAN(RADIANS(A659)))</f>
        <v/>
      </c>
      <c r="D659" s="12">
        <f>IF(C659="","",C659*(1+B659/100))</f>
        <v/>
      </c>
      <c r="E659" s="12">
        <f>IF(A659="","",$B$10*TAN(RADIANS(A659)))</f>
        <v/>
      </c>
    </row>
    <row r="660">
      <c r="A660" s="11" t="n"/>
      <c r="B660" s="11" t="n"/>
      <c r="C660" s="12">
        <f>IF(A660="","",$B$9*TAN(RADIANS(A660)))</f>
        <v/>
      </c>
      <c r="D660" s="12">
        <f>IF(C660="","",C660*(1+B660/100))</f>
        <v/>
      </c>
      <c r="E660" s="12">
        <f>IF(A660="","",$B$10*TAN(RADIANS(A660)))</f>
        <v/>
      </c>
    </row>
    <row r="661">
      <c r="A661" s="11" t="n"/>
      <c r="B661" s="11" t="n"/>
      <c r="C661" s="12">
        <f>IF(A661="","",$B$9*TAN(RADIANS(A661)))</f>
        <v/>
      </c>
      <c r="D661" s="12">
        <f>IF(C661="","",C661*(1+B661/100))</f>
        <v/>
      </c>
      <c r="E661" s="12">
        <f>IF(A661="","",$B$10*TAN(RADIANS(A661)))</f>
        <v/>
      </c>
    </row>
    <row r="662">
      <c r="A662" s="11" t="n"/>
      <c r="B662" s="11" t="n"/>
      <c r="C662" s="12">
        <f>IF(A662="","",$B$9*TAN(RADIANS(A662)))</f>
        <v/>
      </c>
      <c r="D662" s="12">
        <f>IF(C662="","",C662*(1+B662/100))</f>
        <v/>
      </c>
      <c r="E662" s="12">
        <f>IF(A662="","",$B$10*TAN(RADIANS(A662)))</f>
        <v/>
      </c>
    </row>
    <row r="663">
      <c r="A663" s="11" t="n"/>
      <c r="B663" s="11" t="n"/>
      <c r="C663" s="12">
        <f>IF(A663="","",$B$9*TAN(RADIANS(A663)))</f>
        <v/>
      </c>
      <c r="D663" s="12">
        <f>IF(C663="","",C663*(1+B663/100))</f>
        <v/>
      </c>
      <c r="E663" s="12">
        <f>IF(A663="","",$B$10*TAN(RADIANS(A663)))</f>
        <v/>
      </c>
    </row>
    <row r="664">
      <c r="A664" s="11" t="n"/>
      <c r="B664" s="11" t="n"/>
      <c r="C664" s="12">
        <f>IF(A664="","",$B$9*TAN(RADIANS(A664)))</f>
        <v/>
      </c>
      <c r="D664" s="12">
        <f>IF(C664="","",C664*(1+B664/100))</f>
        <v/>
      </c>
      <c r="E664" s="12">
        <f>IF(A664="","",$B$10*TAN(RADIANS(A664)))</f>
        <v/>
      </c>
    </row>
    <row r="665">
      <c r="A665" s="11" t="n"/>
      <c r="B665" s="11" t="n"/>
      <c r="C665" s="12">
        <f>IF(A665="","",$B$9*TAN(RADIANS(A665)))</f>
        <v/>
      </c>
      <c r="D665" s="12">
        <f>IF(C665="","",C665*(1+B665/100))</f>
        <v/>
      </c>
      <c r="E665" s="12">
        <f>IF(A665="","",$B$10*TAN(RADIANS(A665)))</f>
        <v/>
      </c>
    </row>
    <row r="666">
      <c r="A666" s="11" t="n"/>
      <c r="B666" s="11" t="n"/>
      <c r="C666" s="12">
        <f>IF(A666="","",$B$9*TAN(RADIANS(A666)))</f>
        <v/>
      </c>
      <c r="D666" s="12">
        <f>IF(C666="","",C666*(1+B666/100))</f>
        <v/>
      </c>
      <c r="E666" s="12">
        <f>IF(A666="","",$B$10*TAN(RADIANS(A666)))</f>
        <v/>
      </c>
    </row>
    <row r="667">
      <c r="A667" s="11" t="n"/>
      <c r="B667" s="11" t="n"/>
      <c r="C667" s="12">
        <f>IF(A667="","",$B$9*TAN(RADIANS(A667)))</f>
        <v/>
      </c>
      <c r="D667" s="12">
        <f>IF(C667="","",C667*(1+B667/100))</f>
        <v/>
      </c>
      <c r="E667" s="12">
        <f>IF(A667="","",$B$10*TAN(RADIANS(A667)))</f>
        <v/>
      </c>
    </row>
    <row r="668">
      <c r="A668" s="11" t="n"/>
      <c r="B668" s="11" t="n"/>
      <c r="C668" s="12">
        <f>IF(A668="","",$B$9*TAN(RADIANS(A668)))</f>
        <v/>
      </c>
      <c r="D668" s="12">
        <f>IF(C668="","",C668*(1+B668/100))</f>
        <v/>
      </c>
      <c r="E668" s="12">
        <f>IF(A668="","",$B$10*TAN(RADIANS(A668)))</f>
        <v/>
      </c>
    </row>
    <row r="669">
      <c r="A669" s="11" t="n"/>
      <c r="B669" s="11" t="n"/>
      <c r="C669" s="12">
        <f>IF(A669="","",$B$9*TAN(RADIANS(A669)))</f>
        <v/>
      </c>
      <c r="D669" s="12">
        <f>IF(C669="","",C669*(1+B669/100))</f>
        <v/>
      </c>
      <c r="E669" s="12">
        <f>IF(A669="","",$B$10*TAN(RADIANS(A669)))</f>
        <v/>
      </c>
    </row>
    <row r="670">
      <c r="A670" s="11" t="n"/>
      <c r="B670" s="11" t="n"/>
      <c r="C670" s="12">
        <f>IF(A670="","",$B$9*TAN(RADIANS(A670)))</f>
        <v/>
      </c>
      <c r="D670" s="12">
        <f>IF(C670="","",C670*(1+B670/100))</f>
        <v/>
      </c>
      <c r="E670" s="12">
        <f>IF(A670="","",$B$10*TAN(RADIANS(A670)))</f>
        <v/>
      </c>
    </row>
    <row r="671">
      <c r="A671" s="11" t="n"/>
      <c r="B671" s="11" t="n"/>
      <c r="C671" s="12">
        <f>IF(A671="","",$B$9*TAN(RADIANS(A671)))</f>
        <v/>
      </c>
      <c r="D671" s="12">
        <f>IF(C671="","",C671*(1+B671/100))</f>
        <v/>
      </c>
      <c r="E671" s="12">
        <f>IF(A671="","",$B$10*TAN(RADIANS(A671)))</f>
        <v/>
      </c>
    </row>
    <row r="672">
      <c r="A672" s="11" t="n"/>
      <c r="B672" s="11" t="n"/>
      <c r="C672" s="12">
        <f>IF(A672="","",$B$9*TAN(RADIANS(A672)))</f>
        <v/>
      </c>
      <c r="D672" s="12">
        <f>IF(C672="","",C672*(1+B672/100))</f>
        <v/>
      </c>
      <c r="E672" s="12">
        <f>IF(A672="","",$B$10*TAN(RADIANS(A672)))</f>
        <v/>
      </c>
    </row>
    <row r="673">
      <c r="A673" s="11" t="n"/>
      <c r="B673" s="11" t="n"/>
      <c r="C673" s="12">
        <f>IF(A673="","",$B$9*TAN(RADIANS(A673)))</f>
        <v/>
      </c>
      <c r="D673" s="12">
        <f>IF(C673="","",C673*(1+B673/100))</f>
        <v/>
      </c>
      <c r="E673" s="12">
        <f>IF(A673="","",$B$10*TAN(RADIANS(A673)))</f>
        <v/>
      </c>
    </row>
    <row r="674">
      <c r="A674" s="11" t="n"/>
      <c r="B674" s="11" t="n"/>
      <c r="C674" s="12">
        <f>IF(A674="","",$B$9*TAN(RADIANS(A674)))</f>
        <v/>
      </c>
      <c r="D674" s="12">
        <f>IF(C674="","",C674*(1+B674/100))</f>
        <v/>
      </c>
      <c r="E674" s="12">
        <f>IF(A674="","",$B$10*TAN(RADIANS(A674)))</f>
        <v/>
      </c>
    </row>
    <row r="675">
      <c r="A675" s="11" t="n"/>
      <c r="B675" s="11" t="n"/>
      <c r="C675" s="12">
        <f>IF(A675="","",$B$9*TAN(RADIANS(A675)))</f>
        <v/>
      </c>
      <c r="D675" s="12">
        <f>IF(C675="","",C675*(1+B675/100))</f>
        <v/>
      </c>
      <c r="E675" s="12">
        <f>IF(A675="","",$B$10*TAN(RADIANS(A675)))</f>
        <v/>
      </c>
    </row>
    <row r="676">
      <c r="A676" s="11" t="n"/>
      <c r="B676" s="11" t="n"/>
      <c r="C676" s="12">
        <f>IF(A676="","",$B$9*TAN(RADIANS(A676)))</f>
        <v/>
      </c>
      <c r="D676" s="12">
        <f>IF(C676="","",C676*(1+B676/100))</f>
        <v/>
      </c>
      <c r="E676" s="12">
        <f>IF(A676="","",$B$10*TAN(RADIANS(A676)))</f>
        <v/>
      </c>
    </row>
    <row r="677">
      <c r="A677" s="11" t="n"/>
      <c r="B677" s="11" t="n"/>
      <c r="C677" s="12">
        <f>IF(A677="","",$B$9*TAN(RADIANS(A677)))</f>
        <v/>
      </c>
      <c r="D677" s="12">
        <f>IF(C677="","",C677*(1+B677/100))</f>
        <v/>
      </c>
      <c r="E677" s="12">
        <f>IF(A677="","",$B$10*TAN(RADIANS(A677)))</f>
        <v/>
      </c>
    </row>
    <row r="678">
      <c r="A678" s="11" t="n"/>
      <c r="B678" s="11" t="n"/>
      <c r="C678" s="12">
        <f>IF(A678="","",$B$9*TAN(RADIANS(A678)))</f>
        <v/>
      </c>
      <c r="D678" s="12">
        <f>IF(C678="","",C678*(1+B678/100))</f>
        <v/>
      </c>
      <c r="E678" s="12">
        <f>IF(A678="","",$B$10*TAN(RADIANS(A678)))</f>
        <v/>
      </c>
    </row>
    <row r="679">
      <c r="A679" s="11" t="n"/>
      <c r="B679" s="11" t="n"/>
      <c r="C679" s="12">
        <f>IF(A679="","",$B$9*TAN(RADIANS(A679)))</f>
        <v/>
      </c>
      <c r="D679" s="12">
        <f>IF(C679="","",C679*(1+B679/100))</f>
        <v/>
      </c>
      <c r="E679" s="12">
        <f>IF(A679="","",$B$10*TAN(RADIANS(A679)))</f>
        <v/>
      </c>
    </row>
    <row r="680">
      <c r="A680" s="11" t="n"/>
      <c r="B680" s="11" t="n"/>
      <c r="C680" s="12">
        <f>IF(A680="","",$B$9*TAN(RADIANS(A680)))</f>
        <v/>
      </c>
      <c r="D680" s="12">
        <f>IF(C680="","",C680*(1+B680/100))</f>
        <v/>
      </c>
      <c r="E680" s="12">
        <f>IF(A680="","",$B$10*TAN(RADIANS(A680)))</f>
        <v/>
      </c>
    </row>
    <row r="681">
      <c r="A681" s="11" t="n"/>
      <c r="B681" s="11" t="n"/>
      <c r="C681" s="12">
        <f>IF(A681="","",$B$9*TAN(RADIANS(A681)))</f>
        <v/>
      </c>
      <c r="D681" s="12">
        <f>IF(C681="","",C681*(1+B681/100))</f>
        <v/>
      </c>
      <c r="E681" s="12">
        <f>IF(A681="","",$B$10*TAN(RADIANS(A681)))</f>
        <v/>
      </c>
    </row>
    <row r="682">
      <c r="A682" s="11" t="n"/>
      <c r="B682" s="11" t="n"/>
      <c r="C682" s="12">
        <f>IF(A682="","",$B$9*TAN(RADIANS(A682)))</f>
        <v/>
      </c>
      <c r="D682" s="12">
        <f>IF(C682="","",C682*(1+B682/100))</f>
        <v/>
      </c>
      <c r="E682" s="12">
        <f>IF(A682="","",$B$10*TAN(RADIANS(A682)))</f>
        <v/>
      </c>
    </row>
    <row r="683">
      <c r="A683" s="11" t="n"/>
      <c r="B683" s="11" t="n"/>
      <c r="C683" s="12">
        <f>IF(A683="","",$B$9*TAN(RADIANS(A683)))</f>
        <v/>
      </c>
      <c r="D683" s="12">
        <f>IF(C683="","",C683*(1+B683/100))</f>
        <v/>
      </c>
      <c r="E683" s="12">
        <f>IF(A683="","",$B$10*TAN(RADIANS(A683)))</f>
        <v/>
      </c>
    </row>
    <row r="684">
      <c r="A684" s="11" t="n"/>
      <c r="B684" s="11" t="n"/>
      <c r="C684" s="12">
        <f>IF(A684="","",$B$9*TAN(RADIANS(A684)))</f>
        <v/>
      </c>
      <c r="D684" s="12">
        <f>IF(C684="","",C684*(1+B684/100))</f>
        <v/>
      </c>
      <c r="E684" s="12">
        <f>IF(A684="","",$B$10*TAN(RADIANS(A684)))</f>
        <v/>
      </c>
    </row>
    <row r="685">
      <c r="A685" s="11" t="n"/>
      <c r="B685" s="11" t="n"/>
      <c r="C685" s="12">
        <f>IF(A685="","",$B$9*TAN(RADIANS(A685)))</f>
        <v/>
      </c>
      <c r="D685" s="12">
        <f>IF(C685="","",C685*(1+B685/100))</f>
        <v/>
      </c>
      <c r="E685" s="12">
        <f>IF(A685="","",$B$10*TAN(RADIANS(A685)))</f>
        <v/>
      </c>
    </row>
    <row r="686">
      <c r="A686" s="11" t="n"/>
      <c r="B686" s="11" t="n"/>
      <c r="C686" s="12">
        <f>IF(A686="","",$B$9*TAN(RADIANS(A686)))</f>
        <v/>
      </c>
      <c r="D686" s="12">
        <f>IF(C686="","",C686*(1+B686/100))</f>
        <v/>
      </c>
      <c r="E686" s="12">
        <f>IF(A686="","",$B$10*TAN(RADIANS(A686)))</f>
        <v/>
      </c>
    </row>
    <row r="687">
      <c r="A687" s="11" t="n"/>
      <c r="B687" s="11" t="n"/>
      <c r="C687" s="12">
        <f>IF(A687="","",$B$9*TAN(RADIANS(A687)))</f>
        <v/>
      </c>
      <c r="D687" s="12">
        <f>IF(C687="","",C687*(1+B687/100))</f>
        <v/>
      </c>
      <c r="E687" s="12">
        <f>IF(A687="","",$B$10*TAN(RADIANS(A687)))</f>
        <v/>
      </c>
    </row>
    <row r="688">
      <c r="A688" s="11" t="n"/>
      <c r="B688" s="11" t="n"/>
      <c r="C688" s="12">
        <f>IF(A688="","",$B$9*TAN(RADIANS(A688)))</f>
        <v/>
      </c>
      <c r="D688" s="12">
        <f>IF(C688="","",C688*(1+B688/100))</f>
        <v/>
      </c>
      <c r="E688" s="12">
        <f>IF(A688="","",$B$10*TAN(RADIANS(A688)))</f>
        <v/>
      </c>
    </row>
    <row r="689">
      <c r="A689" s="11" t="n"/>
      <c r="B689" s="11" t="n"/>
      <c r="C689" s="12">
        <f>IF(A689="","",$B$9*TAN(RADIANS(A689)))</f>
        <v/>
      </c>
      <c r="D689" s="12">
        <f>IF(C689="","",C689*(1+B689/100))</f>
        <v/>
      </c>
      <c r="E689" s="12">
        <f>IF(A689="","",$B$10*TAN(RADIANS(A689)))</f>
        <v/>
      </c>
    </row>
    <row r="690">
      <c r="A690" s="11" t="n"/>
      <c r="B690" s="11" t="n"/>
      <c r="C690" s="12">
        <f>IF(A690="","",$B$9*TAN(RADIANS(A690)))</f>
        <v/>
      </c>
      <c r="D690" s="12">
        <f>IF(C690="","",C690*(1+B690/100))</f>
        <v/>
      </c>
      <c r="E690" s="12">
        <f>IF(A690="","",$B$10*TAN(RADIANS(A690)))</f>
        <v/>
      </c>
    </row>
    <row r="691">
      <c r="A691" s="11" t="n"/>
      <c r="B691" s="11" t="n"/>
      <c r="C691" s="12">
        <f>IF(A691="","",$B$9*TAN(RADIANS(A691)))</f>
        <v/>
      </c>
      <c r="D691" s="12">
        <f>IF(C691="","",C691*(1+B691/100))</f>
        <v/>
      </c>
      <c r="E691" s="12">
        <f>IF(A691="","",$B$10*TAN(RADIANS(A691)))</f>
        <v/>
      </c>
    </row>
    <row r="692">
      <c r="A692" s="11" t="n"/>
      <c r="B692" s="11" t="n"/>
      <c r="C692" s="12">
        <f>IF(A692="","",$B$9*TAN(RADIANS(A692)))</f>
        <v/>
      </c>
      <c r="D692" s="12">
        <f>IF(C692="","",C692*(1+B692/100))</f>
        <v/>
      </c>
      <c r="E692" s="12">
        <f>IF(A692="","",$B$10*TAN(RADIANS(A692)))</f>
        <v/>
      </c>
    </row>
    <row r="693">
      <c r="A693" s="11" t="n"/>
      <c r="B693" s="11" t="n"/>
      <c r="C693" s="12">
        <f>IF(A693="","",$B$9*TAN(RADIANS(A693)))</f>
        <v/>
      </c>
      <c r="D693" s="12">
        <f>IF(C693="","",C693*(1+B693/100))</f>
        <v/>
      </c>
      <c r="E693" s="12">
        <f>IF(A693="","",$B$10*TAN(RADIANS(A693)))</f>
        <v/>
      </c>
    </row>
    <row r="694">
      <c r="A694" s="11" t="n"/>
      <c r="B694" s="11" t="n"/>
      <c r="C694" s="12">
        <f>IF(A694="","",$B$9*TAN(RADIANS(A694)))</f>
        <v/>
      </c>
      <c r="D694" s="12">
        <f>IF(C694="","",C694*(1+B694/100))</f>
        <v/>
      </c>
      <c r="E694" s="12">
        <f>IF(A694="","",$B$10*TAN(RADIANS(A694)))</f>
        <v/>
      </c>
    </row>
    <row r="695">
      <c r="A695" s="11" t="n"/>
      <c r="B695" s="11" t="n"/>
      <c r="C695" s="12">
        <f>IF(A695="","",$B$9*TAN(RADIANS(A695)))</f>
        <v/>
      </c>
      <c r="D695" s="12">
        <f>IF(C695="","",C695*(1+B695/100))</f>
        <v/>
      </c>
      <c r="E695" s="12">
        <f>IF(A695="","",$B$10*TAN(RADIANS(A695)))</f>
        <v/>
      </c>
    </row>
    <row r="696">
      <c r="A696" s="11" t="n"/>
      <c r="B696" s="11" t="n"/>
      <c r="C696" s="12">
        <f>IF(A696="","",$B$9*TAN(RADIANS(A696)))</f>
        <v/>
      </c>
      <c r="D696" s="12">
        <f>IF(C696="","",C696*(1+B696/100))</f>
        <v/>
      </c>
      <c r="E696" s="12">
        <f>IF(A696="","",$B$10*TAN(RADIANS(A696)))</f>
        <v/>
      </c>
    </row>
    <row r="697">
      <c r="A697" s="11" t="n"/>
      <c r="B697" s="11" t="n"/>
      <c r="C697" s="12">
        <f>IF(A697="","",$B$9*TAN(RADIANS(A697)))</f>
        <v/>
      </c>
      <c r="D697" s="12">
        <f>IF(C697="","",C697*(1+B697/100))</f>
        <v/>
      </c>
      <c r="E697" s="12">
        <f>IF(A697="","",$B$10*TAN(RADIANS(A697)))</f>
        <v/>
      </c>
    </row>
    <row r="698">
      <c r="A698" s="11" t="n"/>
      <c r="B698" s="11" t="n"/>
      <c r="C698" s="12">
        <f>IF(A698="","",$B$9*TAN(RADIANS(A698)))</f>
        <v/>
      </c>
      <c r="D698" s="12">
        <f>IF(C698="","",C698*(1+B698/100))</f>
        <v/>
      </c>
      <c r="E698" s="12">
        <f>IF(A698="","",$B$10*TAN(RADIANS(A698)))</f>
        <v/>
      </c>
    </row>
    <row r="699">
      <c r="A699" s="11" t="n"/>
      <c r="B699" s="11" t="n"/>
      <c r="C699" s="12">
        <f>IF(A699="","",$B$9*TAN(RADIANS(A699)))</f>
        <v/>
      </c>
      <c r="D699" s="12">
        <f>IF(C699="","",C699*(1+B699/100))</f>
        <v/>
      </c>
      <c r="E699" s="12">
        <f>IF(A699="","",$B$10*TAN(RADIANS(A699)))</f>
        <v/>
      </c>
    </row>
    <row r="700">
      <c r="A700" s="11" t="n"/>
      <c r="B700" s="11" t="n"/>
      <c r="C700" s="12">
        <f>IF(A700="","",$B$9*TAN(RADIANS(A700)))</f>
        <v/>
      </c>
      <c r="D700" s="12">
        <f>IF(C700="","",C700*(1+B700/100))</f>
        <v/>
      </c>
      <c r="E700" s="12">
        <f>IF(A700="","",$B$10*TAN(RADIANS(A700)))</f>
        <v/>
      </c>
    </row>
    <row r="701">
      <c r="A701" s="11" t="n"/>
      <c r="B701" s="11" t="n"/>
      <c r="C701" s="12">
        <f>IF(A701="","",$B$9*TAN(RADIANS(A701)))</f>
        <v/>
      </c>
      <c r="D701" s="12">
        <f>IF(C701="","",C701*(1+B701/100))</f>
        <v/>
      </c>
      <c r="E701" s="12">
        <f>IF(A701="","",$B$10*TAN(RADIANS(A701)))</f>
        <v/>
      </c>
    </row>
    <row r="702">
      <c r="A702" s="11" t="n"/>
      <c r="B702" s="11" t="n"/>
      <c r="C702" s="12">
        <f>IF(A702="","",$B$9*TAN(RADIANS(A702)))</f>
        <v/>
      </c>
      <c r="D702" s="12">
        <f>IF(C702="","",C702*(1+B702/100))</f>
        <v/>
      </c>
      <c r="E702" s="12">
        <f>IF(A702="","",$B$10*TAN(RADIANS(A702)))</f>
        <v/>
      </c>
    </row>
    <row r="703">
      <c r="A703" s="11" t="n"/>
      <c r="B703" s="11" t="n"/>
      <c r="C703" s="12">
        <f>IF(A703="","",$B$9*TAN(RADIANS(A703)))</f>
        <v/>
      </c>
      <c r="D703" s="12">
        <f>IF(C703="","",C703*(1+B703/100))</f>
        <v/>
      </c>
      <c r="E703" s="12">
        <f>IF(A703="","",$B$10*TAN(RADIANS(A703)))</f>
        <v/>
      </c>
    </row>
    <row r="704">
      <c r="A704" s="11" t="n"/>
      <c r="B704" s="11" t="n"/>
      <c r="C704" s="12">
        <f>IF(A704="","",$B$9*TAN(RADIANS(A704)))</f>
        <v/>
      </c>
      <c r="D704" s="12">
        <f>IF(C704="","",C704*(1+B704/100))</f>
        <v/>
      </c>
      <c r="E704" s="12">
        <f>IF(A704="","",$B$10*TAN(RADIANS(A704)))</f>
        <v/>
      </c>
    </row>
    <row r="705">
      <c r="A705" s="11" t="n"/>
      <c r="B705" s="11" t="n"/>
      <c r="C705" s="12">
        <f>IF(A705="","",$B$9*TAN(RADIANS(A705)))</f>
        <v/>
      </c>
      <c r="D705" s="12">
        <f>IF(C705="","",C705*(1+B705/100))</f>
        <v/>
      </c>
      <c r="E705" s="12">
        <f>IF(A705="","",$B$10*TAN(RADIANS(A705)))</f>
        <v/>
      </c>
    </row>
    <row r="706">
      <c r="A706" s="11" t="n"/>
      <c r="B706" s="11" t="n"/>
      <c r="C706" s="12">
        <f>IF(A706="","",$B$9*TAN(RADIANS(A706)))</f>
        <v/>
      </c>
      <c r="D706" s="12">
        <f>IF(C706="","",C706*(1+B706/100))</f>
        <v/>
      </c>
      <c r="E706" s="12">
        <f>IF(A706="","",$B$10*TAN(RADIANS(A706)))</f>
        <v/>
      </c>
    </row>
    <row r="707">
      <c r="A707" s="11" t="n"/>
      <c r="B707" s="11" t="n"/>
      <c r="C707" s="12">
        <f>IF(A707="","",$B$9*TAN(RADIANS(A707)))</f>
        <v/>
      </c>
      <c r="D707" s="12">
        <f>IF(C707="","",C707*(1+B707/100))</f>
        <v/>
      </c>
      <c r="E707" s="12">
        <f>IF(A707="","",$B$10*TAN(RADIANS(A707)))</f>
        <v/>
      </c>
    </row>
    <row r="708">
      <c r="A708" s="11" t="n"/>
      <c r="B708" s="11" t="n"/>
      <c r="C708" s="12">
        <f>IF(A708="","",$B$9*TAN(RADIANS(A708)))</f>
        <v/>
      </c>
      <c r="D708" s="12">
        <f>IF(C708="","",C708*(1+B708/100))</f>
        <v/>
      </c>
      <c r="E708" s="12">
        <f>IF(A708="","",$B$10*TAN(RADIANS(A708)))</f>
        <v/>
      </c>
    </row>
    <row r="709">
      <c r="A709" s="11" t="n"/>
      <c r="B709" s="11" t="n"/>
      <c r="C709" s="12">
        <f>IF(A709="","",$B$9*TAN(RADIANS(A709)))</f>
        <v/>
      </c>
      <c r="D709" s="12">
        <f>IF(C709="","",C709*(1+B709/100))</f>
        <v/>
      </c>
      <c r="E709" s="12">
        <f>IF(A709="","",$B$10*TAN(RADIANS(A709)))</f>
        <v/>
      </c>
    </row>
    <row r="710">
      <c r="A710" s="11" t="n"/>
      <c r="B710" s="11" t="n"/>
      <c r="C710" s="12">
        <f>IF(A710="","",$B$9*TAN(RADIANS(A710)))</f>
        <v/>
      </c>
      <c r="D710" s="12">
        <f>IF(C710="","",C710*(1+B710/100))</f>
        <v/>
      </c>
      <c r="E710" s="12">
        <f>IF(A710="","",$B$10*TAN(RADIANS(A710)))</f>
        <v/>
      </c>
    </row>
    <row r="711">
      <c r="A711" s="11" t="n"/>
      <c r="B711" s="11" t="n"/>
      <c r="C711" s="12">
        <f>IF(A711="","",$B$9*TAN(RADIANS(A711)))</f>
        <v/>
      </c>
      <c r="D711" s="12">
        <f>IF(C711="","",C711*(1+B711/100))</f>
        <v/>
      </c>
      <c r="E711" s="12">
        <f>IF(A711="","",$B$10*TAN(RADIANS(A711)))</f>
        <v/>
      </c>
    </row>
    <row r="712">
      <c r="A712" s="11" t="n"/>
      <c r="B712" s="11" t="n"/>
      <c r="C712" s="12">
        <f>IF(A712="","",$B$9*TAN(RADIANS(A712)))</f>
        <v/>
      </c>
      <c r="D712" s="12">
        <f>IF(C712="","",C712*(1+B712/100))</f>
        <v/>
      </c>
      <c r="E712" s="12">
        <f>IF(A712="","",$B$10*TAN(RADIANS(A712)))</f>
        <v/>
      </c>
    </row>
    <row r="713">
      <c r="A713" s="11" t="n"/>
      <c r="B713" s="11" t="n"/>
      <c r="C713" s="12">
        <f>IF(A713="","",$B$9*TAN(RADIANS(A713)))</f>
        <v/>
      </c>
      <c r="D713" s="12">
        <f>IF(C713="","",C713*(1+B713/100))</f>
        <v/>
      </c>
      <c r="E713" s="12">
        <f>IF(A713="","",$B$10*TAN(RADIANS(A713)))</f>
        <v/>
      </c>
    </row>
    <row r="714">
      <c r="A714" s="11" t="n"/>
      <c r="B714" s="11" t="n"/>
      <c r="C714" s="12">
        <f>IF(A714="","",$B$9*TAN(RADIANS(A714)))</f>
        <v/>
      </c>
      <c r="D714" s="12">
        <f>IF(C714="","",C714*(1+B714/100))</f>
        <v/>
      </c>
      <c r="E714" s="12">
        <f>IF(A714="","",$B$10*TAN(RADIANS(A714)))</f>
        <v/>
      </c>
    </row>
    <row r="715">
      <c r="A715" s="11" t="n"/>
      <c r="B715" s="11" t="n"/>
      <c r="C715" s="12">
        <f>IF(A715="","",$B$9*TAN(RADIANS(A715)))</f>
        <v/>
      </c>
      <c r="D715" s="12">
        <f>IF(C715="","",C715*(1+B715/100))</f>
        <v/>
      </c>
      <c r="E715" s="12">
        <f>IF(A715="","",$B$10*TAN(RADIANS(A715)))</f>
        <v/>
      </c>
    </row>
    <row r="716">
      <c r="A716" s="11" t="n"/>
      <c r="B716" s="11" t="n"/>
      <c r="C716" s="12">
        <f>IF(A716="","",$B$9*TAN(RADIANS(A716)))</f>
        <v/>
      </c>
      <c r="D716" s="12">
        <f>IF(C716="","",C716*(1+B716/100))</f>
        <v/>
      </c>
      <c r="E716" s="12">
        <f>IF(A716="","",$B$10*TAN(RADIANS(A716)))</f>
        <v/>
      </c>
    </row>
    <row r="717">
      <c r="A717" s="11" t="n"/>
      <c r="B717" s="11" t="n"/>
      <c r="C717" s="12">
        <f>IF(A717="","",$B$9*TAN(RADIANS(A717)))</f>
        <v/>
      </c>
      <c r="D717" s="12">
        <f>IF(C717="","",C717*(1+B717/100))</f>
        <v/>
      </c>
      <c r="E717" s="12">
        <f>IF(A717="","",$B$10*TAN(RADIANS(A717)))</f>
        <v/>
      </c>
    </row>
    <row r="718">
      <c r="A718" s="11" t="n"/>
      <c r="B718" s="11" t="n"/>
      <c r="C718" s="12">
        <f>IF(A718="","",$B$9*TAN(RADIANS(A718)))</f>
        <v/>
      </c>
      <c r="D718" s="12">
        <f>IF(C718="","",C718*(1+B718/100))</f>
        <v/>
      </c>
      <c r="E718" s="12">
        <f>IF(A718="","",$B$10*TAN(RADIANS(A718)))</f>
        <v/>
      </c>
    </row>
    <row r="719">
      <c r="A719" s="11" t="n"/>
      <c r="B719" s="11" t="n"/>
      <c r="C719" s="12">
        <f>IF(A719="","",$B$9*TAN(RADIANS(A719)))</f>
        <v/>
      </c>
      <c r="D719" s="12">
        <f>IF(C719="","",C719*(1+B719/100))</f>
        <v/>
      </c>
      <c r="E719" s="12">
        <f>IF(A719="","",$B$10*TAN(RADIANS(A719)))</f>
        <v/>
      </c>
    </row>
    <row r="720">
      <c r="A720" s="11" t="n"/>
      <c r="B720" s="11" t="n"/>
      <c r="C720" s="12">
        <f>IF(A720="","",$B$9*TAN(RADIANS(A720)))</f>
        <v/>
      </c>
      <c r="D720" s="12">
        <f>IF(C720="","",C720*(1+B720/100))</f>
        <v/>
      </c>
      <c r="E720" s="12">
        <f>IF(A720="","",$B$10*TAN(RADIANS(A720)))</f>
        <v/>
      </c>
    </row>
    <row r="721">
      <c r="A721" s="11" t="n"/>
      <c r="B721" s="11" t="n"/>
      <c r="C721" s="12">
        <f>IF(A721="","",$B$9*TAN(RADIANS(A721)))</f>
        <v/>
      </c>
      <c r="D721" s="12">
        <f>IF(C721="","",C721*(1+B721/100))</f>
        <v/>
      </c>
      <c r="E721" s="12">
        <f>IF(A721="","",$B$10*TAN(RADIANS(A721)))</f>
        <v/>
      </c>
    </row>
    <row r="722">
      <c r="A722" s="11" t="n"/>
      <c r="B722" s="11" t="n"/>
      <c r="C722" s="12">
        <f>IF(A722="","",$B$9*TAN(RADIANS(A722)))</f>
        <v/>
      </c>
      <c r="D722" s="12">
        <f>IF(C722="","",C722*(1+B722/100))</f>
        <v/>
      </c>
      <c r="E722" s="12">
        <f>IF(A722="","",$B$10*TAN(RADIANS(A722)))</f>
        <v/>
      </c>
    </row>
    <row r="723">
      <c r="A723" s="11" t="n"/>
      <c r="B723" s="11" t="n"/>
      <c r="C723" s="12">
        <f>IF(A723="","",$B$9*TAN(RADIANS(A723)))</f>
        <v/>
      </c>
      <c r="D723" s="12">
        <f>IF(C723="","",C723*(1+B723/100))</f>
        <v/>
      </c>
      <c r="E723" s="12">
        <f>IF(A723="","",$B$10*TAN(RADIANS(A723)))</f>
        <v/>
      </c>
    </row>
    <row r="724">
      <c r="A724" s="11" t="n"/>
      <c r="B724" s="11" t="n"/>
      <c r="C724" s="12">
        <f>IF(A724="","",$B$9*TAN(RADIANS(A724)))</f>
        <v/>
      </c>
      <c r="D724" s="12">
        <f>IF(C724="","",C724*(1+B724/100))</f>
        <v/>
      </c>
      <c r="E724" s="12">
        <f>IF(A724="","",$B$10*TAN(RADIANS(A724)))</f>
        <v/>
      </c>
    </row>
    <row r="725">
      <c r="A725" s="11" t="n"/>
      <c r="B725" s="11" t="n"/>
      <c r="C725" s="12">
        <f>IF(A725="","",$B$9*TAN(RADIANS(A725)))</f>
        <v/>
      </c>
      <c r="D725" s="12">
        <f>IF(C725="","",C725*(1+B725/100))</f>
        <v/>
      </c>
      <c r="E725" s="12">
        <f>IF(A725="","",$B$10*TAN(RADIANS(A725)))</f>
        <v/>
      </c>
    </row>
    <row r="726">
      <c r="A726" s="11" t="n"/>
      <c r="B726" s="11" t="n"/>
      <c r="C726" s="12">
        <f>IF(A726="","",$B$9*TAN(RADIANS(A726)))</f>
        <v/>
      </c>
      <c r="D726" s="12">
        <f>IF(C726="","",C726*(1+B726/100))</f>
        <v/>
      </c>
      <c r="E726" s="12">
        <f>IF(A726="","",$B$10*TAN(RADIANS(A726)))</f>
        <v/>
      </c>
    </row>
    <row r="727">
      <c r="A727" s="11" t="n"/>
      <c r="B727" s="11" t="n"/>
      <c r="C727" s="12">
        <f>IF(A727="","",$B$9*TAN(RADIANS(A727)))</f>
        <v/>
      </c>
      <c r="D727" s="12">
        <f>IF(C727="","",C727*(1+B727/100))</f>
        <v/>
      </c>
      <c r="E727" s="12">
        <f>IF(A727="","",$B$10*TAN(RADIANS(A727)))</f>
        <v/>
      </c>
    </row>
    <row r="728">
      <c r="A728" s="11" t="n"/>
      <c r="B728" s="11" t="n"/>
      <c r="C728" s="12">
        <f>IF(A728="","",$B$9*TAN(RADIANS(A728)))</f>
        <v/>
      </c>
      <c r="D728" s="12">
        <f>IF(C728="","",C728*(1+B728/100))</f>
        <v/>
      </c>
      <c r="E728" s="12">
        <f>IF(A728="","",$B$10*TAN(RADIANS(A728)))</f>
        <v/>
      </c>
    </row>
    <row r="729">
      <c r="A729" s="11" t="n"/>
      <c r="B729" s="11" t="n"/>
      <c r="C729" s="12">
        <f>IF(A729="","",$B$9*TAN(RADIANS(A729)))</f>
        <v/>
      </c>
      <c r="D729" s="12">
        <f>IF(C729="","",C729*(1+B729/100))</f>
        <v/>
      </c>
      <c r="E729" s="12">
        <f>IF(A729="","",$B$10*TAN(RADIANS(A729)))</f>
        <v/>
      </c>
    </row>
    <row r="730">
      <c r="A730" s="11" t="n"/>
      <c r="B730" s="11" t="n"/>
      <c r="C730" s="12">
        <f>IF(A730="","",$B$9*TAN(RADIANS(A730)))</f>
        <v/>
      </c>
      <c r="D730" s="12">
        <f>IF(C730="","",C730*(1+B730/100))</f>
        <v/>
      </c>
      <c r="E730" s="12">
        <f>IF(A730="","",$B$10*TAN(RADIANS(A730)))</f>
        <v/>
      </c>
    </row>
    <row r="731">
      <c r="A731" s="11" t="n"/>
      <c r="B731" s="11" t="n"/>
      <c r="C731" s="12">
        <f>IF(A731="","",$B$9*TAN(RADIANS(A731)))</f>
        <v/>
      </c>
      <c r="D731" s="12">
        <f>IF(C731="","",C731*(1+B731/100))</f>
        <v/>
      </c>
      <c r="E731" s="12">
        <f>IF(A731="","",$B$10*TAN(RADIANS(A731)))</f>
        <v/>
      </c>
    </row>
    <row r="732">
      <c r="A732" s="11" t="n"/>
      <c r="B732" s="11" t="n"/>
      <c r="C732" s="12">
        <f>IF(A732="","",$B$9*TAN(RADIANS(A732)))</f>
        <v/>
      </c>
      <c r="D732" s="12">
        <f>IF(C732="","",C732*(1+B732/100))</f>
        <v/>
      </c>
      <c r="E732" s="12">
        <f>IF(A732="","",$B$10*TAN(RADIANS(A732)))</f>
        <v/>
      </c>
    </row>
    <row r="733">
      <c r="A733" s="11" t="n"/>
      <c r="B733" s="11" t="n"/>
      <c r="C733" s="12">
        <f>IF(A733="","",$B$9*TAN(RADIANS(A733)))</f>
        <v/>
      </c>
      <c r="D733" s="12">
        <f>IF(C733="","",C733*(1+B733/100))</f>
        <v/>
      </c>
      <c r="E733" s="12">
        <f>IF(A733="","",$B$10*TAN(RADIANS(A733)))</f>
        <v/>
      </c>
    </row>
    <row r="734">
      <c r="A734" s="11" t="n"/>
      <c r="B734" s="11" t="n"/>
      <c r="C734" s="12">
        <f>IF(A734="","",$B$9*TAN(RADIANS(A734)))</f>
        <v/>
      </c>
      <c r="D734" s="12">
        <f>IF(C734="","",C734*(1+B734/100))</f>
        <v/>
      </c>
      <c r="E734" s="12">
        <f>IF(A734="","",$B$10*TAN(RADIANS(A734)))</f>
        <v/>
      </c>
    </row>
    <row r="735">
      <c r="A735" s="11" t="n"/>
      <c r="B735" s="11" t="n"/>
      <c r="C735" s="12">
        <f>IF(A735="","",$B$9*TAN(RADIANS(A735)))</f>
        <v/>
      </c>
      <c r="D735" s="12">
        <f>IF(C735="","",C735*(1+B735/100))</f>
        <v/>
      </c>
      <c r="E735" s="12">
        <f>IF(A735="","",$B$10*TAN(RADIANS(A735)))</f>
        <v/>
      </c>
    </row>
    <row r="736">
      <c r="A736" s="11" t="n"/>
      <c r="B736" s="11" t="n"/>
      <c r="C736" s="12">
        <f>IF(A736="","",$B$9*TAN(RADIANS(A736)))</f>
        <v/>
      </c>
      <c r="D736" s="12">
        <f>IF(C736="","",C736*(1+B736/100))</f>
        <v/>
      </c>
      <c r="E736" s="12">
        <f>IF(A736="","",$B$10*TAN(RADIANS(A736)))</f>
        <v/>
      </c>
    </row>
    <row r="737">
      <c r="A737" s="11" t="n"/>
      <c r="B737" s="11" t="n"/>
      <c r="C737" s="12">
        <f>IF(A737="","",$B$9*TAN(RADIANS(A737)))</f>
        <v/>
      </c>
      <c r="D737" s="12">
        <f>IF(C737="","",C737*(1+B737/100))</f>
        <v/>
      </c>
      <c r="E737" s="12">
        <f>IF(A737="","",$B$10*TAN(RADIANS(A737)))</f>
        <v/>
      </c>
    </row>
    <row r="738">
      <c r="A738" s="11" t="n"/>
      <c r="B738" s="11" t="n"/>
      <c r="C738" s="12">
        <f>IF(A738="","",$B$9*TAN(RADIANS(A738)))</f>
        <v/>
      </c>
      <c r="D738" s="12">
        <f>IF(C738="","",C738*(1+B738/100))</f>
        <v/>
      </c>
      <c r="E738" s="12">
        <f>IF(A738="","",$B$10*TAN(RADIANS(A738)))</f>
        <v/>
      </c>
    </row>
    <row r="739">
      <c r="A739" s="11" t="n"/>
      <c r="B739" s="11" t="n"/>
      <c r="C739" s="12">
        <f>IF(A739="","",$B$9*TAN(RADIANS(A739)))</f>
        <v/>
      </c>
      <c r="D739" s="12">
        <f>IF(C739="","",C739*(1+B739/100))</f>
        <v/>
      </c>
      <c r="E739" s="12">
        <f>IF(A739="","",$B$10*TAN(RADIANS(A739)))</f>
        <v/>
      </c>
    </row>
    <row r="740">
      <c r="A740" s="11" t="n"/>
      <c r="B740" s="11" t="n"/>
      <c r="C740" s="12">
        <f>IF(A740="","",$B$9*TAN(RADIANS(A740)))</f>
        <v/>
      </c>
      <c r="D740" s="12">
        <f>IF(C740="","",C740*(1+B740/100))</f>
        <v/>
      </c>
      <c r="E740" s="12">
        <f>IF(A740="","",$B$10*TAN(RADIANS(A740)))</f>
        <v/>
      </c>
    </row>
    <row r="741">
      <c r="A741" s="11" t="n"/>
      <c r="B741" s="11" t="n"/>
      <c r="C741" s="12">
        <f>IF(A741="","",$B$9*TAN(RADIANS(A741)))</f>
        <v/>
      </c>
      <c r="D741" s="12">
        <f>IF(C741="","",C741*(1+B741/100))</f>
        <v/>
      </c>
      <c r="E741" s="12">
        <f>IF(A741="","",$B$10*TAN(RADIANS(A741)))</f>
        <v/>
      </c>
    </row>
    <row r="742">
      <c r="A742" s="11" t="n"/>
      <c r="B742" s="11" t="n"/>
      <c r="C742" s="12">
        <f>IF(A742="","",$B$9*TAN(RADIANS(A742)))</f>
        <v/>
      </c>
      <c r="D742" s="12">
        <f>IF(C742="","",C742*(1+B742/100))</f>
        <v/>
      </c>
      <c r="E742" s="12">
        <f>IF(A742="","",$B$10*TAN(RADIANS(A742)))</f>
        <v/>
      </c>
    </row>
    <row r="743">
      <c r="A743" s="11" t="n"/>
      <c r="B743" s="11" t="n"/>
      <c r="C743" s="12">
        <f>IF(A743="","",$B$9*TAN(RADIANS(A743)))</f>
        <v/>
      </c>
      <c r="D743" s="12">
        <f>IF(C743="","",C743*(1+B743/100))</f>
        <v/>
      </c>
      <c r="E743" s="12">
        <f>IF(A743="","",$B$10*TAN(RADIANS(A743)))</f>
        <v/>
      </c>
    </row>
    <row r="744">
      <c r="A744" s="11" t="n"/>
      <c r="B744" s="11" t="n"/>
      <c r="C744" s="12">
        <f>IF(A744="","",$B$9*TAN(RADIANS(A744)))</f>
        <v/>
      </c>
      <c r="D744" s="12">
        <f>IF(C744="","",C744*(1+B744/100))</f>
        <v/>
      </c>
      <c r="E744" s="12">
        <f>IF(A744="","",$B$10*TAN(RADIANS(A744)))</f>
        <v/>
      </c>
    </row>
    <row r="745">
      <c r="A745" s="11" t="n"/>
      <c r="B745" s="11" t="n"/>
      <c r="C745" s="12">
        <f>IF(A745="","",$B$9*TAN(RADIANS(A745)))</f>
        <v/>
      </c>
      <c r="D745" s="12">
        <f>IF(C745="","",C745*(1+B745/100))</f>
        <v/>
      </c>
      <c r="E745" s="12">
        <f>IF(A745="","",$B$10*TAN(RADIANS(A745)))</f>
        <v/>
      </c>
    </row>
    <row r="746">
      <c r="A746" s="11" t="n"/>
      <c r="B746" s="11" t="n"/>
      <c r="C746" s="12">
        <f>IF(A746="","",$B$9*TAN(RADIANS(A746)))</f>
        <v/>
      </c>
      <c r="D746" s="12">
        <f>IF(C746="","",C746*(1+B746/100))</f>
        <v/>
      </c>
      <c r="E746" s="12">
        <f>IF(A746="","",$B$10*TAN(RADIANS(A746)))</f>
        <v/>
      </c>
    </row>
    <row r="747">
      <c r="A747" s="11" t="n"/>
      <c r="B747" s="11" t="n"/>
      <c r="C747" s="12">
        <f>IF(A747="","",$B$9*TAN(RADIANS(A747)))</f>
        <v/>
      </c>
      <c r="D747" s="12">
        <f>IF(C747="","",C747*(1+B747/100))</f>
        <v/>
      </c>
      <c r="E747" s="12">
        <f>IF(A747="","",$B$10*TAN(RADIANS(A747)))</f>
        <v/>
      </c>
    </row>
    <row r="748">
      <c r="A748" s="11" t="n"/>
      <c r="B748" s="11" t="n"/>
      <c r="C748" s="12">
        <f>IF(A748="","",$B$9*TAN(RADIANS(A748)))</f>
        <v/>
      </c>
      <c r="D748" s="12">
        <f>IF(C748="","",C748*(1+B748/100))</f>
        <v/>
      </c>
      <c r="E748" s="12">
        <f>IF(A748="","",$B$10*TAN(RADIANS(A748)))</f>
        <v/>
      </c>
    </row>
    <row r="749">
      <c r="A749" s="11" t="n"/>
      <c r="B749" s="11" t="n"/>
      <c r="C749" s="12">
        <f>IF(A749="","",$B$9*TAN(RADIANS(A749)))</f>
        <v/>
      </c>
      <c r="D749" s="12">
        <f>IF(C749="","",C749*(1+B749/100))</f>
        <v/>
      </c>
      <c r="E749" s="12">
        <f>IF(A749="","",$B$10*TAN(RADIANS(A749)))</f>
        <v/>
      </c>
    </row>
    <row r="750">
      <c r="A750" s="11" t="n"/>
      <c r="B750" s="11" t="n"/>
      <c r="C750" s="12">
        <f>IF(A750="","",$B$9*TAN(RADIANS(A750)))</f>
        <v/>
      </c>
      <c r="D750" s="12">
        <f>IF(C750="","",C750*(1+B750/100))</f>
        <v/>
      </c>
      <c r="E750" s="12">
        <f>IF(A750="","",$B$10*TAN(RADIANS(A750)))</f>
        <v/>
      </c>
    </row>
    <row r="751">
      <c r="A751" s="11" t="n"/>
      <c r="B751" s="11" t="n"/>
      <c r="C751" s="12">
        <f>IF(A751="","",$B$9*TAN(RADIANS(A751)))</f>
        <v/>
      </c>
      <c r="D751" s="12">
        <f>IF(C751="","",C751*(1+B751/100))</f>
        <v/>
      </c>
      <c r="E751" s="12">
        <f>IF(A751="","",$B$10*TAN(RADIANS(A751)))</f>
        <v/>
      </c>
    </row>
    <row r="752">
      <c r="A752" s="11" t="n"/>
      <c r="B752" s="11" t="n"/>
      <c r="C752" s="12">
        <f>IF(A752="","",$B$9*TAN(RADIANS(A752)))</f>
        <v/>
      </c>
      <c r="D752" s="12">
        <f>IF(C752="","",C752*(1+B752/100))</f>
        <v/>
      </c>
      <c r="E752" s="12">
        <f>IF(A752="","",$B$10*TAN(RADIANS(A752)))</f>
        <v/>
      </c>
    </row>
    <row r="753">
      <c r="A753" s="11" t="n"/>
      <c r="B753" s="11" t="n"/>
      <c r="C753" s="12">
        <f>IF(A753="","",$B$9*TAN(RADIANS(A753)))</f>
        <v/>
      </c>
      <c r="D753" s="12">
        <f>IF(C753="","",C753*(1+B753/100))</f>
        <v/>
      </c>
      <c r="E753" s="12">
        <f>IF(A753="","",$B$10*TAN(RADIANS(A753)))</f>
        <v/>
      </c>
    </row>
    <row r="754">
      <c r="A754" s="11" t="n"/>
      <c r="B754" s="11" t="n"/>
      <c r="C754" s="12">
        <f>IF(A754="","",$B$9*TAN(RADIANS(A754)))</f>
        <v/>
      </c>
      <c r="D754" s="12">
        <f>IF(C754="","",C754*(1+B754/100))</f>
        <v/>
      </c>
      <c r="E754" s="12">
        <f>IF(A754="","",$B$10*TAN(RADIANS(A754)))</f>
        <v/>
      </c>
    </row>
    <row r="755">
      <c r="A755" s="11" t="n"/>
      <c r="B755" s="11" t="n"/>
      <c r="C755" s="12">
        <f>IF(A755="","",$B$9*TAN(RADIANS(A755)))</f>
        <v/>
      </c>
      <c r="D755" s="12">
        <f>IF(C755="","",C755*(1+B755/100))</f>
        <v/>
      </c>
      <c r="E755" s="12">
        <f>IF(A755="","",$B$10*TAN(RADIANS(A755)))</f>
        <v/>
      </c>
    </row>
    <row r="756">
      <c r="A756" s="11" t="n"/>
      <c r="B756" s="11" t="n"/>
      <c r="C756" s="12">
        <f>IF(A756="","",$B$9*TAN(RADIANS(A756)))</f>
        <v/>
      </c>
      <c r="D756" s="12">
        <f>IF(C756="","",C756*(1+B756/100))</f>
        <v/>
      </c>
      <c r="E756" s="12">
        <f>IF(A756="","",$B$10*TAN(RADIANS(A756)))</f>
        <v/>
      </c>
    </row>
    <row r="757">
      <c r="A757" s="11" t="n"/>
      <c r="B757" s="11" t="n"/>
      <c r="C757" s="12">
        <f>IF(A757="","",$B$9*TAN(RADIANS(A757)))</f>
        <v/>
      </c>
      <c r="D757" s="12">
        <f>IF(C757="","",C757*(1+B757/100))</f>
        <v/>
      </c>
      <c r="E757" s="12">
        <f>IF(A757="","",$B$10*TAN(RADIANS(A757)))</f>
        <v/>
      </c>
    </row>
    <row r="758">
      <c r="A758" s="11" t="n"/>
      <c r="B758" s="11" t="n"/>
      <c r="C758" s="12">
        <f>IF(A758="","",$B$9*TAN(RADIANS(A758)))</f>
        <v/>
      </c>
      <c r="D758" s="12">
        <f>IF(C758="","",C758*(1+B758/100))</f>
        <v/>
      </c>
      <c r="E758" s="12">
        <f>IF(A758="","",$B$10*TAN(RADIANS(A758)))</f>
        <v/>
      </c>
    </row>
    <row r="759">
      <c r="A759" s="11" t="n"/>
      <c r="B759" s="11" t="n"/>
      <c r="C759" s="12">
        <f>IF(A759="","",$B$9*TAN(RADIANS(A759)))</f>
        <v/>
      </c>
      <c r="D759" s="12">
        <f>IF(C759="","",C759*(1+B759/100))</f>
        <v/>
      </c>
      <c r="E759" s="12">
        <f>IF(A759="","",$B$10*TAN(RADIANS(A759)))</f>
        <v/>
      </c>
    </row>
    <row r="760">
      <c r="A760" s="11" t="n"/>
      <c r="B760" s="11" t="n"/>
      <c r="C760" s="12">
        <f>IF(A760="","",$B$9*TAN(RADIANS(A760)))</f>
        <v/>
      </c>
      <c r="D760" s="12">
        <f>IF(C760="","",C760*(1+B760/100))</f>
        <v/>
      </c>
      <c r="E760" s="12">
        <f>IF(A760="","",$B$10*TAN(RADIANS(A760)))</f>
        <v/>
      </c>
    </row>
    <row r="761">
      <c r="A761" s="11" t="n"/>
      <c r="B761" s="11" t="n"/>
      <c r="C761" s="12">
        <f>IF(A761="","",$B$9*TAN(RADIANS(A761)))</f>
        <v/>
      </c>
      <c r="D761" s="12">
        <f>IF(C761="","",C761*(1+B761/100))</f>
        <v/>
      </c>
      <c r="E761" s="12">
        <f>IF(A761="","",$B$10*TAN(RADIANS(A761)))</f>
        <v/>
      </c>
    </row>
    <row r="762">
      <c r="A762" s="11" t="n"/>
      <c r="B762" s="11" t="n"/>
      <c r="C762" s="12">
        <f>IF(A762="","",$B$9*TAN(RADIANS(A762)))</f>
        <v/>
      </c>
      <c r="D762" s="12">
        <f>IF(C762="","",C762*(1+B762/100))</f>
        <v/>
      </c>
      <c r="E762" s="12">
        <f>IF(A762="","",$B$10*TAN(RADIANS(A762)))</f>
        <v/>
      </c>
    </row>
    <row r="763">
      <c r="A763" s="11" t="n"/>
      <c r="B763" s="11" t="n"/>
      <c r="C763" s="12">
        <f>IF(A763="","",$B$9*TAN(RADIANS(A763)))</f>
        <v/>
      </c>
      <c r="D763" s="12">
        <f>IF(C763="","",C763*(1+B763/100))</f>
        <v/>
      </c>
      <c r="E763" s="12">
        <f>IF(A763="","",$B$10*TAN(RADIANS(A763)))</f>
        <v/>
      </c>
    </row>
    <row r="764">
      <c r="A764" s="11" t="n"/>
      <c r="B764" s="11" t="n"/>
      <c r="C764" s="12">
        <f>IF(A764="","",$B$9*TAN(RADIANS(A764)))</f>
        <v/>
      </c>
      <c r="D764" s="12">
        <f>IF(C764="","",C764*(1+B764/100))</f>
        <v/>
      </c>
      <c r="E764" s="12">
        <f>IF(A764="","",$B$10*TAN(RADIANS(A764)))</f>
        <v/>
      </c>
    </row>
    <row r="765">
      <c r="A765" s="11" t="n"/>
      <c r="B765" s="11" t="n"/>
      <c r="C765" s="12">
        <f>IF(A765="","",$B$9*TAN(RADIANS(A765)))</f>
        <v/>
      </c>
      <c r="D765" s="12">
        <f>IF(C765="","",C765*(1+B765/100))</f>
        <v/>
      </c>
      <c r="E765" s="12">
        <f>IF(A765="","",$B$10*TAN(RADIANS(A765)))</f>
        <v/>
      </c>
    </row>
    <row r="766">
      <c r="A766" s="11" t="n"/>
      <c r="B766" s="11" t="n"/>
      <c r="C766" s="12">
        <f>IF(A766="","",$B$9*TAN(RADIANS(A766)))</f>
        <v/>
      </c>
      <c r="D766" s="12">
        <f>IF(C766="","",C766*(1+B766/100))</f>
        <v/>
      </c>
      <c r="E766" s="12">
        <f>IF(A766="","",$B$10*TAN(RADIANS(A766)))</f>
        <v/>
      </c>
    </row>
    <row r="767">
      <c r="A767" s="11" t="n"/>
      <c r="B767" s="11" t="n"/>
      <c r="C767" s="12">
        <f>IF(A767="","",$B$9*TAN(RADIANS(A767)))</f>
        <v/>
      </c>
      <c r="D767" s="12">
        <f>IF(C767="","",C767*(1+B767/100))</f>
        <v/>
      </c>
      <c r="E767" s="12">
        <f>IF(A767="","",$B$10*TAN(RADIANS(A767)))</f>
        <v/>
      </c>
    </row>
    <row r="768">
      <c r="A768" s="11" t="n"/>
      <c r="B768" s="11" t="n"/>
      <c r="C768" s="12">
        <f>IF(A768="","",$B$9*TAN(RADIANS(A768)))</f>
        <v/>
      </c>
      <c r="D768" s="12">
        <f>IF(C768="","",C768*(1+B768/100))</f>
        <v/>
      </c>
      <c r="E768" s="12">
        <f>IF(A768="","",$B$10*TAN(RADIANS(A768)))</f>
        <v/>
      </c>
    </row>
    <row r="769">
      <c r="A769" s="11" t="n"/>
      <c r="B769" s="11" t="n"/>
      <c r="C769" s="12">
        <f>IF(A769="","",$B$9*TAN(RADIANS(A769)))</f>
        <v/>
      </c>
      <c r="D769" s="12">
        <f>IF(C769="","",C769*(1+B769/100))</f>
        <v/>
      </c>
      <c r="E769" s="12">
        <f>IF(A769="","",$B$10*TAN(RADIANS(A769)))</f>
        <v/>
      </c>
    </row>
    <row r="770">
      <c r="A770" s="11" t="n"/>
      <c r="B770" s="11" t="n"/>
      <c r="C770" s="12">
        <f>IF(A770="","",$B$9*TAN(RADIANS(A770)))</f>
        <v/>
      </c>
      <c r="D770" s="12">
        <f>IF(C770="","",C770*(1+B770/100))</f>
        <v/>
      </c>
      <c r="E770" s="12">
        <f>IF(A770="","",$B$10*TAN(RADIANS(A770)))</f>
        <v/>
      </c>
    </row>
    <row r="771">
      <c r="A771" s="11" t="n"/>
      <c r="B771" s="11" t="n"/>
      <c r="C771" s="12">
        <f>IF(A771="","",$B$9*TAN(RADIANS(A771)))</f>
        <v/>
      </c>
      <c r="D771" s="12">
        <f>IF(C771="","",C771*(1+B771/100))</f>
        <v/>
      </c>
      <c r="E771" s="12">
        <f>IF(A771="","",$B$10*TAN(RADIANS(A771)))</f>
        <v/>
      </c>
    </row>
    <row r="772">
      <c r="A772" s="11" t="n"/>
      <c r="B772" s="11" t="n"/>
      <c r="C772" s="12">
        <f>IF(A772="","",$B$9*TAN(RADIANS(A772)))</f>
        <v/>
      </c>
      <c r="D772" s="12">
        <f>IF(C772="","",C772*(1+B772/100))</f>
        <v/>
      </c>
      <c r="E772" s="12">
        <f>IF(A772="","",$B$10*TAN(RADIANS(A772)))</f>
        <v/>
      </c>
    </row>
    <row r="773">
      <c r="A773" s="11" t="n"/>
      <c r="B773" s="11" t="n"/>
      <c r="C773" s="12">
        <f>IF(A773="","",$B$9*TAN(RADIANS(A773)))</f>
        <v/>
      </c>
      <c r="D773" s="12">
        <f>IF(C773="","",C773*(1+B773/100))</f>
        <v/>
      </c>
      <c r="E773" s="12">
        <f>IF(A773="","",$B$10*TAN(RADIANS(A773)))</f>
        <v/>
      </c>
    </row>
    <row r="774">
      <c r="A774" s="11" t="n"/>
      <c r="B774" s="11" t="n"/>
      <c r="C774" s="12">
        <f>IF(A774="","",$B$9*TAN(RADIANS(A774)))</f>
        <v/>
      </c>
      <c r="D774" s="12">
        <f>IF(C774="","",C774*(1+B774/100))</f>
        <v/>
      </c>
      <c r="E774" s="12">
        <f>IF(A774="","",$B$10*TAN(RADIANS(A774)))</f>
        <v/>
      </c>
    </row>
    <row r="775">
      <c r="A775" s="11" t="n"/>
      <c r="B775" s="11" t="n"/>
      <c r="C775" s="12">
        <f>IF(A775="","",$B$9*TAN(RADIANS(A775)))</f>
        <v/>
      </c>
      <c r="D775" s="12">
        <f>IF(C775="","",C775*(1+B775/100))</f>
        <v/>
      </c>
      <c r="E775" s="12">
        <f>IF(A775="","",$B$10*TAN(RADIANS(A775)))</f>
        <v/>
      </c>
    </row>
    <row r="776">
      <c r="A776" s="11" t="n"/>
      <c r="B776" s="11" t="n"/>
      <c r="C776" s="12">
        <f>IF(A776="","",$B$9*TAN(RADIANS(A776)))</f>
        <v/>
      </c>
      <c r="D776" s="12">
        <f>IF(C776="","",C776*(1+B776/100))</f>
        <v/>
      </c>
      <c r="E776" s="12">
        <f>IF(A776="","",$B$10*TAN(RADIANS(A776)))</f>
        <v/>
      </c>
    </row>
    <row r="777">
      <c r="A777" s="11" t="n"/>
      <c r="B777" s="11" t="n"/>
      <c r="C777" s="12">
        <f>IF(A777="","",$B$9*TAN(RADIANS(A777)))</f>
        <v/>
      </c>
      <c r="D777" s="12">
        <f>IF(C777="","",C777*(1+B777/100))</f>
        <v/>
      </c>
      <c r="E777" s="12">
        <f>IF(A777="","",$B$10*TAN(RADIANS(A777)))</f>
        <v/>
      </c>
    </row>
    <row r="778">
      <c r="A778" s="11" t="n"/>
      <c r="B778" s="11" t="n"/>
      <c r="C778" s="12">
        <f>IF(A778="","",$B$9*TAN(RADIANS(A778)))</f>
        <v/>
      </c>
      <c r="D778" s="12">
        <f>IF(C778="","",C778*(1+B778/100))</f>
        <v/>
      </c>
      <c r="E778" s="12">
        <f>IF(A778="","",$B$10*TAN(RADIANS(A778)))</f>
        <v/>
      </c>
    </row>
    <row r="779">
      <c r="A779" s="11" t="n"/>
      <c r="B779" s="11" t="n"/>
      <c r="C779" s="12">
        <f>IF(A779="","",$B$9*TAN(RADIANS(A779)))</f>
        <v/>
      </c>
      <c r="D779" s="12">
        <f>IF(C779="","",C779*(1+B779/100))</f>
        <v/>
      </c>
      <c r="E779" s="12">
        <f>IF(A779="","",$B$10*TAN(RADIANS(A779)))</f>
        <v/>
      </c>
    </row>
    <row r="780">
      <c r="A780" s="11" t="n"/>
      <c r="B780" s="11" t="n"/>
      <c r="C780" s="12">
        <f>IF(A780="","",$B$9*TAN(RADIANS(A780)))</f>
        <v/>
      </c>
      <c r="D780" s="12">
        <f>IF(C780="","",C780*(1+B780/100))</f>
        <v/>
      </c>
      <c r="E780" s="12">
        <f>IF(A780="","",$B$10*TAN(RADIANS(A780)))</f>
        <v/>
      </c>
    </row>
    <row r="781">
      <c r="A781" s="11" t="n"/>
      <c r="B781" s="11" t="n"/>
      <c r="C781" s="12">
        <f>IF(A781="","",$B$9*TAN(RADIANS(A781)))</f>
        <v/>
      </c>
      <c r="D781" s="12">
        <f>IF(C781="","",C781*(1+B781/100))</f>
        <v/>
      </c>
      <c r="E781" s="12">
        <f>IF(A781="","",$B$10*TAN(RADIANS(A781)))</f>
        <v/>
      </c>
    </row>
    <row r="782">
      <c r="A782" s="11" t="n"/>
      <c r="B782" s="11" t="n"/>
      <c r="C782" s="12">
        <f>IF(A782="","",$B$9*TAN(RADIANS(A782)))</f>
        <v/>
      </c>
      <c r="D782" s="12">
        <f>IF(C782="","",C782*(1+B782/100))</f>
        <v/>
      </c>
      <c r="E782" s="12">
        <f>IF(A782="","",$B$10*TAN(RADIANS(A782)))</f>
        <v/>
      </c>
    </row>
    <row r="783">
      <c r="A783" s="11" t="n"/>
      <c r="B783" s="11" t="n"/>
      <c r="C783" s="12">
        <f>IF(A783="","",$B$9*TAN(RADIANS(A783)))</f>
        <v/>
      </c>
      <c r="D783" s="12">
        <f>IF(C783="","",C783*(1+B783/100))</f>
        <v/>
      </c>
      <c r="E783" s="12">
        <f>IF(A783="","",$B$10*TAN(RADIANS(A783)))</f>
        <v/>
      </c>
    </row>
    <row r="784">
      <c r="A784" s="11" t="n"/>
      <c r="B784" s="11" t="n"/>
      <c r="C784" s="12">
        <f>IF(A784="","",$B$9*TAN(RADIANS(A784)))</f>
        <v/>
      </c>
      <c r="D784" s="12">
        <f>IF(C784="","",C784*(1+B784/100))</f>
        <v/>
      </c>
      <c r="E784" s="12">
        <f>IF(A784="","",$B$10*TAN(RADIANS(A784)))</f>
        <v/>
      </c>
    </row>
    <row r="785">
      <c r="A785" s="11" t="n"/>
      <c r="B785" s="11" t="n"/>
      <c r="C785" s="12">
        <f>IF(A785="","",$B$9*TAN(RADIANS(A785)))</f>
        <v/>
      </c>
      <c r="D785" s="12">
        <f>IF(C785="","",C785*(1+B785/100))</f>
        <v/>
      </c>
      <c r="E785" s="12">
        <f>IF(A785="","",$B$10*TAN(RADIANS(A785)))</f>
        <v/>
      </c>
    </row>
    <row r="786">
      <c r="A786" s="11" t="n"/>
      <c r="B786" s="11" t="n"/>
      <c r="C786" s="12">
        <f>IF(A786="","",$B$9*TAN(RADIANS(A786)))</f>
        <v/>
      </c>
      <c r="D786" s="12">
        <f>IF(C786="","",C786*(1+B786/100))</f>
        <v/>
      </c>
      <c r="E786" s="12">
        <f>IF(A786="","",$B$10*TAN(RADIANS(A786)))</f>
        <v/>
      </c>
    </row>
    <row r="787">
      <c r="A787" s="11" t="n"/>
      <c r="B787" s="11" t="n"/>
      <c r="C787" s="12">
        <f>IF(A787="","",$B$9*TAN(RADIANS(A787)))</f>
        <v/>
      </c>
      <c r="D787" s="12">
        <f>IF(C787="","",C787*(1+B787/100))</f>
        <v/>
      </c>
      <c r="E787" s="12">
        <f>IF(A787="","",$B$10*TAN(RADIANS(A787)))</f>
        <v/>
      </c>
    </row>
    <row r="788">
      <c r="A788" s="11" t="n"/>
      <c r="B788" s="11" t="n"/>
      <c r="C788" s="12">
        <f>IF(A788="","",$B$9*TAN(RADIANS(A788)))</f>
        <v/>
      </c>
      <c r="D788" s="12">
        <f>IF(C788="","",C788*(1+B788/100))</f>
        <v/>
      </c>
      <c r="E788" s="12">
        <f>IF(A788="","",$B$10*TAN(RADIANS(A788)))</f>
        <v/>
      </c>
    </row>
    <row r="789">
      <c r="A789" s="11" t="n"/>
      <c r="B789" s="11" t="n"/>
      <c r="C789" s="12">
        <f>IF(A789="","",$B$9*TAN(RADIANS(A789)))</f>
        <v/>
      </c>
      <c r="D789" s="12">
        <f>IF(C789="","",C789*(1+B789/100))</f>
        <v/>
      </c>
      <c r="E789" s="12">
        <f>IF(A789="","",$B$10*TAN(RADIANS(A789)))</f>
        <v/>
      </c>
    </row>
    <row r="790">
      <c r="A790" s="11" t="n"/>
      <c r="B790" s="11" t="n"/>
      <c r="C790" s="12">
        <f>IF(A790="","",$B$9*TAN(RADIANS(A790)))</f>
        <v/>
      </c>
      <c r="D790" s="12">
        <f>IF(C790="","",C790*(1+B790/100))</f>
        <v/>
      </c>
      <c r="E790" s="12">
        <f>IF(A790="","",$B$10*TAN(RADIANS(A790)))</f>
        <v/>
      </c>
    </row>
    <row r="791">
      <c r="A791" s="11" t="n"/>
      <c r="B791" s="11" t="n"/>
      <c r="C791" s="12">
        <f>IF(A791="","",$B$9*TAN(RADIANS(A791)))</f>
        <v/>
      </c>
      <c r="D791" s="12">
        <f>IF(C791="","",C791*(1+B791/100))</f>
        <v/>
      </c>
      <c r="E791" s="12">
        <f>IF(A791="","",$B$10*TAN(RADIANS(A791)))</f>
        <v/>
      </c>
    </row>
    <row r="792">
      <c r="A792" s="11" t="n"/>
      <c r="B792" s="11" t="n"/>
      <c r="C792" s="12">
        <f>IF(A792="","",$B$9*TAN(RADIANS(A792)))</f>
        <v/>
      </c>
      <c r="D792" s="12">
        <f>IF(C792="","",C792*(1+B792/100))</f>
        <v/>
      </c>
      <c r="E792" s="12">
        <f>IF(A792="","",$B$10*TAN(RADIANS(A792)))</f>
        <v/>
      </c>
    </row>
    <row r="793">
      <c r="A793" s="11" t="n"/>
      <c r="B793" s="11" t="n"/>
      <c r="C793" s="12">
        <f>IF(A793="","",$B$9*TAN(RADIANS(A793)))</f>
        <v/>
      </c>
      <c r="D793" s="12">
        <f>IF(C793="","",C793*(1+B793/100))</f>
        <v/>
      </c>
      <c r="E793" s="12">
        <f>IF(A793="","",$B$10*TAN(RADIANS(A793)))</f>
        <v/>
      </c>
    </row>
    <row r="794">
      <c r="A794" s="11" t="n"/>
      <c r="B794" s="11" t="n"/>
      <c r="C794" s="12">
        <f>IF(A794="","",$B$9*TAN(RADIANS(A794)))</f>
        <v/>
      </c>
      <c r="D794" s="12">
        <f>IF(C794="","",C794*(1+B794/100))</f>
        <v/>
      </c>
      <c r="E794" s="12">
        <f>IF(A794="","",$B$10*TAN(RADIANS(A794)))</f>
        <v/>
      </c>
    </row>
    <row r="795">
      <c r="A795" s="11" t="n"/>
      <c r="B795" s="11" t="n"/>
      <c r="C795" s="12">
        <f>IF(A795="","",$B$9*TAN(RADIANS(A795)))</f>
        <v/>
      </c>
      <c r="D795" s="12">
        <f>IF(C795="","",C795*(1+B795/100))</f>
        <v/>
      </c>
      <c r="E795" s="12">
        <f>IF(A795="","",$B$10*TAN(RADIANS(A795)))</f>
        <v/>
      </c>
    </row>
    <row r="796">
      <c r="A796" s="11" t="n"/>
      <c r="B796" s="11" t="n"/>
      <c r="C796" s="12">
        <f>IF(A796="","",$B$9*TAN(RADIANS(A796)))</f>
        <v/>
      </c>
      <c r="D796" s="12">
        <f>IF(C796="","",C796*(1+B796/100))</f>
        <v/>
      </c>
      <c r="E796" s="12">
        <f>IF(A796="","",$B$10*TAN(RADIANS(A796)))</f>
        <v/>
      </c>
    </row>
    <row r="797">
      <c r="A797" s="11" t="n"/>
      <c r="B797" s="11" t="n"/>
      <c r="C797" s="12">
        <f>IF(A797="","",$B$9*TAN(RADIANS(A797)))</f>
        <v/>
      </c>
      <c r="D797" s="12">
        <f>IF(C797="","",C797*(1+B797/100))</f>
        <v/>
      </c>
      <c r="E797" s="12">
        <f>IF(A797="","",$B$10*TAN(RADIANS(A797)))</f>
        <v/>
      </c>
    </row>
    <row r="798">
      <c r="A798" s="11" t="n"/>
      <c r="B798" s="11" t="n"/>
      <c r="C798" s="12">
        <f>IF(A798="","",$B$9*TAN(RADIANS(A798)))</f>
        <v/>
      </c>
      <c r="D798" s="12">
        <f>IF(C798="","",C798*(1+B798/100))</f>
        <v/>
      </c>
      <c r="E798" s="12">
        <f>IF(A798="","",$B$10*TAN(RADIANS(A798)))</f>
        <v/>
      </c>
    </row>
    <row r="799">
      <c r="A799" s="11" t="n"/>
      <c r="B799" s="11" t="n"/>
      <c r="C799" s="12">
        <f>IF(A799="","",$B$9*TAN(RADIANS(A799)))</f>
        <v/>
      </c>
      <c r="D799" s="12">
        <f>IF(C799="","",C799*(1+B799/100))</f>
        <v/>
      </c>
      <c r="E799" s="12">
        <f>IF(A799="","",$B$10*TAN(RADIANS(A799)))</f>
        <v/>
      </c>
    </row>
    <row r="800">
      <c r="A800" s="11" t="n"/>
      <c r="B800" s="11" t="n"/>
      <c r="C800" s="12">
        <f>IF(A800="","",$B$9*TAN(RADIANS(A800)))</f>
        <v/>
      </c>
      <c r="D800" s="12">
        <f>IF(C800="","",C800*(1+B800/100))</f>
        <v/>
      </c>
      <c r="E800" s="12">
        <f>IF(A800="","",$B$10*TAN(RADIANS(A800)))</f>
        <v/>
      </c>
    </row>
    <row r="801">
      <c r="A801" s="11" t="n"/>
      <c r="B801" s="11" t="n"/>
      <c r="C801" s="12">
        <f>IF(A801="","",$B$9*TAN(RADIANS(A801)))</f>
        <v/>
      </c>
      <c r="D801" s="12">
        <f>IF(C801="","",C801*(1+B801/100))</f>
        <v/>
      </c>
      <c r="E801" s="12">
        <f>IF(A801="","",$B$10*TAN(RADIANS(A801)))</f>
        <v/>
      </c>
    </row>
    <row r="802">
      <c r="A802" s="11" t="n"/>
      <c r="B802" s="11" t="n"/>
      <c r="C802" s="12">
        <f>IF(A802="","",$B$9*TAN(RADIANS(A802)))</f>
        <v/>
      </c>
      <c r="D802" s="12">
        <f>IF(C802="","",C802*(1+B802/100))</f>
        <v/>
      </c>
      <c r="E802" s="12">
        <f>IF(A802="","",$B$10*TAN(RADIANS(A802)))</f>
        <v/>
      </c>
    </row>
    <row r="803">
      <c r="A803" s="11" t="n"/>
      <c r="B803" s="11" t="n"/>
      <c r="C803" s="12">
        <f>IF(A803="","",$B$9*TAN(RADIANS(A803)))</f>
        <v/>
      </c>
      <c r="D803" s="12">
        <f>IF(C803="","",C803*(1+B803/100))</f>
        <v/>
      </c>
      <c r="E803" s="12">
        <f>IF(A803="","",$B$10*TAN(RADIANS(A803)))</f>
        <v/>
      </c>
    </row>
    <row r="804">
      <c r="A804" s="11" t="n"/>
      <c r="B804" s="11" t="n"/>
      <c r="C804" s="12">
        <f>IF(A804="","",$B$9*TAN(RADIANS(A804)))</f>
        <v/>
      </c>
      <c r="D804" s="12">
        <f>IF(C804="","",C804*(1+B804/100))</f>
        <v/>
      </c>
      <c r="E804" s="12">
        <f>IF(A804="","",$B$10*TAN(RADIANS(A804)))</f>
        <v/>
      </c>
    </row>
    <row r="805">
      <c r="A805" s="11" t="n"/>
      <c r="B805" s="11" t="n"/>
      <c r="C805" s="12">
        <f>IF(A805="","",$B$9*TAN(RADIANS(A805)))</f>
        <v/>
      </c>
      <c r="D805" s="12">
        <f>IF(C805="","",C805*(1+B805/100))</f>
        <v/>
      </c>
      <c r="E805" s="12">
        <f>IF(A805="","",$B$10*TAN(RADIANS(A805)))</f>
        <v/>
      </c>
    </row>
    <row r="806">
      <c r="A806" s="11" t="n"/>
      <c r="B806" s="11" t="n"/>
      <c r="C806" s="12">
        <f>IF(A806="","",$B$9*TAN(RADIANS(A806)))</f>
        <v/>
      </c>
      <c r="D806" s="12">
        <f>IF(C806="","",C806*(1+B806/100))</f>
        <v/>
      </c>
      <c r="E806" s="12">
        <f>IF(A806="","",$B$10*TAN(RADIANS(A806)))</f>
        <v/>
      </c>
    </row>
    <row r="807">
      <c r="A807" s="11" t="n"/>
      <c r="B807" s="11" t="n"/>
      <c r="C807" s="12">
        <f>IF(A807="","",$B$9*TAN(RADIANS(A807)))</f>
        <v/>
      </c>
      <c r="D807" s="12">
        <f>IF(C807="","",C807*(1+B807/100))</f>
        <v/>
      </c>
      <c r="E807" s="12">
        <f>IF(A807="","",$B$10*TAN(RADIANS(A807)))</f>
        <v/>
      </c>
    </row>
    <row r="808">
      <c r="A808" s="11" t="n"/>
      <c r="B808" s="11" t="n"/>
      <c r="C808" s="12">
        <f>IF(A808="","",$B$9*TAN(RADIANS(A808)))</f>
        <v/>
      </c>
      <c r="D808" s="12">
        <f>IF(C808="","",C808*(1+B808/100))</f>
        <v/>
      </c>
      <c r="E808" s="12">
        <f>IF(A808="","",$B$10*TAN(RADIANS(A808)))</f>
        <v/>
      </c>
    </row>
    <row r="809">
      <c r="A809" s="11" t="n"/>
      <c r="B809" s="11" t="n"/>
      <c r="C809" s="12">
        <f>IF(A809="","",$B$9*TAN(RADIANS(A809)))</f>
        <v/>
      </c>
      <c r="D809" s="12">
        <f>IF(C809="","",C809*(1+B809/100))</f>
        <v/>
      </c>
      <c r="E809" s="12">
        <f>IF(A809="","",$B$10*TAN(RADIANS(A809)))</f>
        <v/>
      </c>
    </row>
    <row r="810">
      <c r="A810" s="11" t="n"/>
      <c r="B810" s="11" t="n"/>
      <c r="C810" s="12">
        <f>IF(A810="","",$B$9*TAN(RADIANS(A810)))</f>
        <v/>
      </c>
      <c r="D810" s="12">
        <f>IF(C810="","",C810*(1+B810/100))</f>
        <v/>
      </c>
      <c r="E810" s="12">
        <f>IF(A810="","",$B$10*TAN(RADIANS(A810)))</f>
        <v/>
      </c>
    </row>
    <row r="811">
      <c r="A811" s="11" t="n"/>
      <c r="B811" s="11" t="n"/>
      <c r="C811" s="12">
        <f>IF(A811="","",$B$9*TAN(RADIANS(A811)))</f>
        <v/>
      </c>
      <c r="D811" s="12">
        <f>IF(C811="","",C811*(1+B811/100))</f>
        <v/>
      </c>
      <c r="E811" s="12">
        <f>IF(A811="","",$B$10*TAN(RADIANS(A811)))</f>
        <v/>
      </c>
    </row>
    <row r="812">
      <c r="A812" s="11" t="n"/>
      <c r="B812" s="11" t="n"/>
      <c r="C812" s="12">
        <f>IF(A812="","",$B$9*TAN(RADIANS(A812)))</f>
        <v/>
      </c>
      <c r="D812" s="12">
        <f>IF(C812="","",C812*(1+B812/100))</f>
        <v/>
      </c>
      <c r="E812" s="12">
        <f>IF(A812="","",$B$10*TAN(RADIANS(A812)))</f>
        <v/>
      </c>
    </row>
    <row r="813">
      <c r="A813" s="11" t="n"/>
      <c r="B813" s="11" t="n"/>
      <c r="C813" s="12">
        <f>IF(A813="","",$B$9*TAN(RADIANS(A813)))</f>
        <v/>
      </c>
      <c r="D813" s="12">
        <f>IF(C813="","",C813*(1+B813/100))</f>
        <v/>
      </c>
      <c r="E813" s="12">
        <f>IF(A813="","",$B$10*TAN(RADIANS(A813)))</f>
        <v/>
      </c>
    </row>
    <row r="814">
      <c r="A814" s="11" t="n"/>
      <c r="B814" s="11" t="n"/>
      <c r="C814" s="12">
        <f>IF(A814="","",$B$9*TAN(RADIANS(A814)))</f>
        <v/>
      </c>
      <c r="D814" s="12">
        <f>IF(C814="","",C814*(1+B814/100))</f>
        <v/>
      </c>
      <c r="E814" s="12">
        <f>IF(A814="","",$B$10*TAN(RADIANS(A814)))</f>
        <v/>
      </c>
    </row>
    <row r="815">
      <c r="A815" s="11" t="n"/>
      <c r="B815" s="11" t="n"/>
      <c r="C815" s="12">
        <f>IF(A815="","",$B$9*TAN(RADIANS(A815)))</f>
        <v/>
      </c>
      <c r="D815" s="12">
        <f>IF(C815="","",C815*(1+B815/100))</f>
        <v/>
      </c>
      <c r="E815" s="12">
        <f>IF(A815="","",$B$10*TAN(RADIANS(A815)))</f>
        <v/>
      </c>
    </row>
    <row r="816">
      <c r="A816" s="11" t="n"/>
      <c r="B816" s="11" t="n"/>
      <c r="C816" s="12">
        <f>IF(A816="","",$B$9*TAN(RADIANS(A816)))</f>
        <v/>
      </c>
      <c r="D816" s="12">
        <f>IF(C816="","",C816*(1+B816/100))</f>
        <v/>
      </c>
      <c r="E816" s="12">
        <f>IF(A816="","",$B$10*TAN(RADIANS(A816)))</f>
        <v/>
      </c>
    </row>
    <row r="817">
      <c r="A817" s="11" t="n"/>
      <c r="B817" s="11" t="n"/>
      <c r="C817" s="12">
        <f>IF(A817="","",$B$9*TAN(RADIANS(A817)))</f>
        <v/>
      </c>
      <c r="D817" s="12">
        <f>IF(C817="","",C817*(1+B817/100))</f>
        <v/>
      </c>
      <c r="E817" s="12">
        <f>IF(A817="","",$B$10*TAN(RADIANS(A817)))</f>
        <v/>
      </c>
    </row>
    <row r="818">
      <c r="A818" s="11" t="n"/>
      <c r="B818" s="11" t="n"/>
      <c r="C818" s="12">
        <f>IF(A818="","",$B$9*TAN(RADIANS(A818)))</f>
        <v/>
      </c>
      <c r="D818" s="12">
        <f>IF(C818="","",C818*(1+B818/100))</f>
        <v/>
      </c>
      <c r="E818" s="12">
        <f>IF(A818="","",$B$10*TAN(RADIANS(A818)))</f>
        <v/>
      </c>
    </row>
    <row r="819">
      <c r="A819" s="11" t="n"/>
      <c r="B819" s="11" t="n"/>
      <c r="C819" s="12">
        <f>IF(A819="","",$B$9*TAN(RADIANS(A819)))</f>
        <v/>
      </c>
      <c r="D819" s="12">
        <f>IF(C819="","",C819*(1+B819/100))</f>
        <v/>
      </c>
      <c r="E819" s="12">
        <f>IF(A819="","",$B$10*TAN(RADIANS(A819)))</f>
        <v/>
      </c>
    </row>
    <row r="820">
      <c r="A820" s="11" t="n"/>
      <c r="B820" s="11" t="n"/>
      <c r="C820" s="12">
        <f>IF(A820="","",$B$9*TAN(RADIANS(A820)))</f>
        <v/>
      </c>
      <c r="D820" s="12">
        <f>IF(C820="","",C820*(1+B820/100))</f>
        <v/>
      </c>
      <c r="E820" s="12">
        <f>IF(A820="","",$B$10*TAN(RADIANS(A820)))</f>
        <v/>
      </c>
    </row>
    <row r="821">
      <c r="A821" s="11" t="n"/>
      <c r="B821" s="11" t="n"/>
      <c r="C821" s="12">
        <f>IF(A821="","",$B$9*TAN(RADIANS(A821)))</f>
        <v/>
      </c>
      <c r="D821" s="12">
        <f>IF(C821="","",C821*(1+B821/100))</f>
        <v/>
      </c>
      <c r="E821" s="12">
        <f>IF(A821="","",$B$10*TAN(RADIANS(A821)))</f>
        <v/>
      </c>
    </row>
    <row r="822">
      <c r="A822" s="11" t="n"/>
      <c r="B822" s="11" t="n"/>
      <c r="C822" s="12">
        <f>IF(A822="","",$B$9*TAN(RADIANS(A822)))</f>
        <v/>
      </c>
      <c r="D822" s="12">
        <f>IF(C822="","",C822*(1+B822/100))</f>
        <v/>
      </c>
      <c r="E822" s="12">
        <f>IF(A822="","",$B$10*TAN(RADIANS(A822)))</f>
        <v/>
      </c>
    </row>
    <row r="823">
      <c r="A823" s="11" t="n"/>
      <c r="B823" s="11" t="n"/>
      <c r="C823" s="12">
        <f>IF(A823="","",$B$9*TAN(RADIANS(A823)))</f>
        <v/>
      </c>
      <c r="D823" s="12">
        <f>IF(C823="","",C823*(1+B823/100))</f>
        <v/>
      </c>
      <c r="E823" s="12">
        <f>IF(A823="","",$B$10*TAN(RADIANS(A823)))</f>
        <v/>
      </c>
    </row>
    <row r="824">
      <c r="A824" s="11" t="n"/>
      <c r="B824" s="11" t="n"/>
      <c r="C824" s="12">
        <f>IF(A824="","",$B$9*TAN(RADIANS(A824)))</f>
        <v/>
      </c>
      <c r="D824" s="12">
        <f>IF(C824="","",C824*(1+B824/100))</f>
        <v/>
      </c>
      <c r="E824" s="12">
        <f>IF(A824="","",$B$10*TAN(RADIANS(A824)))</f>
        <v/>
      </c>
    </row>
    <row r="825">
      <c r="A825" s="11" t="n"/>
      <c r="B825" s="11" t="n"/>
      <c r="C825" s="12">
        <f>IF(A825="","",$B$9*TAN(RADIANS(A825)))</f>
        <v/>
      </c>
      <c r="D825" s="12">
        <f>IF(C825="","",C825*(1+B825/100))</f>
        <v/>
      </c>
      <c r="E825" s="12">
        <f>IF(A825="","",$B$10*TAN(RADIANS(A825)))</f>
        <v/>
      </c>
    </row>
    <row r="826">
      <c r="A826" s="11" t="n"/>
      <c r="B826" s="11" t="n"/>
      <c r="C826" s="12">
        <f>IF(A826="","",$B$9*TAN(RADIANS(A826)))</f>
        <v/>
      </c>
      <c r="D826" s="12">
        <f>IF(C826="","",C826*(1+B826/100))</f>
        <v/>
      </c>
      <c r="E826" s="12">
        <f>IF(A826="","",$B$10*TAN(RADIANS(A826)))</f>
        <v/>
      </c>
    </row>
    <row r="827">
      <c r="A827" s="11" t="n"/>
      <c r="B827" s="11" t="n"/>
      <c r="C827" s="12">
        <f>IF(A827="","",$B$9*TAN(RADIANS(A827)))</f>
        <v/>
      </c>
      <c r="D827" s="12">
        <f>IF(C827="","",C827*(1+B827/100))</f>
        <v/>
      </c>
      <c r="E827" s="12">
        <f>IF(A827="","",$B$10*TAN(RADIANS(A827)))</f>
        <v/>
      </c>
    </row>
    <row r="828">
      <c r="A828" s="11" t="n"/>
      <c r="B828" s="11" t="n"/>
      <c r="C828" s="12">
        <f>IF(A828="","",$B$9*TAN(RADIANS(A828)))</f>
        <v/>
      </c>
      <c r="D828" s="12">
        <f>IF(C828="","",C828*(1+B828/100))</f>
        <v/>
      </c>
      <c r="E828" s="12">
        <f>IF(A828="","",$B$10*TAN(RADIANS(A828)))</f>
        <v/>
      </c>
    </row>
    <row r="829">
      <c r="A829" s="11" t="n"/>
      <c r="B829" s="11" t="n"/>
      <c r="C829" s="12">
        <f>IF(A829="","",$B$9*TAN(RADIANS(A829)))</f>
        <v/>
      </c>
      <c r="D829" s="12">
        <f>IF(C829="","",C829*(1+B829/100))</f>
        <v/>
      </c>
      <c r="E829" s="12">
        <f>IF(A829="","",$B$10*TAN(RADIANS(A829)))</f>
        <v/>
      </c>
    </row>
    <row r="830">
      <c r="A830" s="11" t="n"/>
      <c r="B830" s="11" t="n"/>
      <c r="C830" s="12">
        <f>IF(A830="","",$B$9*TAN(RADIANS(A830)))</f>
        <v/>
      </c>
      <c r="D830" s="12">
        <f>IF(C830="","",C830*(1+B830/100))</f>
        <v/>
      </c>
      <c r="E830" s="12">
        <f>IF(A830="","",$B$10*TAN(RADIANS(A830)))</f>
        <v/>
      </c>
    </row>
    <row r="831">
      <c r="A831" s="11" t="n"/>
      <c r="B831" s="11" t="n"/>
      <c r="C831" s="12">
        <f>IF(A831="","",$B$9*TAN(RADIANS(A831)))</f>
        <v/>
      </c>
      <c r="D831" s="12">
        <f>IF(C831="","",C831*(1+B831/100))</f>
        <v/>
      </c>
      <c r="E831" s="12">
        <f>IF(A831="","",$B$10*TAN(RADIANS(A831)))</f>
        <v/>
      </c>
    </row>
    <row r="832">
      <c r="A832" s="11" t="n"/>
      <c r="B832" s="11" t="n"/>
      <c r="C832" s="12">
        <f>IF(A832="","",$B$9*TAN(RADIANS(A832)))</f>
        <v/>
      </c>
      <c r="D832" s="12">
        <f>IF(C832="","",C832*(1+B832/100))</f>
        <v/>
      </c>
      <c r="E832" s="12">
        <f>IF(A832="","",$B$10*TAN(RADIANS(A832)))</f>
        <v/>
      </c>
    </row>
    <row r="833">
      <c r="A833" s="11" t="n"/>
      <c r="B833" s="11" t="n"/>
      <c r="C833" s="12">
        <f>IF(A833="","",$B$9*TAN(RADIANS(A833)))</f>
        <v/>
      </c>
      <c r="D833" s="12">
        <f>IF(C833="","",C833*(1+B833/100))</f>
        <v/>
      </c>
      <c r="E833" s="12">
        <f>IF(A833="","",$B$10*TAN(RADIANS(A833)))</f>
        <v/>
      </c>
    </row>
    <row r="834">
      <c r="A834" s="11" t="n"/>
      <c r="B834" s="11" t="n"/>
      <c r="C834" s="12">
        <f>IF(A834="","",$B$9*TAN(RADIANS(A834)))</f>
        <v/>
      </c>
      <c r="D834" s="12">
        <f>IF(C834="","",C834*(1+B834/100))</f>
        <v/>
      </c>
      <c r="E834" s="12">
        <f>IF(A834="","",$B$10*TAN(RADIANS(A834)))</f>
        <v/>
      </c>
    </row>
    <row r="835">
      <c r="A835" s="11" t="n"/>
      <c r="B835" s="11" t="n"/>
      <c r="C835" s="12">
        <f>IF(A835="","",$B$9*TAN(RADIANS(A835)))</f>
        <v/>
      </c>
      <c r="D835" s="12">
        <f>IF(C835="","",C835*(1+B835/100))</f>
        <v/>
      </c>
      <c r="E835" s="12">
        <f>IF(A835="","",$B$10*TAN(RADIANS(A835)))</f>
        <v/>
      </c>
    </row>
    <row r="836">
      <c r="A836" s="11" t="n"/>
      <c r="B836" s="11" t="n"/>
      <c r="C836" s="12">
        <f>IF(A836="","",$B$9*TAN(RADIANS(A836)))</f>
        <v/>
      </c>
      <c r="D836" s="12">
        <f>IF(C836="","",C836*(1+B836/100))</f>
        <v/>
      </c>
      <c r="E836" s="12">
        <f>IF(A836="","",$B$10*TAN(RADIANS(A836)))</f>
        <v/>
      </c>
    </row>
    <row r="837">
      <c r="A837" s="11" t="n"/>
      <c r="B837" s="11" t="n"/>
      <c r="C837" s="12">
        <f>IF(A837="","",$B$9*TAN(RADIANS(A837)))</f>
        <v/>
      </c>
      <c r="D837" s="12">
        <f>IF(C837="","",C837*(1+B837/100))</f>
        <v/>
      </c>
      <c r="E837" s="12">
        <f>IF(A837="","",$B$10*TAN(RADIANS(A837)))</f>
        <v/>
      </c>
    </row>
    <row r="838">
      <c r="A838" s="11" t="n"/>
      <c r="B838" s="11" t="n"/>
      <c r="C838" s="12">
        <f>IF(A838="","",$B$9*TAN(RADIANS(A838)))</f>
        <v/>
      </c>
      <c r="D838" s="12">
        <f>IF(C838="","",C838*(1+B838/100))</f>
        <v/>
      </c>
      <c r="E838" s="12">
        <f>IF(A838="","",$B$10*TAN(RADIANS(A838)))</f>
        <v/>
      </c>
    </row>
    <row r="839">
      <c r="A839" s="11" t="n"/>
      <c r="B839" s="11" t="n"/>
      <c r="C839" s="12">
        <f>IF(A839="","",$B$9*TAN(RADIANS(A839)))</f>
        <v/>
      </c>
      <c r="D839" s="12">
        <f>IF(C839="","",C839*(1+B839/100))</f>
        <v/>
      </c>
      <c r="E839" s="12">
        <f>IF(A839="","",$B$10*TAN(RADIANS(A839)))</f>
        <v/>
      </c>
    </row>
    <row r="840">
      <c r="A840" s="11" t="n"/>
      <c r="B840" s="11" t="n"/>
      <c r="C840" s="12">
        <f>IF(A840="","",$B$9*TAN(RADIANS(A840)))</f>
        <v/>
      </c>
      <c r="D840" s="12">
        <f>IF(C840="","",C840*(1+B840/100))</f>
        <v/>
      </c>
      <c r="E840" s="12">
        <f>IF(A840="","",$B$10*TAN(RADIANS(A840)))</f>
        <v/>
      </c>
    </row>
    <row r="841">
      <c r="A841" s="11" t="n"/>
      <c r="B841" s="11" t="n"/>
      <c r="C841" s="12">
        <f>IF(A841="","",$B$9*TAN(RADIANS(A841)))</f>
        <v/>
      </c>
      <c r="D841" s="12">
        <f>IF(C841="","",C841*(1+B841/100))</f>
        <v/>
      </c>
      <c r="E841" s="12">
        <f>IF(A841="","",$B$10*TAN(RADIANS(A841)))</f>
        <v/>
      </c>
    </row>
    <row r="842">
      <c r="A842" s="11" t="n"/>
      <c r="B842" s="11" t="n"/>
      <c r="C842" s="12">
        <f>IF(A842="","",$B$9*TAN(RADIANS(A842)))</f>
        <v/>
      </c>
      <c r="D842" s="12">
        <f>IF(C842="","",C842*(1+B842/100))</f>
        <v/>
      </c>
      <c r="E842" s="12">
        <f>IF(A842="","",$B$10*TAN(RADIANS(A842)))</f>
        <v/>
      </c>
    </row>
    <row r="843">
      <c r="A843" s="11" t="n"/>
      <c r="B843" s="11" t="n"/>
      <c r="C843" s="12">
        <f>IF(A843="","",$B$9*TAN(RADIANS(A843)))</f>
        <v/>
      </c>
      <c r="D843" s="12">
        <f>IF(C843="","",C843*(1+B843/100))</f>
        <v/>
      </c>
      <c r="E843" s="12">
        <f>IF(A843="","",$B$10*TAN(RADIANS(A843)))</f>
        <v/>
      </c>
    </row>
    <row r="844">
      <c r="A844" s="11" t="n"/>
      <c r="B844" s="11" t="n"/>
      <c r="C844" s="12">
        <f>IF(A844="","",$B$9*TAN(RADIANS(A844)))</f>
        <v/>
      </c>
      <c r="D844" s="12">
        <f>IF(C844="","",C844*(1+B844/100))</f>
        <v/>
      </c>
      <c r="E844" s="12">
        <f>IF(A844="","",$B$10*TAN(RADIANS(A844)))</f>
        <v/>
      </c>
    </row>
    <row r="845">
      <c r="A845" s="11" t="n"/>
      <c r="B845" s="11" t="n"/>
      <c r="C845" s="12">
        <f>IF(A845="","",$B$9*TAN(RADIANS(A845)))</f>
        <v/>
      </c>
      <c r="D845" s="12">
        <f>IF(C845="","",C845*(1+B845/100))</f>
        <v/>
      </c>
      <c r="E845" s="12">
        <f>IF(A845="","",$B$10*TAN(RADIANS(A845)))</f>
        <v/>
      </c>
    </row>
    <row r="846">
      <c r="A846" s="11" t="n"/>
      <c r="B846" s="11" t="n"/>
      <c r="C846" s="12">
        <f>IF(A846="","",$B$9*TAN(RADIANS(A846)))</f>
        <v/>
      </c>
      <c r="D846" s="12">
        <f>IF(C846="","",C846*(1+B846/100))</f>
        <v/>
      </c>
      <c r="E846" s="12">
        <f>IF(A846="","",$B$10*TAN(RADIANS(A846)))</f>
        <v/>
      </c>
    </row>
    <row r="847">
      <c r="A847" s="11" t="n"/>
      <c r="B847" s="11" t="n"/>
      <c r="C847" s="12">
        <f>IF(A847="","",$B$9*TAN(RADIANS(A847)))</f>
        <v/>
      </c>
      <c r="D847" s="12">
        <f>IF(C847="","",C847*(1+B847/100))</f>
        <v/>
      </c>
      <c r="E847" s="12">
        <f>IF(A847="","",$B$10*TAN(RADIANS(A847)))</f>
        <v/>
      </c>
    </row>
    <row r="848">
      <c r="A848" s="11" t="n"/>
      <c r="B848" s="11" t="n"/>
      <c r="C848" s="12">
        <f>IF(A848="","",$B$9*TAN(RADIANS(A848)))</f>
        <v/>
      </c>
      <c r="D848" s="12">
        <f>IF(C848="","",C848*(1+B848/100))</f>
        <v/>
      </c>
      <c r="E848" s="12">
        <f>IF(A848="","",$B$10*TAN(RADIANS(A848)))</f>
        <v/>
      </c>
    </row>
    <row r="849">
      <c r="A849" s="11" t="n"/>
      <c r="B849" s="11" t="n"/>
      <c r="C849" s="12">
        <f>IF(A849="","",$B$9*TAN(RADIANS(A849)))</f>
        <v/>
      </c>
      <c r="D849" s="12">
        <f>IF(C849="","",C849*(1+B849/100))</f>
        <v/>
      </c>
      <c r="E849" s="12">
        <f>IF(A849="","",$B$10*TAN(RADIANS(A849)))</f>
        <v/>
      </c>
    </row>
    <row r="850">
      <c r="A850" s="11" t="n"/>
      <c r="B850" s="11" t="n"/>
      <c r="C850" s="12">
        <f>IF(A850="","",$B$9*TAN(RADIANS(A850)))</f>
        <v/>
      </c>
      <c r="D850" s="12">
        <f>IF(C850="","",C850*(1+B850/100))</f>
        <v/>
      </c>
      <c r="E850" s="12">
        <f>IF(A850="","",$B$10*TAN(RADIANS(A850)))</f>
        <v/>
      </c>
    </row>
    <row r="851">
      <c r="A851" s="11" t="n"/>
      <c r="B851" s="11" t="n"/>
      <c r="C851" s="12">
        <f>IF(A851="","",$B$9*TAN(RADIANS(A851)))</f>
        <v/>
      </c>
      <c r="D851" s="12">
        <f>IF(C851="","",C851*(1+B851/100))</f>
        <v/>
      </c>
      <c r="E851" s="12">
        <f>IF(A851="","",$B$10*TAN(RADIANS(A851)))</f>
        <v/>
      </c>
    </row>
    <row r="852">
      <c r="A852" s="11" t="n"/>
      <c r="B852" s="11" t="n"/>
      <c r="C852" s="12">
        <f>IF(A852="","",$B$9*TAN(RADIANS(A852)))</f>
        <v/>
      </c>
      <c r="D852" s="12">
        <f>IF(C852="","",C852*(1+B852/100))</f>
        <v/>
      </c>
      <c r="E852" s="12">
        <f>IF(A852="","",$B$10*TAN(RADIANS(A852)))</f>
        <v/>
      </c>
    </row>
    <row r="853">
      <c r="A853" s="11" t="n"/>
      <c r="B853" s="11" t="n"/>
      <c r="C853" s="12">
        <f>IF(A853="","",$B$9*TAN(RADIANS(A853)))</f>
        <v/>
      </c>
      <c r="D853" s="12">
        <f>IF(C853="","",C853*(1+B853/100))</f>
        <v/>
      </c>
      <c r="E853" s="12">
        <f>IF(A853="","",$B$10*TAN(RADIANS(A853)))</f>
        <v/>
      </c>
    </row>
    <row r="854">
      <c r="A854" s="11" t="n"/>
      <c r="B854" s="11" t="n"/>
      <c r="C854" s="12">
        <f>IF(A854="","",$B$9*TAN(RADIANS(A854)))</f>
        <v/>
      </c>
      <c r="D854" s="12">
        <f>IF(C854="","",C854*(1+B854/100))</f>
        <v/>
      </c>
      <c r="E854" s="12">
        <f>IF(A854="","",$B$10*TAN(RADIANS(A854)))</f>
        <v/>
      </c>
    </row>
    <row r="855">
      <c r="A855" s="11" t="n"/>
      <c r="B855" s="11" t="n"/>
      <c r="C855" s="12">
        <f>IF(A855="","",$B$9*TAN(RADIANS(A855)))</f>
        <v/>
      </c>
      <c r="D855" s="12">
        <f>IF(C855="","",C855*(1+B855/100))</f>
        <v/>
      </c>
      <c r="E855" s="12">
        <f>IF(A855="","",$B$10*TAN(RADIANS(A855)))</f>
        <v/>
      </c>
    </row>
    <row r="856">
      <c r="A856" s="11" t="n"/>
      <c r="B856" s="11" t="n"/>
      <c r="C856" s="12">
        <f>IF(A856="","",$B$9*TAN(RADIANS(A856)))</f>
        <v/>
      </c>
      <c r="D856" s="12">
        <f>IF(C856="","",C856*(1+B856/100))</f>
        <v/>
      </c>
      <c r="E856" s="12">
        <f>IF(A856="","",$B$10*TAN(RADIANS(A856)))</f>
        <v/>
      </c>
    </row>
    <row r="857">
      <c r="A857" s="11" t="n"/>
      <c r="B857" s="11" t="n"/>
      <c r="C857" s="12">
        <f>IF(A857="","",$B$9*TAN(RADIANS(A857)))</f>
        <v/>
      </c>
      <c r="D857" s="12">
        <f>IF(C857="","",C857*(1+B857/100))</f>
        <v/>
      </c>
      <c r="E857" s="12">
        <f>IF(A857="","",$B$10*TAN(RADIANS(A857)))</f>
        <v/>
      </c>
    </row>
    <row r="858">
      <c r="A858" s="11" t="n"/>
      <c r="B858" s="11" t="n"/>
      <c r="C858" s="12">
        <f>IF(A858="","",$B$9*TAN(RADIANS(A858)))</f>
        <v/>
      </c>
      <c r="D858" s="12">
        <f>IF(C858="","",C858*(1+B858/100))</f>
        <v/>
      </c>
      <c r="E858" s="12">
        <f>IF(A858="","",$B$10*TAN(RADIANS(A858)))</f>
        <v/>
      </c>
    </row>
    <row r="859">
      <c r="A859" s="11" t="n"/>
      <c r="B859" s="11" t="n"/>
      <c r="C859" s="12">
        <f>IF(A859="","",$B$9*TAN(RADIANS(A859)))</f>
        <v/>
      </c>
      <c r="D859" s="12">
        <f>IF(C859="","",C859*(1+B859/100))</f>
        <v/>
      </c>
      <c r="E859" s="12">
        <f>IF(A859="","",$B$10*TAN(RADIANS(A859)))</f>
        <v/>
      </c>
    </row>
    <row r="860">
      <c r="A860" s="11" t="n"/>
      <c r="B860" s="11" t="n"/>
      <c r="C860" s="12">
        <f>IF(A860="","",$B$9*TAN(RADIANS(A860)))</f>
        <v/>
      </c>
      <c r="D860" s="12">
        <f>IF(C860="","",C860*(1+B860/100))</f>
        <v/>
      </c>
      <c r="E860" s="12">
        <f>IF(A860="","",$B$10*TAN(RADIANS(A860)))</f>
        <v/>
      </c>
    </row>
    <row r="861">
      <c r="A861" s="11" t="n"/>
      <c r="B861" s="11" t="n"/>
      <c r="C861" s="12">
        <f>IF(A861="","",$B$9*TAN(RADIANS(A861)))</f>
        <v/>
      </c>
      <c r="D861" s="12">
        <f>IF(C861="","",C861*(1+B861/100))</f>
        <v/>
      </c>
      <c r="E861" s="12">
        <f>IF(A861="","",$B$10*TAN(RADIANS(A861)))</f>
        <v/>
      </c>
    </row>
    <row r="862">
      <c r="A862" s="11" t="n"/>
      <c r="B862" s="11" t="n"/>
      <c r="C862" s="12">
        <f>IF(A862="","",$B$9*TAN(RADIANS(A862)))</f>
        <v/>
      </c>
      <c r="D862" s="12">
        <f>IF(C862="","",C862*(1+B862/100))</f>
        <v/>
      </c>
      <c r="E862" s="12">
        <f>IF(A862="","",$B$10*TAN(RADIANS(A862)))</f>
        <v/>
      </c>
    </row>
    <row r="863">
      <c r="A863" s="11" t="n"/>
      <c r="B863" s="11" t="n"/>
      <c r="C863" s="12">
        <f>IF(A863="","",$B$9*TAN(RADIANS(A863)))</f>
        <v/>
      </c>
      <c r="D863" s="12">
        <f>IF(C863="","",C863*(1+B863/100))</f>
        <v/>
      </c>
      <c r="E863" s="12">
        <f>IF(A863="","",$B$10*TAN(RADIANS(A863)))</f>
        <v/>
      </c>
    </row>
    <row r="864">
      <c r="A864" s="11" t="n"/>
      <c r="B864" s="11" t="n"/>
      <c r="C864" s="12">
        <f>IF(A864="","",$B$9*TAN(RADIANS(A864)))</f>
        <v/>
      </c>
      <c r="D864" s="12">
        <f>IF(C864="","",C864*(1+B864/100))</f>
        <v/>
      </c>
      <c r="E864" s="12">
        <f>IF(A864="","",$B$10*TAN(RADIANS(A864)))</f>
        <v/>
      </c>
    </row>
    <row r="865">
      <c r="A865" s="11" t="n"/>
      <c r="B865" s="11" t="n"/>
      <c r="C865" s="12">
        <f>IF(A865="","",$B$9*TAN(RADIANS(A865)))</f>
        <v/>
      </c>
      <c r="D865" s="12">
        <f>IF(C865="","",C865*(1+B865/100))</f>
        <v/>
      </c>
      <c r="E865" s="12">
        <f>IF(A865="","",$B$10*TAN(RADIANS(A865)))</f>
        <v/>
      </c>
    </row>
    <row r="866">
      <c r="A866" s="11" t="n"/>
      <c r="B866" s="11" t="n"/>
      <c r="C866" s="12">
        <f>IF(A866="","",$B$9*TAN(RADIANS(A866)))</f>
        <v/>
      </c>
      <c r="D866" s="12">
        <f>IF(C866="","",C866*(1+B866/100))</f>
        <v/>
      </c>
      <c r="E866" s="12">
        <f>IF(A866="","",$B$10*TAN(RADIANS(A866)))</f>
        <v/>
      </c>
    </row>
    <row r="867">
      <c r="A867" s="11" t="n"/>
      <c r="B867" s="11" t="n"/>
      <c r="C867" s="12">
        <f>IF(A867="","",$B$9*TAN(RADIANS(A867)))</f>
        <v/>
      </c>
      <c r="D867" s="12">
        <f>IF(C867="","",C867*(1+B867/100))</f>
        <v/>
      </c>
      <c r="E867" s="12">
        <f>IF(A867="","",$B$10*TAN(RADIANS(A867)))</f>
        <v/>
      </c>
    </row>
    <row r="868">
      <c r="A868" s="11" t="n"/>
      <c r="B868" s="11" t="n"/>
      <c r="C868" s="12">
        <f>IF(A868="","",$B$9*TAN(RADIANS(A868)))</f>
        <v/>
      </c>
      <c r="D868" s="12">
        <f>IF(C868="","",C868*(1+B868/100))</f>
        <v/>
      </c>
      <c r="E868" s="12">
        <f>IF(A868="","",$B$10*TAN(RADIANS(A868)))</f>
        <v/>
      </c>
    </row>
    <row r="869">
      <c r="A869" s="11" t="n"/>
      <c r="B869" s="11" t="n"/>
      <c r="C869" s="12">
        <f>IF(A869="","",$B$9*TAN(RADIANS(A869)))</f>
        <v/>
      </c>
      <c r="D869" s="12">
        <f>IF(C869="","",C869*(1+B869/100))</f>
        <v/>
      </c>
      <c r="E869" s="12">
        <f>IF(A869="","",$B$10*TAN(RADIANS(A869)))</f>
        <v/>
      </c>
    </row>
    <row r="870">
      <c r="A870" s="11" t="n"/>
      <c r="B870" s="11" t="n"/>
      <c r="C870" s="12">
        <f>IF(A870="","",$B$9*TAN(RADIANS(A870)))</f>
        <v/>
      </c>
      <c r="D870" s="12">
        <f>IF(C870="","",C870*(1+B870/100))</f>
        <v/>
      </c>
      <c r="E870" s="12">
        <f>IF(A870="","",$B$10*TAN(RADIANS(A870)))</f>
        <v/>
      </c>
    </row>
    <row r="871">
      <c r="A871" s="11" t="n"/>
      <c r="B871" s="11" t="n"/>
      <c r="C871" s="12">
        <f>IF(A871="","",$B$9*TAN(RADIANS(A871)))</f>
        <v/>
      </c>
      <c r="D871" s="12">
        <f>IF(C871="","",C871*(1+B871/100))</f>
        <v/>
      </c>
      <c r="E871" s="12">
        <f>IF(A871="","",$B$10*TAN(RADIANS(A871)))</f>
        <v/>
      </c>
    </row>
    <row r="872">
      <c r="A872" s="11" t="n"/>
      <c r="B872" s="11" t="n"/>
      <c r="C872" s="12">
        <f>IF(A872="","",$B$9*TAN(RADIANS(A872)))</f>
        <v/>
      </c>
      <c r="D872" s="12">
        <f>IF(C872="","",C872*(1+B872/100))</f>
        <v/>
      </c>
      <c r="E872" s="12">
        <f>IF(A872="","",$B$10*TAN(RADIANS(A872)))</f>
        <v/>
      </c>
    </row>
    <row r="873">
      <c r="A873" s="11" t="n"/>
      <c r="B873" s="11" t="n"/>
      <c r="C873" s="12">
        <f>IF(A873="","",$B$9*TAN(RADIANS(A873)))</f>
        <v/>
      </c>
      <c r="D873" s="12">
        <f>IF(C873="","",C873*(1+B873/100))</f>
        <v/>
      </c>
      <c r="E873" s="12">
        <f>IF(A873="","",$B$10*TAN(RADIANS(A873)))</f>
        <v/>
      </c>
    </row>
    <row r="874">
      <c r="A874" s="11" t="n"/>
      <c r="B874" s="11" t="n"/>
      <c r="C874" s="12">
        <f>IF(A874="","",$B$9*TAN(RADIANS(A874)))</f>
        <v/>
      </c>
      <c r="D874" s="12">
        <f>IF(C874="","",C874*(1+B874/100))</f>
        <v/>
      </c>
      <c r="E874" s="12">
        <f>IF(A874="","",$B$10*TAN(RADIANS(A874)))</f>
        <v/>
      </c>
    </row>
    <row r="875">
      <c r="A875" s="11" t="n"/>
      <c r="B875" s="11" t="n"/>
      <c r="C875" s="12">
        <f>IF(A875="","",$B$9*TAN(RADIANS(A875)))</f>
        <v/>
      </c>
      <c r="D875" s="12">
        <f>IF(C875="","",C875*(1+B875/100))</f>
        <v/>
      </c>
      <c r="E875" s="12">
        <f>IF(A875="","",$B$10*TAN(RADIANS(A875)))</f>
        <v/>
      </c>
    </row>
    <row r="876">
      <c r="A876" s="11" t="n"/>
      <c r="B876" s="11" t="n"/>
      <c r="C876" s="12">
        <f>IF(A876="","",$B$9*TAN(RADIANS(A876)))</f>
        <v/>
      </c>
      <c r="D876" s="12">
        <f>IF(C876="","",C876*(1+B876/100))</f>
        <v/>
      </c>
      <c r="E876" s="12">
        <f>IF(A876="","",$B$10*TAN(RADIANS(A876)))</f>
        <v/>
      </c>
    </row>
    <row r="877">
      <c r="A877" s="11" t="n"/>
      <c r="B877" s="11" t="n"/>
      <c r="C877" s="12">
        <f>IF(A877="","",$B$9*TAN(RADIANS(A877)))</f>
        <v/>
      </c>
      <c r="D877" s="12">
        <f>IF(C877="","",C877*(1+B877/100))</f>
        <v/>
      </c>
      <c r="E877" s="12">
        <f>IF(A877="","",$B$10*TAN(RADIANS(A877)))</f>
        <v/>
      </c>
    </row>
    <row r="878">
      <c r="A878" s="11" t="n"/>
      <c r="B878" s="11" t="n"/>
      <c r="C878" s="12">
        <f>IF(A878="","",$B$9*TAN(RADIANS(A878)))</f>
        <v/>
      </c>
      <c r="D878" s="12">
        <f>IF(C878="","",C878*(1+B878/100))</f>
        <v/>
      </c>
      <c r="E878" s="12">
        <f>IF(A878="","",$B$10*TAN(RADIANS(A878)))</f>
        <v/>
      </c>
    </row>
    <row r="879">
      <c r="A879" s="11" t="n"/>
      <c r="B879" s="11" t="n"/>
      <c r="C879" s="12">
        <f>IF(A879="","",$B$9*TAN(RADIANS(A879)))</f>
        <v/>
      </c>
      <c r="D879" s="12">
        <f>IF(C879="","",C879*(1+B879/100))</f>
        <v/>
      </c>
      <c r="E879" s="12">
        <f>IF(A879="","",$B$10*TAN(RADIANS(A879)))</f>
        <v/>
      </c>
    </row>
    <row r="880">
      <c r="A880" s="11" t="n"/>
      <c r="B880" s="11" t="n"/>
      <c r="C880" s="12">
        <f>IF(A880="","",$B$9*TAN(RADIANS(A880)))</f>
        <v/>
      </c>
      <c r="D880" s="12">
        <f>IF(C880="","",C880*(1+B880/100))</f>
        <v/>
      </c>
      <c r="E880" s="12">
        <f>IF(A880="","",$B$10*TAN(RADIANS(A880)))</f>
        <v/>
      </c>
    </row>
    <row r="881">
      <c r="A881" s="11" t="n"/>
      <c r="B881" s="11" t="n"/>
      <c r="C881" s="12">
        <f>IF(A881="","",$B$9*TAN(RADIANS(A881)))</f>
        <v/>
      </c>
      <c r="D881" s="12">
        <f>IF(C881="","",C881*(1+B881/100))</f>
        <v/>
      </c>
      <c r="E881" s="12">
        <f>IF(A881="","",$B$10*TAN(RADIANS(A881)))</f>
        <v/>
      </c>
    </row>
    <row r="882">
      <c r="A882" s="11" t="n"/>
      <c r="B882" s="11" t="n"/>
      <c r="C882" s="12">
        <f>IF(A882="","",$B$9*TAN(RADIANS(A882)))</f>
        <v/>
      </c>
      <c r="D882" s="12">
        <f>IF(C882="","",C882*(1+B882/100))</f>
        <v/>
      </c>
      <c r="E882" s="12">
        <f>IF(A882="","",$B$10*TAN(RADIANS(A882)))</f>
        <v/>
      </c>
    </row>
    <row r="883">
      <c r="A883" s="11" t="n"/>
      <c r="B883" s="11" t="n"/>
      <c r="C883" s="12">
        <f>IF(A883="","",$B$9*TAN(RADIANS(A883)))</f>
        <v/>
      </c>
      <c r="D883" s="12">
        <f>IF(C883="","",C883*(1+B883/100))</f>
        <v/>
      </c>
      <c r="E883" s="12">
        <f>IF(A883="","",$B$10*TAN(RADIANS(A883)))</f>
        <v/>
      </c>
    </row>
    <row r="884">
      <c r="A884" s="11" t="n"/>
      <c r="B884" s="11" t="n"/>
      <c r="C884" s="12">
        <f>IF(A884="","",$B$9*TAN(RADIANS(A884)))</f>
        <v/>
      </c>
      <c r="D884" s="12">
        <f>IF(C884="","",C884*(1+B884/100))</f>
        <v/>
      </c>
      <c r="E884" s="12">
        <f>IF(A884="","",$B$10*TAN(RADIANS(A884)))</f>
        <v/>
      </c>
    </row>
    <row r="885">
      <c r="A885" s="11" t="n"/>
      <c r="B885" s="11" t="n"/>
      <c r="C885" s="12">
        <f>IF(A885="","",$B$9*TAN(RADIANS(A885)))</f>
        <v/>
      </c>
      <c r="D885" s="12">
        <f>IF(C885="","",C885*(1+B885/100))</f>
        <v/>
      </c>
      <c r="E885" s="12">
        <f>IF(A885="","",$B$10*TAN(RADIANS(A885)))</f>
        <v/>
      </c>
    </row>
    <row r="886">
      <c r="A886" s="11" t="n"/>
      <c r="B886" s="11" t="n"/>
      <c r="C886" s="12">
        <f>IF(A886="","",$B$9*TAN(RADIANS(A886)))</f>
        <v/>
      </c>
      <c r="D886" s="12">
        <f>IF(C886="","",C886*(1+B886/100))</f>
        <v/>
      </c>
      <c r="E886" s="12">
        <f>IF(A886="","",$B$10*TAN(RADIANS(A886)))</f>
        <v/>
      </c>
    </row>
    <row r="887">
      <c r="A887" s="11" t="n"/>
      <c r="B887" s="11" t="n"/>
      <c r="C887" s="12">
        <f>IF(A887="","",$B$9*TAN(RADIANS(A887)))</f>
        <v/>
      </c>
      <c r="D887" s="12">
        <f>IF(C887="","",C887*(1+B887/100))</f>
        <v/>
      </c>
      <c r="E887" s="12">
        <f>IF(A887="","",$B$10*TAN(RADIANS(A887)))</f>
        <v/>
      </c>
    </row>
    <row r="888">
      <c r="A888" s="11" t="n"/>
      <c r="B888" s="11" t="n"/>
      <c r="C888" s="12">
        <f>IF(A888="","",$B$9*TAN(RADIANS(A888)))</f>
        <v/>
      </c>
      <c r="D888" s="12">
        <f>IF(C888="","",C888*(1+B888/100))</f>
        <v/>
      </c>
      <c r="E888" s="12">
        <f>IF(A888="","",$B$10*TAN(RADIANS(A888)))</f>
        <v/>
      </c>
    </row>
    <row r="889">
      <c r="A889" s="11" t="n"/>
      <c r="B889" s="11" t="n"/>
      <c r="C889" s="12">
        <f>IF(A889="","",$B$9*TAN(RADIANS(A889)))</f>
        <v/>
      </c>
      <c r="D889" s="12">
        <f>IF(C889="","",C889*(1+B889/100))</f>
        <v/>
      </c>
      <c r="E889" s="12">
        <f>IF(A889="","",$B$10*TAN(RADIANS(A889)))</f>
        <v/>
      </c>
    </row>
    <row r="890">
      <c r="A890" s="11" t="n"/>
      <c r="B890" s="11" t="n"/>
      <c r="C890" s="12">
        <f>IF(A890="","",$B$9*TAN(RADIANS(A890)))</f>
        <v/>
      </c>
      <c r="D890" s="12">
        <f>IF(C890="","",C890*(1+B890/100))</f>
        <v/>
      </c>
      <c r="E890" s="12">
        <f>IF(A890="","",$B$10*TAN(RADIANS(A890)))</f>
        <v/>
      </c>
    </row>
    <row r="891">
      <c r="A891" s="11" t="n"/>
      <c r="B891" s="11" t="n"/>
      <c r="C891" s="12">
        <f>IF(A891="","",$B$9*TAN(RADIANS(A891)))</f>
        <v/>
      </c>
      <c r="D891" s="12">
        <f>IF(C891="","",C891*(1+B891/100))</f>
        <v/>
      </c>
      <c r="E891" s="12">
        <f>IF(A891="","",$B$10*TAN(RADIANS(A891)))</f>
        <v/>
      </c>
    </row>
    <row r="892">
      <c r="A892" s="11" t="n"/>
      <c r="B892" s="11" t="n"/>
      <c r="C892" s="12">
        <f>IF(A892="","",$B$9*TAN(RADIANS(A892)))</f>
        <v/>
      </c>
      <c r="D892" s="12">
        <f>IF(C892="","",C892*(1+B892/100))</f>
        <v/>
      </c>
      <c r="E892" s="12">
        <f>IF(A892="","",$B$10*TAN(RADIANS(A892)))</f>
        <v/>
      </c>
    </row>
    <row r="893">
      <c r="A893" s="11" t="n"/>
      <c r="B893" s="11" t="n"/>
      <c r="C893" s="12">
        <f>IF(A893="","",$B$9*TAN(RADIANS(A893)))</f>
        <v/>
      </c>
      <c r="D893" s="12">
        <f>IF(C893="","",C893*(1+B893/100))</f>
        <v/>
      </c>
      <c r="E893" s="12">
        <f>IF(A893="","",$B$10*TAN(RADIANS(A893)))</f>
        <v/>
      </c>
    </row>
    <row r="894">
      <c r="A894" s="11" t="n"/>
      <c r="B894" s="11" t="n"/>
      <c r="C894" s="12">
        <f>IF(A894="","",$B$9*TAN(RADIANS(A894)))</f>
        <v/>
      </c>
      <c r="D894" s="12">
        <f>IF(C894="","",C894*(1+B894/100))</f>
        <v/>
      </c>
      <c r="E894" s="12">
        <f>IF(A894="","",$B$10*TAN(RADIANS(A894)))</f>
        <v/>
      </c>
    </row>
    <row r="895">
      <c r="A895" s="11" t="n"/>
      <c r="B895" s="11" t="n"/>
      <c r="C895" s="12">
        <f>IF(A895="","",$B$9*TAN(RADIANS(A895)))</f>
        <v/>
      </c>
      <c r="D895" s="12">
        <f>IF(C895="","",C895*(1+B895/100))</f>
        <v/>
      </c>
      <c r="E895" s="12">
        <f>IF(A895="","",$B$10*TAN(RADIANS(A895)))</f>
        <v/>
      </c>
    </row>
    <row r="896">
      <c r="A896" s="11" t="n"/>
      <c r="B896" s="11" t="n"/>
      <c r="C896" s="12">
        <f>IF(A896="","",$B$9*TAN(RADIANS(A896)))</f>
        <v/>
      </c>
      <c r="D896" s="12">
        <f>IF(C896="","",C896*(1+B896/100))</f>
        <v/>
      </c>
      <c r="E896" s="12">
        <f>IF(A896="","",$B$10*TAN(RADIANS(A896)))</f>
        <v/>
      </c>
    </row>
    <row r="897">
      <c r="A897" s="11" t="n"/>
      <c r="B897" s="11" t="n"/>
      <c r="C897" s="12">
        <f>IF(A897="","",$B$9*TAN(RADIANS(A897)))</f>
        <v/>
      </c>
      <c r="D897" s="12">
        <f>IF(C897="","",C897*(1+B897/100))</f>
        <v/>
      </c>
      <c r="E897" s="12">
        <f>IF(A897="","",$B$10*TAN(RADIANS(A897)))</f>
        <v/>
      </c>
    </row>
    <row r="898">
      <c r="A898" s="11" t="n"/>
      <c r="B898" s="11" t="n"/>
      <c r="C898" s="12">
        <f>IF(A898="","",$B$9*TAN(RADIANS(A898)))</f>
        <v/>
      </c>
      <c r="D898" s="12">
        <f>IF(C898="","",C898*(1+B898/100))</f>
        <v/>
      </c>
      <c r="E898" s="12">
        <f>IF(A898="","",$B$10*TAN(RADIANS(A898)))</f>
        <v/>
      </c>
    </row>
    <row r="899">
      <c r="A899" s="11" t="n"/>
      <c r="B899" s="11" t="n"/>
      <c r="C899" s="12">
        <f>IF(A899="","",$B$9*TAN(RADIANS(A899)))</f>
        <v/>
      </c>
      <c r="D899" s="12">
        <f>IF(C899="","",C899*(1+B899/100))</f>
        <v/>
      </c>
      <c r="E899" s="12">
        <f>IF(A899="","",$B$10*TAN(RADIANS(A899)))</f>
        <v/>
      </c>
    </row>
    <row r="900">
      <c r="A900" s="11" t="n"/>
      <c r="B900" s="11" t="n"/>
      <c r="C900" s="12">
        <f>IF(A900="","",$B$9*TAN(RADIANS(A900)))</f>
        <v/>
      </c>
      <c r="D900" s="12">
        <f>IF(C900="","",C900*(1+B900/100))</f>
        <v/>
      </c>
      <c r="E900" s="12">
        <f>IF(A900="","",$B$10*TAN(RADIANS(A900)))</f>
        <v/>
      </c>
    </row>
    <row r="901">
      <c r="A901" s="11" t="n"/>
      <c r="B901" s="11" t="n"/>
      <c r="C901" s="12">
        <f>IF(A901="","",$B$9*TAN(RADIANS(A901)))</f>
        <v/>
      </c>
      <c r="D901" s="12">
        <f>IF(C901="","",C901*(1+B901/100))</f>
        <v/>
      </c>
      <c r="E901" s="12">
        <f>IF(A901="","",$B$10*TAN(RADIANS(A901)))</f>
        <v/>
      </c>
    </row>
    <row r="902">
      <c r="A902" s="11" t="n"/>
      <c r="B902" s="11" t="n"/>
      <c r="C902" s="12">
        <f>IF(A902="","",$B$9*TAN(RADIANS(A902)))</f>
        <v/>
      </c>
      <c r="D902" s="12">
        <f>IF(C902="","",C902*(1+B902/100))</f>
        <v/>
      </c>
      <c r="E902" s="12">
        <f>IF(A902="","",$B$10*TAN(RADIANS(A902)))</f>
        <v/>
      </c>
    </row>
    <row r="903">
      <c r="A903" s="11" t="n"/>
      <c r="B903" s="11" t="n"/>
      <c r="C903" s="12">
        <f>IF(A903="","",$B$9*TAN(RADIANS(A903)))</f>
        <v/>
      </c>
      <c r="D903" s="12">
        <f>IF(C903="","",C903*(1+B903/100))</f>
        <v/>
      </c>
      <c r="E903" s="12">
        <f>IF(A903="","",$B$10*TAN(RADIANS(A903)))</f>
        <v/>
      </c>
    </row>
    <row r="904">
      <c r="A904" s="11" t="n"/>
      <c r="B904" s="11" t="n"/>
      <c r="C904" s="12">
        <f>IF(A904="","",$B$9*TAN(RADIANS(A904)))</f>
        <v/>
      </c>
      <c r="D904" s="12">
        <f>IF(C904="","",C904*(1+B904/100))</f>
        <v/>
      </c>
      <c r="E904" s="12">
        <f>IF(A904="","",$B$10*TAN(RADIANS(A904)))</f>
        <v/>
      </c>
    </row>
    <row r="905">
      <c r="A905" s="11" t="n"/>
      <c r="B905" s="11" t="n"/>
      <c r="C905" s="12">
        <f>IF(A905="","",$B$9*TAN(RADIANS(A905)))</f>
        <v/>
      </c>
      <c r="D905" s="12">
        <f>IF(C905="","",C905*(1+B905/100))</f>
        <v/>
      </c>
      <c r="E905" s="12">
        <f>IF(A905="","",$B$10*TAN(RADIANS(A905)))</f>
        <v/>
      </c>
    </row>
    <row r="906">
      <c r="A906" s="11" t="n"/>
      <c r="B906" s="11" t="n"/>
      <c r="C906" s="12">
        <f>IF(A906="","",$B$9*TAN(RADIANS(A906)))</f>
        <v/>
      </c>
      <c r="D906" s="12">
        <f>IF(C906="","",C906*(1+B906/100))</f>
        <v/>
      </c>
      <c r="E906" s="12">
        <f>IF(A906="","",$B$10*TAN(RADIANS(A906)))</f>
        <v/>
      </c>
    </row>
    <row r="907">
      <c r="A907" s="11" t="n"/>
      <c r="B907" s="11" t="n"/>
      <c r="C907" s="12">
        <f>IF(A907="","",$B$9*TAN(RADIANS(A907)))</f>
        <v/>
      </c>
      <c r="D907" s="12">
        <f>IF(C907="","",C907*(1+B907/100))</f>
        <v/>
      </c>
      <c r="E907" s="12">
        <f>IF(A907="","",$B$10*TAN(RADIANS(A907)))</f>
        <v/>
      </c>
    </row>
    <row r="908">
      <c r="A908" s="11" t="n"/>
      <c r="B908" s="11" t="n"/>
      <c r="C908" s="12">
        <f>IF(A908="","",$B$9*TAN(RADIANS(A908)))</f>
        <v/>
      </c>
      <c r="D908" s="12">
        <f>IF(C908="","",C908*(1+B908/100))</f>
        <v/>
      </c>
      <c r="E908" s="12">
        <f>IF(A908="","",$B$10*TAN(RADIANS(A908)))</f>
        <v/>
      </c>
    </row>
    <row r="909">
      <c r="A909" s="11" t="n"/>
      <c r="B909" s="11" t="n"/>
      <c r="C909" s="12">
        <f>IF(A909="","",$B$9*TAN(RADIANS(A909)))</f>
        <v/>
      </c>
      <c r="D909" s="12">
        <f>IF(C909="","",C909*(1+B909/100))</f>
        <v/>
      </c>
      <c r="E909" s="12">
        <f>IF(A909="","",$B$10*TAN(RADIANS(A909)))</f>
        <v/>
      </c>
    </row>
    <row r="910">
      <c r="A910" s="11" t="n"/>
      <c r="B910" s="11" t="n"/>
      <c r="C910" s="12">
        <f>IF(A910="","",$B$9*TAN(RADIANS(A910)))</f>
        <v/>
      </c>
      <c r="D910" s="12">
        <f>IF(C910="","",C910*(1+B910/100))</f>
        <v/>
      </c>
      <c r="E910" s="12">
        <f>IF(A910="","",$B$10*TAN(RADIANS(A910)))</f>
        <v/>
      </c>
    </row>
    <row r="911">
      <c r="A911" s="11" t="n"/>
      <c r="B911" s="11" t="n"/>
      <c r="C911" s="12">
        <f>IF(A911="","",$B$9*TAN(RADIANS(A911)))</f>
        <v/>
      </c>
      <c r="D911" s="12">
        <f>IF(C911="","",C911*(1+B911/100))</f>
        <v/>
      </c>
      <c r="E911" s="12">
        <f>IF(A911="","",$B$10*TAN(RADIANS(A911)))</f>
        <v/>
      </c>
    </row>
    <row r="912">
      <c r="A912" s="11" t="n"/>
      <c r="B912" s="11" t="n"/>
      <c r="C912" s="12">
        <f>IF(A912="","",$B$9*TAN(RADIANS(A912)))</f>
        <v/>
      </c>
      <c r="D912" s="12">
        <f>IF(C912="","",C912*(1+B912/100))</f>
        <v/>
      </c>
      <c r="E912" s="12">
        <f>IF(A912="","",$B$10*TAN(RADIANS(A912)))</f>
        <v/>
      </c>
    </row>
    <row r="913">
      <c r="A913" s="11" t="n"/>
      <c r="B913" s="11" t="n"/>
      <c r="C913" s="12">
        <f>IF(A913="","",$B$9*TAN(RADIANS(A913)))</f>
        <v/>
      </c>
      <c r="D913" s="12">
        <f>IF(C913="","",C913*(1+B913/100))</f>
        <v/>
      </c>
      <c r="E913" s="12">
        <f>IF(A913="","",$B$10*TAN(RADIANS(A913)))</f>
        <v/>
      </c>
    </row>
    <row r="914">
      <c r="A914" s="11" t="n"/>
      <c r="B914" s="11" t="n"/>
      <c r="C914" s="12">
        <f>IF(A914="","",$B$9*TAN(RADIANS(A914)))</f>
        <v/>
      </c>
      <c r="D914" s="12">
        <f>IF(C914="","",C914*(1+B914/100))</f>
        <v/>
      </c>
      <c r="E914" s="12">
        <f>IF(A914="","",$B$10*TAN(RADIANS(A914)))</f>
        <v/>
      </c>
    </row>
    <row r="915">
      <c r="A915" s="11" t="n"/>
      <c r="B915" s="11" t="n"/>
      <c r="C915" s="12">
        <f>IF(A915="","",$B$9*TAN(RADIANS(A915)))</f>
        <v/>
      </c>
      <c r="D915" s="12">
        <f>IF(C915="","",C915*(1+B915/100))</f>
        <v/>
      </c>
      <c r="E915" s="12">
        <f>IF(A915="","",$B$10*TAN(RADIANS(A915)))</f>
        <v/>
      </c>
    </row>
    <row r="916">
      <c r="A916" s="11" t="n"/>
      <c r="B916" s="11" t="n"/>
      <c r="C916" s="12">
        <f>IF(A916="","",$B$9*TAN(RADIANS(A916)))</f>
        <v/>
      </c>
      <c r="D916" s="12">
        <f>IF(C916="","",C916*(1+B916/100))</f>
        <v/>
      </c>
      <c r="E916" s="12">
        <f>IF(A916="","",$B$10*TAN(RADIANS(A916)))</f>
        <v/>
      </c>
    </row>
    <row r="917">
      <c r="A917" s="11" t="n"/>
      <c r="B917" s="11" t="n"/>
      <c r="C917" s="12">
        <f>IF(A917="","",$B$9*TAN(RADIANS(A917)))</f>
        <v/>
      </c>
      <c r="D917" s="12">
        <f>IF(C917="","",C917*(1+B917/100))</f>
        <v/>
      </c>
      <c r="E917" s="12">
        <f>IF(A917="","",$B$10*TAN(RADIANS(A917)))</f>
        <v/>
      </c>
    </row>
    <row r="918">
      <c r="A918" s="11" t="n"/>
      <c r="B918" s="11" t="n"/>
      <c r="C918" s="12">
        <f>IF(A918="","",$B$9*TAN(RADIANS(A918)))</f>
        <v/>
      </c>
      <c r="D918" s="12">
        <f>IF(C918="","",C918*(1+B918/100))</f>
        <v/>
      </c>
      <c r="E918" s="12">
        <f>IF(A918="","",$B$10*TAN(RADIANS(A918)))</f>
        <v/>
      </c>
    </row>
    <row r="919">
      <c r="A919" s="11" t="n"/>
      <c r="B919" s="11" t="n"/>
      <c r="C919" s="12">
        <f>IF(A919="","",$B$9*TAN(RADIANS(A919)))</f>
        <v/>
      </c>
      <c r="D919" s="12">
        <f>IF(C919="","",C919*(1+B919/100))</f>
        <v/>
      </c>
      <c r="E919" s="12">
        <f>IF(A919="","",$B$10*TAN(RADIANS(A919)))</f>
        <v/>
      </c>
    </row>
    <row r="920">
      <c r="A920" s="11" t="n"/>
      <c r="B920" s="11" t="n"/>
      <c r="C920" s="12">
        <f>IF(A920="","",$B$9*TAN(RADIANS(A920)))</f>
        <v/>
      </c>
      <c r="D920" s="12">
        <f>IF(C920="","",C920*(1+B920/100))</f>
        <v/>
      </c>
      <c r="E920" s="12">
        <f>IF(A920="","",$B$10*TAN(RADIANS(A920)))</f>
        <v/>
      </c>
    </row>
    <row r="921">
      <c r="A921" s="11" t="n"/>
      <c r="B921" s="11" t="n"/>
      <c r="C921" s="12">
        <f>IF(A921="","",$B$9*TAN(RADIANS(A921)))</f>
        <v/>
      </c>
      <c r="D921" s="12">
        <f>IF(C921="","",C921*(1+B921/100))</f>
        <v/>
      </c>
      <c r="E921" s="12">
        <f>IF(A921="","",$B$10*TAN(RADIANS(A921)))</f>
        <v/>
      </c>
    </row>
    <row r="922">
      <c r="A922" s="11" t="n"/>
      <c r="B922" s="11" t="n"/>
      <c r="C922" s="12">
        <f>IF(A922="","",$B$9*TAN(RADIANS(A922)))</f>
        <v/>
      </c>
      <c r="D922" s="12">
        <f>IF(C922="","",C922*(1+B922/100))</f>
        <v/>
      </c>
      <c r="E922" s="12">
        <f>IF(A922="","",$B$10*TAN(RADIANS(A922)))</f>
        <v/>
      </c>
    </row>
    <row r="923">
      <c r="A923" s="11" t="n"/>
      <c r="B923" s="11" t="n"/>
      <c r="C923" s="12">
        <f>IF(A923="","",$B$9*TAN(RADIANS(A923)))</f>
        <v/>
      </c>
      <c r="D923" s="12">
        <f>IF(C923="","",C923*(1+B923/100))</f>
        <v/>
      </c>
      <c r="E923" s="12">
        <f>IF(A923="","",$B$10*TAN(RADIANS(A923)))</f>
        <v/>
      </c>
    </row>
    <row r="924">
      <c r="A924" s="11" t="n"/>
      <c r="B924" s="11" t="n"/>
      <c r="C924" s="12">
        <f>IF(A924="","",$B$9*TAN(RADIANS(A924)))</f>
        <v/>
      </c>
      <c r="D924" s="12">
        <f>IF(C924="","",C924*(1+B924/100))</f>
        <v/>
      </c>
      <c r="E924" s="12">
        <f>IF(A924="","",$B$10*TAN(RADIANS(A924)))</f>
        <v/>
      </c>
    </row>
    <row r="925">
      <c r="A925" s="11" t="n"/>
      <c r="B925" s="11" t="n"/>
      <c r="C925" s="12">
        <f>IF(A925="","",$B$9*TAN(RADIANS(A925)))</f>
        <v/>
      </c>
      <c r="D925" s="12">
        <f>IF(C925="","",C925*(1+B925/100))</f>
        <v/>
      </c>
      <c r="E925" s="12">
        <f>IF(A925="","",$B$10*TAN(RADIANS(A925)))</f>
        <v/>
      </c>
    </row>
    <row r="926">
      <c r="A926" s="11" t="n"/>
      <c r="B926" s="11" t="n"/>
      <c r="C926" s="12">
        <f>IF(A926="","",$B$9*TAN(RADIANS(A926)))</f>
        <v/>
      </c>
      <c r="D926" s="12">
        <f>IF(C926="","",C926*(1+B926/100))</f>
        <v/>
      </c>
      <c r="E926" s="12">
        <f>IF(A926="","",$B$10*TAN(RADIANS(A926)))</f>
        <v/>
      </c>
    </row>
    <row r="927">
      <c r="A927" s="11" t="n"/>
      <c r="B927" s="11" t="n"/>
      <c r="C927" s="12">
        <f>IF(A927="","",$B$9*TAN(RADIANS(A927)))</f>
        <v/>
      </c>
      <c r="D927" s="12">
        <f>IF(C927="","",C927*(1+B927/100))</f>
        <v/>
      </c>
      <c r="E927" s="12">
        <f>IF(A927="","",$B$10*TAN(RADIANS(A927)))</f>
        <v/>
      </c>
    </row>
    <row r="928">
      <c r="A928" s="11" t="n"/>
      <c r="B928" s="11" t="n"/>
      <c r="C928" s="12">
        <f>IF(A928="","",$B$9*TAN(RADIANS(A928)))</f>
        <v/>
      </c>
      <c r="D928" s="12">
        <f>IF(C928="","",C928*(1+B928/100))</f>
        <v/>
      </c>
      <c r="E928" s="12">
        <f>IF(A928="","",$B$10*TAN(RADIANS(A928)))</f>
        <v/>
      </c>
    </row>
    <row r="929">
      <c r="A929" s="11" t="n"/>
      <c r="B929" s="11" t="n"/>
      <c r="C929" s="12">
        <f>IF(A929="","",$B$9*TAN(RADIANS(A929)))</f>
        <v/>
      </c>
      <c r="D929" s="12">
        <f>IF(C929="","",C929*(1+B929/100))</f>
        <v/>
      </c>
      <c r="E929" s="12">
        <f>IF(A929="","",$B$10*TAN(RADIANS(A929)))</f>
        <v/>
      </c>
    </row>
    <row r="930">
      <c r="A930" s="11" t="n"/>
      <c r="B930" s="11" t="n"/>
      <c r="C930" s="12">
        <f>IF(A930="","",$B$9*TAN(RADIANS(A930)))</f>
        <v/>
      </c>
      <c r="D930" s="12">
        <f>IF(C930="","",C930*(1+B930/100))</f>
        <v/>
      </c>
      <c r="E930" s="12">
        <f>IF(A930="","",$B$10*TAN(RADIANS(A930)))</f>
        <v/>
      </c>
    </row>
    <row r="931">
      <c r="A931" s="11" t="n"/>
      <c r="B931" s="11" t="n"/>
      <c r="C931" s="12">
        <f>IF(A931="","",$B$9*TAN(RADIANS(A931)))</f>
        <v/>
      </c>
      <c r="D931" s="12">
        <f>IF(C931="","",C931*(1+B931/100))</f>
        <v/>
      </c>
      <c r="E931" s="12">
        <f>IF(A931="","",$B$10*TAN(RADIANS(A931)))</f>
        <v/>
      </c>
    </row>
    <row r="932">
      <c r="A932" s="11" t="n"/>
      <c r="B932" s="11" t="n"/>
      <c r="C932" s="12">
        <f>IF(A932="","",$B$9*TAN(RADIANS(A932)))</f>
        <v/>
      </c>
      <c r="D932" s="12">
        <f>IF(C932="","",C932*(1+B932/100))</f>
        <v/>
      </c>
      <c r="E932" s="12">
        <f>IF(A932="","",$B$10*TAN(RADIANS(A932)))</f>
        <v/>
      </c>
    </row>
    <row r="933">
      <c r="A933" s="11" t="n"/>
      <c r="B933" s="11" t="n"/>
      <c r="C933" s="12">
        <f>IF(A933="","",$B$9*TAN(RADIANS(A933)))</f>
        <v/>
      </c>
      <c r="D933" s="12">
        <f>IF(C933="","",C933*(1+B933/100))</f>
        <v/>
      </c>
      <c r="E933" s="12">
        <f>IF(A933="","",$B$10*TAN(RADIANS(A933)))</f>
        <v/>
      </c>
    </row>
    <row r="934">
      <c r="A934" s="11" t="n"/>
      <c r="B934" s="11" t="n"/>
      <c r="C934" s="12">
        <f>IF(A934="","",$B$9*TAN(RADIANS(A934)))</f>
        <v/>
      </c>
      <c r="D934" s="12">
        <f>IF(C934="","",C934*(1+B934/100))</f>
        <v/>
      </c>
      <c r="E934" s="12">
        <f>IF(A934="","",$B$10*TAN(RADIANS(A934)))</f>
        <v/>
      </c>
    </row>
    <row r="935">
      <c r="A935" s="11" t="n"/>
      <c r="B935" s="11" t="n"/>
      <c r="C935" s="12">
        <f>IF(A935="","",$B$9*TAN(RADIANS(A935)))</f>
        <v/>
      </c>
      <c r="D935" s="12">
        <f>IF(C935="","",C935*(1+B935/100))</f>
        <v/>
      </c>
      <c r="E935" s="12">
        <f>IF(A935="","",$B$10*TAN(RADIANS(A935)))</f>
        <v/>
      </c>
    </row>
    <row r="936">
      <c r="A936" s="11" t="n"/>
      <c r="B936" s="11" t="n"/>
      <c r="C936" s="12">
        <f>IF(A936="","",$B$9*TAN(RADIANS(A936)))</f>
        <v/>
      </c>
      <c r="D936" s="12">
        <f>IF(C936="","",C936*(1+B936/100))</f>
        <v/>
      </c>
      <c r="E936" s="12">
        <f>IF(A936="","",$B$10*TAN(RADIANS(A936)))</f>
        <v/>
      </c>
    </row>
    <row r="937">
      <c r="A937" s="11" t="n"/>
      <c r="B937" s="11" t="n"/>
      <c r="C937" s="12">
        <f>IF(A937="","",$B$9*TAN(RADIANS(A937)))</f>
        <v/>
      </c>
      <c r="D937" s="12">
        <f>IF(C937="","",C937*(1+B937/100))</f>
        <v/>
      </c>
      <c r="E937" s="12">
        <f>IF(A937="","",$B$10*TAN(RADIANS(A937)))</f>
        <v/>
      </c>
    </row>
    <row r="938">
      <c r="A938" s="11" t="n"/>
      <c r="B938" s="11" t="n"/>
      <c r="C938" s="12">
        <f>IF(A938="","",$B$9*TAN(RADIANS(A938)))</f>
        <v/>
      </c>
      <c r="D938" s="12">
        <f>IF(C938="","",C938*(1+B938/100))</f>
        <v/>
      </c>
      <c r="E938" s="12">
        <f>IF(A938="","",$B$10*TAN(RADIANS(A938)))</f>
        <v/>
      </c>
    </row>
    <row r="939">
      <c r="A939" s="11" t="n"/>
      <c r="B939" s="11" t="n"/>
      <c r="C939" s="12">
        <f>IF(A939="","",$B$9*TAN(RADIANS(A939)))</f>
        <v/>
      </c>
      <c r="D939" s="12">
        <f>IF(C939="","",C939*(1+B939/100))</f>
        <v/>
      </c>
      <c r="E939" s="12">
        <f>IF(A939="","",$B$10*TAN(RADIANS(A939)))</f>
        <v/>
      </c>
    </row>
    <row r="940">
      <c r="A940" s="11" t="n"/>
      <c r="B940" s="11" t="n"/>
      <c r="C940" s="12">
        <f>IF(A940="","",$B$9*TAN(RADIANS(A940)))</f>
        <v/>
      </c>
      <c r="D940" s="12">
        <f>IF(C940="","",C940*(1+B940/100))</f>
        <v/>
      </c>
      <c r="E940" s="12">
        <f>IF(A940="","",$B$10*TAN(RADIANS(A940)))</f>
        <v/>
      </c>
    </row>
    <row r="941">
      <c r="A941" s="11" t="n"/>
      <c r="B941" s="11" t="n"/>
      <c r="C941" s="12">
        <f>IF(A941="","",$B$9*TAN(RADIANS(A941)))</f>
        <v/>
      </c>
      <c r="D941" s="12">
        <f>IF(C941="","",C941*(1+B941/100))</f>
        <v/>
      </c>
      <c r="E941" s="12">
        <f>IF(A941="","",$B$10*TAN(RADIANS(A941)))</f>
        <v/>
      </c>
    </row>
    <row r="942">
      <c r="A942" s="11" t="n"/>
      <c r="B942" s="11" t="n"/>
      <c r="C942" s="12">
        <f>IF(A942="","",$B$9*TAN(RADIANS(A942)))</f>
        <v/>
      </c>
      <c r="D942" s="12">
        <f>IF(C942="","",C942*(1+B942/100))</f>
        <v/>
      </c>
      <c r="E942" s="12">
        <f>IF(A942="","",$B$10*TAN(RADIANS(A942)))</f>
        <v/>
      </c>
    </row>
    <row r="943">
      <c r="A943" s="11" t="n"/>
      <c r="B943" s="11" t="n"/>
      <c r="C943" s="12">
        <f>IF(A943="","",$B$9*TAN(RADIANS(A943)))</f>
        <v/>
      </c>
      <c r="D943" s="12">
        <f>IF(C943="","",C943*(1+B943/100))</f>
        <v/>
      </c>
      <c r="E943" s="12">
        <f>IF(A943="","",$B$10*TAN(RADIANS(A943)))</f>
        <v/>
      </c>
    </row>
    <row r="944">
      <c r="A944" s="11" t="n"/>
      <c r="B944" s="11" t="n"/>
      <c r="C944" s="12">
        <f>IF(A944="","",$B$9*TAN(RADIANS(A944)))</f>
        <v/>
      </c>
      <c r="D944" s="12">
        <f>IF(C944="","",C944*(1+B944/100))</f>
        <v/>
      </c>
      <c r="E944" s="12">
        <f>IF(A944="","",$B$10*TAN(RADIANS(A944)))</f>
        <v/>
      </c>
    </row>
    <row r="945">
      <c r="A945" s="11" t="n"/>
      <c r="B945" s="11" t="n"/>
      <c r="C945" s="12">
        <f>IF(A945="","",$B$9*TAN(RADIANS(A945)))</f>
        <v/>
      </c>
      <c r="D945" s="12">
        <f>IF(C945="","",C945*(1+B945/100))</f>
        <v/>
      </c>
      <c r="E945" s="12">
        <f>IF(A945="","",$B$10*TAN(RADIANS(A945)))</f>
        <v/>
      </c>
    </row>
    <row r="946">
      <c r="A946" s="11" t="n"/>
      <c r="B946" s="11" t="n"/>
      <c r="C946" s="12">
        <f>IF(A946="","",$B$9*TAN(RADIANS(A946)))</f>
        <v/>
      </c>
      <c r="D946" s="12">
        <f>IF(C946="","",C946*(1+B946/100))</f>
        <v/>
      </c>
      <c r="E946" s="12">
        <f>IF(A946="","",$B$10*TAN(RADIANS(A946)))</f>
        <v/>
      </c>
    </row>
    <row r="947">
      <c r="A947" s="11" t="n"/>
      <c r="B947" s="11" t="n"/>
      <c r="C947" s="12">
        <f>IF(A947="","",$B$9*TAN(RADIANS(A947)))</f>
        <v/>
      </c>
      <c r="D947" s="12">
        <f>IF(C947="","",C947*(1+B947/100))</f>
        <v/>
      </c>
      <c r="E947" s="12">
        <f>IF(A947="","",$B$10*TAN(RADIANS(A947)))</f>
        <v/>
      </c>
    </row>
    <row r="948">
      <c r="A948" s="11" t="n"/>
      <c r="B948" s="11" t="n"/>
      <c r="C948" s="12">
        <f>IF(A948="","",$B$9*TAN(RADIANS(A948)))</f>
        <v/>
      </c>
      <c r="D948" s="12">
        <f>IF(C948="","",C948*(1+B948/100))</f>
        <v/>
      </c>
      <c r="E948" s="12">
        <f>IF(A948="","",$B$10*TAN(RADIANS(A948)))</f>
        <v/>
      </c>
    </row>
    <row r="949">
      <c r="A949" s="11" t="n"/>
      <c r="B949" s="11" t="n"/>
      <c r="C949" s="12">
        <f>IF(A949="","",$B$9*TAN(RADIANS(A949)))</f>
        <v/>
      </c>
      <c r="D949" s="12">
        <f>IF(C949="","",C949*(1+B949/100))</f>
        <v/>
      </c>
      <c r="E949" s="12">
        <f>IF(A949="","",$B$10*TAN(RADIANS(A949)))</f>
        <v/>
      </c>
    </row>
    <row r="950">
      <c r="A950" s="11" t="n"/>
      <c r="B950" s="11" t="n"/>
      <c r="C950" s="12">
        <f>IF(A950="","",$B$9*TAN(RADIANS(A950)))</f>
        <v/>
      </c>
      <c r="D950" s="12">
        <f>IF(C950="","",C950*(1+B950/100))</f>
        <v/>
      </c>
      <c r="E950" s="12">
        <f>IF(A950="","",$B$10*TAN(RADIANS(A950)))</f>
        <v/>
      </c>
    </row>
    <row r="951">
      <c r="A951" s="11" t="n"/>
      <c r="B951" s="11" t="n"/>
      <c r="C951" s="12">
        <f>IF(A951="","",$B$9*TAN(RADIANS(A951)))</f>
        <v/>
      </c>
      <c r="D951" s="12">
        <f>IF(C951="","",C951*(1+B951/100))</f>
        <v/>
      </c>
      <c r="E951" s="12">
        <f>IF(A951="","",$B$10*TAN(RADIANS(A951)))</f>
        <v/>
      </c>
    </row>
    <row r="952">
      <c r="A952" s="11" t="n"/>
      <c r="B952" s="11" t="n"/>
      <c r="C952" s="12">
        <f>IF(A952="","",$B$9*TAN(RADIANS(A952)))</f>
        <v/>
      </c>
      <c r="D952" s="12">
        <f>IF(C952="","",C952*(1+B952/100))</f>
        <v/>
      </c>
      <c r="E952" s="12">
        <f>IF(A952="","",$B$10*TAN(RADIANS(A952)))</f>
        <v/>
      </c>
    </row>
    <row r="953">
      <c r="A953" s="11" t="n"/>
      <c r="B953" s="11" t="n"/>
      <c r="C953" s="12">
        <f>IF(A953="","",$B$9*TAN(RADIANS(A953)))</f>
        <v/>
      </c>
      <c r="D953" s="12">
        <f>IF(C953="","",C953*(1+B953/100))</f>
        <v/>
      </c>
      <c r="E953" s="12">
        <f>IF(A953="","",$B$10*TAN(RADIANS(A953)))</f>
        <v/>
      </c>
    </row>
    <row r="954">
      <c r="A954" s="11" t="n"/>
      <c r="B954" s="11" t="n"/>
      <c r="C954" s="12">
        <f>IF(A954="","",$B$9*TAN(RADIANS(A954)))</f>
        <v/>
      </c>
      <c r="D954" s="12">
        <f>IF(C954="","",C954*(1+B954/100))</f>
        <v/>
      </c>
      <c r="E954" s="12">
        <f>IF(A954="","",$B$10*TAN(RADIANS(A954)))</f>
        <v/>
      </c>
    </row>
    <row r="955">
      <c r="A955" s="11" t="n"/>
      <c r="B955" s="11" t="n"/>
      <c r="C955" s="12">
        <f>IF(A955="","",$B$9*TAN(RADIANS(A955)))</f>
        <v/>
      </c>
      <c r="D955" s="12">
        <f>IF(C955="","",C955*(1+B955/100))</f>
        <v/>
      </c>
      <c r="E955" s="12">
        <f>IF(A955="","",$B$10*TAN(RADIANS(A955)))</f>
        <v/>
      </c>
    </row>
    <row r="956">
      <c r="A956" s="11" t="n"/>
      <c r="B956" s="11" t="n"/>
      <c r="C956" s="12">
        <f>IF(A956="","",$B$9*TAN(RADIANS(A956)))</f>
        <v/>
      </c>
      <c r="D956" s="12">
        <f>IF(C956="","",C956*(1+B956/100))</f>
        <v/>
      </c>
      <c r="E956" s="12">
        <f>IF(A956="","",$B$10*TAN(RADIANS(A956)))</f>
        <v/>
      </c>
    </row>
    <row r="957">
      <c r="A957" s="11" t="n"/>
      <c r="B957" s="11" t="n"/>
      <c r="C957" s="12">
        <f>IF(A957="","",$B$9*TAN(RADIANS(A957)))</f>
        <v/>
      </c>
      <c r="D957" s="12">
        <f>IF(C957="","",C957*(1+B957/100))</f>
        <v/>
      </c>
      <c r="E957" s="12">
        <f>IF(A957="","",$B$10*TAN(RADIANS(A957)))</f>
        <v/>
      </c>
    </row>
    <row r="958">
      <c r="A958" s="11" t="n"/>
      <c r="B958" s="11" t="n"/>
      <c r="C958" s="12">
        <f>IF(A958="","",$B$9*TAN(RADIANS(A958)))</f>
        <v/>
      </c>
      <c r="D958" s="12">
        <f>IF(C958="","",C958*(1+B958/100))</f>
        <v/>
      </c>
      <c r="E958" s="12">
        <f>IF(A958="","",$B$10*TAN(RADIANS(A958)))</f>
        <v/>
      </c>
    </row>
    <row r="959">
      <c r="A959" s="11" t="n"/>
      <c r="B959" s="11" t="n"/>
      <c r="C959" s="12">
        <f>IF(A959="","",$B$9*TAN(RADIANS(A959)))</f>
        <v/>
      </c>
      <c r="D959" s="12">
        <f>IF(C959="","",C959*(1+B959/100))</f>
        <v/>
      </c>
      <c r="E959" s="12">
        <f>IF(A959="","",$B$10*TAN(RADIANS(A959)))</f>
        <v/>
      </c>
    </row>
    <row r="960">
      <c r="A960" s="11" t="n"/>
      <c r="B960" s="11" t="n"/>
      <c r="C960" s="12">
        <f>IF(A960="","",$B$9*TAN(RADIANS(A960)))</f>
        <v/>
      </c>
      <c r="D960" s="12">
        <f>IF(C960="","",C960*(1+B960/100))</f>
        <v/>
      </c>
      <c r="E960" s="12">
        <f>IF(A960="","",$B$10*TAN(RADIANS(A960)))</f>
        <v/>
      </c>
    </row>
    <row r="961">
      <c r="A961" s="11" t="n"/>
      <c r="B961" s="11" t="n"/>
      <c r="C961" s="12">
        <f>IF(A961="","",$B$9*TAN(RADIANS(A961)))</f>
        <v/>
      </c>
      <c r="D961" s="12">
        <f>IF(C961="","",C961*(1+B961/100))</f>
        <v/>
      </c>
      <c r="E961" s="12">
        <f>IF(A961="","",$B$10*TAN(RADIANS(A961)))</f>
        <v/>
      </c>
    </row>
    <row r="962">
      <c r="A962" s="11" t="n"/>
      <c r="B962" s="11" t="n"/>
      <c r="C962" s="12">
        <f>IF(A962="","",$B$9*TAN(RADIANS(A962)))</f>
        <v/>
      </c>
      <c r="D962" s="12">
        <f>IF(C962="","",C962*(1+B962/100))</f>
        <v/>
      </c>
      <c r="E962" s="12">
        <f>IF(A962="","",$B$10*TAN(RADIANS(A962)))</f>
        <v/>
      </c>
    </row>
    <row r="963">
      <c r="A963" s="11" t="n"/>
      <c r="B963" s="11" t="n"/>
      <c r="C963" s="12">
        <f>IF(A963="","",$B$9*TAN(RADIANS(A963)))</f>
        <v/>
      </c>
      <c r="D963" s="12">
        <f>IF(C963="","",C963*(1+B963/100))</f>
        <v/>
      </c>
      <c r="E963" s="12">
        <f>IF(A963="","",$B$10*TAN(RADIANS(A963)))</f>
        <v/>
      </c>
    </row>
    <row r="964">
      <c r="A964" s="11" t="n"/>
      <c r="B964" s="11" t="n"/>
      <c r="C964" s="12">
        <f>IF(A964="","",$B$9*TAN(RADIANS(A964)))</f>
        <v/>
      </c>
      <c r="D964" s="12">
        <f>IF(C964="","",C964*(1+B964/100))</f>
        <v/>
      </c>
      <c r="E964" s="12">
        <f>IF(A964="","",$B$10*TAN(RADIANS(A964)))</f>
        <v/>
      </c>
    </row>
    <row r="965">
      <c r="A965" s="11" t="n"/>
      <c r="B965" s="11" t="n"/>
      <c r="C965" s="12">
        <f>IF(A965="","",$B$9*TAN(RADIANS(A965)))</f>
        <v/>
      </c>
      <c r="D965" s="12">
        <f>IF(C965="","",C965*(1+B965/100))</f>
        <v/>
      </c>
      <c r="E965" s="12">
        <f>IF(A965="","",$B$10*TAN(RADIANS(A965)))</f>
        <v/>
      </c>
    </row>
    <row r="966">
      <c r="A966" s="11" t="n"/>
      <c r="B966" s="11" t="n"/>
      <c r="C966" s="12">
        <f>IF(A966="","",$B$9*TAN(RADIANS(A966)))</f>
        <v/>
      </c>
      <c r="D966" s="12">
        <f>IF(C966="","",C966*(1+B966/100))</f>
        <v/>
      </c>
      <c r="E966" s="12">
        <f>IF(A966="","",$B$10*TAN(RADIANS(A966)))</f>
        <v/>
      </c>
    </row>
    <row r="967">
      <c r="A967" s="11" t="n"/>
      <c r="B967" s="11" t="n"/>
      <c r="C967" s="12">
        <f>IF(A967="","",$B$9*TAN(RADIANS(A967)))</f>
        <v/>
      </c>
      <c r="D967" s="12">
        <f>IF(C967="","",C967*(1+B967/100))</f>
        <v/>
      </c>
      <c r="E967" s="12">
        <f>IF(A967="","",$B$10*TAN(RADIANS(A967)))</f>
        <v/>
      </c>
    </row>
    <row r="968">
      <c r="A968" s="11" t="n"/>
      <c r="B968" s="11" t="n"/>
      <c r="C968" s="12">
        <f>IF(A968="","",$B$9*TAN(RADIANS(A968)))</f>
        <v/>
      </c>
      <c r="D968" s="12">
        <f>IF(C968="","",C968*(1+B968/100))</f>
        <v/>
      </c>
      <c r="E968" s="12">
        <f>IF(A968="","",$B$10*TAN(RADIANS(A968)))</f>
        <v/>
      </c>
    </row>
    <row r="969">
      <c r="A969" s="11" t="n"/>
      <c r="B969" s="11" t="n"/>
      <c r="C969" s="12">
        <f>IF(A969="","",$B$9*TAN(RADIANS(A969)))</f>
        <v/>
      </c>
      <c r="D969" s="12">
        <f>IF(C969="","",C969*(1+B969/100))</f>
        <v/>
      </c>
      <c r="E969" s="12">
        <f>IF(A969="","",$B$10*TAN(RADIANS(A969)))</f>
        <v/>
      </c>
    </row>
    <row r="970">
      <c r="A970" s="11" t="n"/>
      <c r="B970" s="11" t="n"/>
      <c r="C970" s="12">
        <f>IF(A970="","",$B$9*TAN(RADIANS(A970)))</f>
        <v/>
      </c>
      <c r="D970" s="12">
        <f>IF(C970="","",C970*(1+B970/100))</f>
        <v/>
      </c>
      <c r="E970" s="12">
        <f>IF(A970="","",$B$10*TAN(RADIANS(A970)))</f>
        <v/>
      </c>
    </row>
    <row r="971">
      <c r="A971" s="11" t="n"/>
      <c r="B971" s="11" t="n"/>
      <c r="C971" s="12">
        <f>IF(A971="","",$B$9*TAN(RADIANS(A971)))</f>
        <v/>
      </c>
      <c r="D971" s="12">
        <f>IF(C971="","",C971*(1+B971/100))</f>
        <v/>
      </c>
      <c r="E971" s="12">
        <f>IF(A971="","",$B$10*TAN(RADIANS(A971)))</f>
        <v/>
      </c>
    </row>
    <row r="972">
      <c r="A972" s="11" t="n"/>
      <c r="B972" s="11" t="n"/>
      <c r="C972" s="12">
        <f>IF(A972="","",$B$9*TAN(RADIANS(A972)))</f>
        <v/>
      </c>
      <c r="D972" s="12">
        <f>IF(C972="","",C972*(1+B972/100))</f>
        <v/>
      </c>
      <c r="E972" s="12">
        <f>IF(A972="","",$B$10*TAN(RADIANS(A972)))</f>
        <v/>
      </c>
    </row>
    <row r="973">
      <c r="A973" s="11" t="n"/>
      <c r="B973" s="11" t="n"/>
      <c r="C973" s="12">
        <f>IF(A973="","",$B$9*TAN(RADIANS(A973)))</f>
        <v/>
      </c>
      <c r="D973" s="12">
        <f>IF(C973="","",C973*(1+B973/100))</f>
        <v/>
      </c>
      <c r="E973" s="12">
        <f>IF(A973="","",$B$10*TAN(RADIANS(A973)))</f>
        <v/>
      </c>
    </row>
    <row r="974">
      <c r="A974" s="11" t="n"/>
      <c r="B974" s="11" t="n"/>
      <c r="C974" s="12">
        <f>IF(A974="","",$B$9*TAN(RADIANS(A974)))</f>
        <v/>
      </c>
      <c r="D974" s="12">
        <f>IF(C974="","",C974*(1+B974/100))</f>
        <v/>
      </c>
      <c r="E974" s="12">
        <f>IF(A974="","",$B$10*TAN(RADIANS(A974)))</f>
        <v/>
      </c>
    </row>
    <row r="975">
      <c r="A975" s="11" t="n"/>
      <c r="B975" s="11" t="n"/>
      <c r="C975" s="12">
        <f>IF(A975="","",$B$9*TAN(RADIANS(A975)))</f>
        <v/>
      </c>
      <c r="D975" s="12">
        <f>IF(C975="","",C975*(1+B975/100))</f>
        <v/>
      </c>
      <c r="E975" s="12">
        <f>IF(A975="","",$B$10*TAN(RADIANS(A975)))</f>
        <v/>
      </c>
    </row>
    <row r="976">
      <c r="A976" s="11" t="n"/>
      <c r="B976" s="11" t="n"/>
      <c r="C976" s="12">
        <f>IF(A976="","",$B$9*TAN(RADIANS(A976)))</f>
        <v/>
      </c>
      <c r="D976" s="12">
        <f>IF(C976="","",C976*(1+B976/100))</f>
        <v/>
      </c>
      <c r="E976" s="12">
        <f>IF(A976="","",$B$10*TAN(RADIANS(A976)))</f>
        <v/>
      </c>
    </row>
    <row r="977">
      <c r="A977" s="11" t="n"/>
      <c r="B977" s="11" t="n"/>
      <c r="C977" s="12">
        <f>IF(A977="","",$B$9*TAN(RADIANS(A977)))</f>
        <v/>
      </c>
      <c r="D977" s="12">
        <f>IF(C977="","",C977*(1+B977/100))</f>
        <v/>
      </c>
      <c r="E977" s="12">
        <f>IF(A977="","",$B$10*TAN(RADIANS(A977)))</f>
        <v/>
      </c>
    </row>
    <row r="978">
      <c r="A978" s="11" t="n"/>
      <c r="B978" s="11" t="n"/>
      <c r="C978" s="12">
        <f>IF(A978="","",$B$9*TAN(RADIANS(A978)))</f>
        <v/>
      </c>
      <c r="D978" s="12">
        <f>IF(C978="","",C978*(1+B978/100))</f>
        <v/>
      </c>
      <c r="E978" s="12">
        <f>IF(A978="","",$B$10*TAN(RADIANS(A978)))</f>
        <v/>
      </c>
    </row>
    <row r="979">
      <c r="A979" s="11" t="n"/>
      <c r="B979" s="11" t="n"/>
      <c r="C979" s="12">
        <f>IF(A979="","",$B$9*TAN(RADIANS(A979)))</f>
        <v/>
      </c>
      <c r="D979" s="12">
        <f>IF(C979="","",C979*(1+B979/100))</f>
        <v/>
      </c>
      <c r="E979" s="12">
        <f>IF(A979="","",$B$10*TAN(RADIANS(A979)))</f>
        <v/>
      </c>
    </row>
    <row r="980">
      <c r="A980" s="11" t="n"/>
      <c r="B980" s="11" t="n"/>
      <c r="C980" s="12">
        <f>IF(A980="","",$B$9*TAN(RADIANS(A980)))</f>
        <v/>
      </c>
      <c r="D980" s="12">
        <f>IF(C980="","",C980*(1+B980/100))</f>
        <v/>
      </c>
      <c r="E980" s="12">
        <f>IF(A980="","",$B$10*TAN(RADIANS(A980)))</f>
        <v/>
      </c>
    </row>
    <row r="981">
      <c r="A981" s="11" t="n"/>
      <c r="B981" s="11" t="n"/>
      <c r="C981" s="12">
        <f>IF(A981="","",$B$9*TAN(RADIANS(A981)))</f>
        <v/>
      </c>
      <c r="D981" s="12">
        <f>IF(C981="","",C981*(1+B981/100))</f>
        <v/>
      </c>
      <c r="E981" s="12">
        <f>IF(A981="","",$B$10*TAN(RADIANS(A981)))</f>
        <v/>
      </c>
    </row>
    <row r="982">
      <c r="A982" s="11" t="n"/>
      <c r="B982" s="11" t="n"/>
      <c r="C982" s="12">
        <f>IF(A982="","",$B$9*TAN(RADIANS(A982)))</f>
        <v/>
      </c>
      <c r="D982" s="12">
        <f>IF(C982="","",C982*(1+B982/100))</f>
        <v/>
      </c>
      <c r="E982" s="12">
        <f>IF(A982="","",$B$10*TAN(RADIANS(A982)))</f>
        <v/>
      </c>
    </row>
    <row r="983">
      <c r="A983" s="11" t="n"/>
      <c r="B983" s="11" t="n"/>
      <c r="C983" s="12">
        <f>IF(A983="","",$B$9*TAN(RADIANS(A983)))</f>
        <v/>
      </c>
      <c r="D983" s="12">
        <f>IF(C983="","",C983*(1+B983/100))</f>
        <v/>
      </c>
      <c r="E983" s="12">
        <f>IF(A983="","",$B$10*TAN(RADIANS(A983)))</f>
        <v/>
      </c>
    </row>
    <row r="984">
      <c r="A984" s="11" t="n"/>
      <c r="B984" s="11" t="n"/>
      <c r="C984" s="12">
        <f>IF(A984="","",$B$9*TAN(RADIANS(A984)))</f>
        <v/>
      </c>
      <c r="D984" s="12">
        <f>IF(C984="","",C984*(1+B984/100))</f>
        <v/>
      </c>
      <c r="E984" s="12">
        <f>IF(A984="","",$B$10*TAN(RADIANS(A984)))</f>
        <v/>
      </c>
    </row>
    <row r="985">
      <c r="A985" s="11" t="n"/>
      <c r="B985" s="11" t="n"/>
      <c r="C985" s="12">
        <f>IF(A985="","",$B$9*TAN(RADIANS(A985)))</f>
        <v/>
      </c>
      <c r="D985" s="12">
        <f>IF(C985="","",C985*(1+B985/100))</f>
        <v/>
      </c>
      <c r="E985" s="12">
        <f>IF(A985="","",$B$10*TAN(RADIANS(A985)))</f>
        <v/>
      </c>
    </row>
    <row r="986">
      <c r="A986" s="11" t="n"/>
      <c r="B986" s="11" t="n"/>
      <c r="C986" s="12">
        <f>IF(A986="","",$B$9*TAN(RADIANS(A986)))</f>
        <v/>
      </c>
      <c r="D986" s="12">
        <f>IF(C986="","",C986*(1+B986/100))</f>
        <v/>
      </c>
      <c r="E986" s="12">
        <f>IF(A986="","",$B$10*TAN(RADIANS(A986)))</f>
        <v/>
      </c>
    </row>
    <row r="987">
      <c r="A987" s="11" t="n"/>
      <c r="B987" s="11" t="n"/>
      <c r="C987" s="12">
        <f>IF(A987="","",$B$9*TAN(RADIANS(A987)))</f>
        <v/>
      </c>
      <c r="D987" s="12">
        <f>IF(C987="","",C987*(1+B987/100))</f>
        <v/>
      </c>
      <c r="E987" s="12">
        <f>IF(A987="","",$B$10*TAN(RADIANS(A987)))</f>
        <v/>
      </c>
    </row>
    <row r="988">
      <c r="A988" s="11" t="n"/>
      <c r="B988" s="11" t="n"/>
      <c r="C988" s="12">
        <f>IF(A988="","",$B$9*TAN(RADIANS(A988)))</f>
        <v/>
      </c>
      <c r="D988" s="12">
        <f>IF(C988="","",C988*(1+B988/100))</f>
        <v/>
      </c>
      <c r="E988" s="12">
        <f>IF(A988="","",$B$10*TAN(RADIANS(A988)))</f>
        <v/>
      </c>
    </row>
    <row r="989">
      <c r="A989" s="11" t="n"/>
      <c r="B989" s="11" t="n"/>
      <c r="C989" s="12">
        <f>IF(A989="","",$B$9*TAN(RADIANS(A989)))</f>
        <v/>
      </c>
      <c r="D989" s="12">
        <f>IF(C989="","",C989*(1+B989/100))</f>
        <v/>
      </c>
      <c r="E989" s="12">
        <f>IF(A989="","",$B$10*TAN(RADIANS(A989)))</f>
        <v/>
      </c>
    </row>
    <row r="990">
      <c r="A990" s="11" t="n"/>
      <c r="B990" s="11" t="n"/>
      <c r="C990" s="12">
        <f>IF(A990="","",$B$9*TAN(RADIANS(A990)))</f>
        <v/>
      </c>
      <c r="D990" s="12">
        <f>IF(C990="","",C990*(1+B990/100))</f>
        <v/>
      </c>
      <c r="E990" s="12">
        <f>IF(A990="","",$B$10*TAN(RADIANS(A990)))</f>
        <v/>
      </c>
    </row>
    <row r="991">
      <c r="A991" s="11" t="n"/>
      <c r="B991" s="11" t="n"/>
      <c r="C991" s="12">
        <f>IF(A991="","",$B$9*TAN(RADIANS(A991)))</f>
        <v/>
      </c>
      <c r="D991" s="12">
        <f>IF(C991="","",C991*(1+B991/100))</f>
        <v/>
      </c>
      <c r="E991" s="12">
        <f>IF(A991="","",$B$10*TAN(RADIANS(A991)))</f>
        <v/>
      </c>
    </row>
    <row r="992">
      <c r="A992" s="11" t="n"/>
      <c r="B992" s="11" t="n"/>
      <c r="C992" s="12">
        <f>IF(A992="","",$B$9*TAN(RADIANS(A992)))</f>
        <v/>
      </c>
      <c r="D992" s="12">
        <f>IF(C992="","",C992*(1+B992/100))</f>
        <v/>
      </c>
      <c r="E992" s="12">
        <f>IF(A992="","",$B$10*TAN(RADIANS(A992)))</f>
        <v/>
      </c>
    </row>
    <row r="993">
      <c r="A993" s="11" t="n"/>
      <c r="B993" s="11" t="n"/>
      <c r="C993" s="12">
        <f>IF(A993="","",$B$9*TAN(RADIANS(A993)))</f>
        <v/>
      </c>
      <c r="D993" s="12">
        <f>IF(C993="","",C993*(1+B993/100))</f>
        <v/>
      </c>
      <c r="E993" s="12">
        <f>IF(A993="","",$B$10*TAN(RADIANS(A993)))</f>
        <v/>
      </c>
    </row>
    <row r="994">
      <c r="A994" s="11" t="n"/>
      <c r="B994" s="11" t="n"/>
      <c r="C994" s="12">
        <f>IF(A994="","",$B$9*TAN(RADIANS(A994)))</f>
        <v/>
      </c>
      <c r="D994" s="12">
        <f>IF(C994="","",C994*(1+B994/100))</f>
        <v/>
      </c>
      <c r="E994" s="12">
        <f>IF(A994="","",$B$10*TAN(RADIANS(A994)))</f>
        <v/>
      </c>
    </row>
    <row r="995">
      <c r="A995" s="11" t="n"/>
      <c r="B995" s="11" t="n"/>
      <c r="C995" s="12">
        <f>IF(A995="","",$B$9*TAN(RADIANS(A995)))</f>
        <v/>
      </c>
      <c r="D995" s="12">
        <f>IF(C995="","",C995*(1+B995/100))</f>
        <v/>
      </c>
      <c r="E995" s="12">
        <f>IF(A995="","",$B$10*TAN(RADIANS(A995)))</f>
        <v/>
      </c>
    </row>
    <row r="996">
      <c r="A996" s="11" t="n"/>
      <c r="B996" s="11" t="n"/>
      <c r="C996" s="12">
        <f>IF(A996="","",$B$9*TAN(RADIANS(A996)))</f>
        <v/>
      </c>
      <c r="D996" s="12">
        <f>IF(C996="","",C996*(1+B996/100))</f>
        <v/>
      </c>
      <c r="E996" s="12">
        <f>IF(A996="","",$B$10*TAN(RADIANS(A996)))</f>
        <v/>
      </c>
    </row>
    <row r="997">
      <c r="A997" s="11" t="n"/>
      <c r="B997" s="11" t="n"/>
      <c r="C997" s="12">
        <f>IF(A997="","",$B$9*TAN(RADIANS(A997)))</f>
        <v/>
      </c>
      <c r="D997" s="12">
        <f>IF(C997="","",C997*(1+B997/100))</f>
        <v/>
      </c>
      <c r="E997" s="12">
        <f>IF(A997="","",$B$10*TAN(RADIANS(A997)))</f>
        <v/>
      </c>
    </row>
    <row r="998">
      <c r="A998" s="11" t="n"/>
      <c r="B998" s="11" t="n"/>
      <c r="C998" s="12">
        <f>IF(A998="","",$B$9*TAN(RADIANS(A998)))</f>
        <v/>
      </c>
      <c r="D998" s="12">
        <f>IF(C998="","",C998*(1+B998/100))</f>
        <v/>
      </c>
      <c r="E998" s="12">
        <f>IF(A998="","",$B$10*TAN(RADIANS(A998)))</f>
        <v/>
      </c>
    </row>
    <row r="999">
      <c r="A999" s="11" t="n"/>
      <c r="B999" s="11" t="n"/>
      <c r="C999" s="12">
        <f>IF(A999="","",$B$9*TAN(RADIANS(A999)))</f>
        <v/>
      </c>
      <c r="D999" s="12">
        <f>IF(C999="","",C999*(1+B999/100))</f>
        <v/>
      </c>
      <c r="E999" s="12">
        <f>IF(A999="","",$B$10*TAN(RADIANS(A999)))</f>
        <v/>
      </c>
    </row>
    <row r="1000">
      <c r="A1000" s="11" t="n"/>
      <c r="B1000" s="11" t="n"/>
      <c r="C1000" s="12">
        <f>IF(A1000="","",$B$9*TAN(RADIANS(A1000)))</f>
        <v/>
      </c>
      <c r="D1000" s="12">
        <f>IF(C1000="","",C1000*(1+B1000/100))</f>
        <v/>
      </c>
      <c r="E1000" s="12">
        <f>IF(A1000="","",$B$10*TAN(RADIANS(A1000)))</f>
        <v/>
      </c>
    </row>
    <row r="1001">
      <c r="A1001" s="11" t="n"/>
      <c r="B1001" s="11" t="n"/>
      <c r="C1001" s="12">
        <f>IF(A1001="","",$B$9*TAN(RADIANS(A1001)))</f>
        <v/>
      </c>
      <c r="D1001" s="12">
        <f>IF(C1001="","",C1001*(1+B1001/100))</f>
        <v/>
      </c>
      <c r="E1001" s="12">
        <f>IF(A1001="","",$B$10*TAN(RADIANS(A1001)))</f>
        <v/>
      </c>
    </row>
    <row r="1002">
      <c r="A1002" s="11" t="n"/>
      <c r="B1002" s="11" t="n"/>
      <c r="C1002" s="12">
        <f>IF(A1002="","",$B$9*TAN(RADIANS(A1002)))</f>
        <v/>
      </c>
      <c r="D1002" s="12">
        <f>IF(C1002="","",C1002*(1+B1002/100))</f>
        <v/>
      </c>
      <c r="E1002" s="12">
        <f>IF(A1002="","",$B$10*TAN(RADIANS(A1002)))</f>
        <v/>
      </c>
    </row>
    <row r="1003">
      <c r="A1003" s="11" t="n"/>
      <c r="B1003" s="11" t="n"/>
      <c r="C1003" s="12">
        <f>IF(A1003="","",$B$9*TAN(RADIANS(A1003)))</f>
        <v/>
      </c>
      <c r="D1003" s="12">
        <f>IF(C1003="","",C1003*(1+B1003/100))</f>
        <v/>
      </c>
      <c r="E1003" s="12">
        <f>IF(A1003="","",$B$10*TAN(RADIANS(A1003)))</f>
        <v/>
      </c>
    </row>
    <row r="1004">
      <c r="A1004" s="11" t="n"/>
      <c r="B1004" s="11" t="n"/>
      <c r="C1004" s="12">
        <f>IF(A1004="","",$B$9*TAN(RADIANS(A1004)))</f>
        <v/>
      </c>
      <c r="D1004" s="12">
        <f>IF(C1004="","",C1004*(1+B1004/100))</f>
        <v/>
      </c>
      <c r="E1004" s="12">
        <f>IF(A1004="","",$B$10*TAN(RADIANS(A1004)))</f>
        <v/>
      </c>
    </row>
    <row r="1005">
      <c r="A1005" s="11" t="n"/>
      <c r="B1005" s="11" t="n"/>
      <c r="C1005" s="12">
        <f>IF(A1005="","",$B$9*TAN(RADIANS(A1005)))</f>
        <v/>
      </c>
      <c r="D1005" s="12">
        <f>IF(C1005="","",C1005*(1+B1005/100))</f>
        <v/>
      </c>
      <c r="E1005" s="12">
        <f>IF(A1005="","",$B$10*TAN(RADIANS(A1005)))</f>
        <v/>
      </c>
    </row>
    <row r="1006">
      <c r="A1006" s="11" t="n"/>
      <c r="B1006" s="11" t="n"/>
      <c r="C1006" s="12">
        <f>IF(A1006="","",$B$9*TAN(RADIANS(A1006)))</f>
        <v/>
      </c>
      <c r="D1006" s="12">
        <f>IF(C1006="","",C1006*(1+B1006/100))</f>
        <v/>
      </c>
      <c r="E1006" s="12">
        <f>IF(A1006="","",$B$10*TAN(RADIANS(A1006)))</f>
        <v/>
      </c>
    </row>
    <row r="1007">
      <c r="A1007" s="11" t="n"/>
      <c r="B1007" s="11" t="n"/>
      <c r="C1007" s="12">
        <f>IF(A1007="","",$B$9*TAN(RADIANS(A1007)))</f>
        <v/>
      </c>
      <c r="D1007" s="12">
        <f>IF(C1007="","",C1007*(1+B1007/100))</f>
        <v/>
      </c>
      <c r="E1007" s="12">
        <f>IF(A1007="","",$B$10*TAN(RADIANS(A1007)))</f>
        <v/>
      </c>
    </row>
    <row r="1008">
      <c r="A1008" s="11" t="n"/>
      <c r="B1008" s="11" t="n"/>
      <c r="C1008" s="12">
        <f>IF(A1008="","",$B$9*TAN(RADIANS(A1008)))</f>
        <v/>
      </c>
      <c r="D1008" s="12">
        <f>IF(C1008="","",C1008*(1+B1008/100))</f>
        <v/>
      </c>
      <c r="E1008" s="12">
        <f>IF(A1008="","",$B$10*TAN(RADIANS(A1008)))</f>
        <v/>
      </c>
    </row>
    <row r="1009">
      <c r="A1009" s="11" t="n"/>
      <c r="B1009" s="11" t="n"/>
      <c r="C1009" s="12">
        <f>IF(A1009="","",$B$9*TAN(RADIANS(A1009)))</f>
        <v/>
      </c>
      <c r="D1009" s="12">
        <f>IF(C1009="","",C1009*(1+B1009/100))</f>
        <v/>
      </c>
      <c r="E1009" s="12">
        <f>IF(A1009="","",$B$10*TAN(RADIANS(A1009)))</f>
        <v/>
      </c>
    </row>
    <row r="1010">
      <c r="A1010" s="11" t="n"/>
      <c r="B1010" s="11" t="n"/>
      <c r="C1010" s="12">
        <f>IF(A1010="","",$B$9*TAN(RADIANS(A1010)))</f>
        <v/>
      </c>
      <c r="D1010" s="12">
        <f>IF(C1010="","",C1010*(1+B1010/100))</f>
        <v/>
      </c>
      <c r="E1010" s="12">
        <f>IF(A1010="","",$B$10*TAN(RADIANS(A1010)))</f>
        <v/>
      </c>
    </row>
    <row r="1011">
      <c r="A1011" s="11" t="n"/>
      <c r="B1011" s="11" t="n"/>
      <c r="C1011" s="12">
        <f>IF(A1011="","",$B$9*TAN(RADIANS(A1011)))</f>
        <v/>
      </c>
      <c r="D1011" s="12">
        <f>IF(C1011="","",C1011*(1+B1011/100))</f>
        <v/>
      </c>
      <c r="E1011" s="12">
        <f>IF(A1011="","",$B$10*TAN(RADIANS(A1011)))</f>
        <v/>
      </c>
    </row>
    <row r="1012">
      <c r="A1012" s="11" t="n"/>
      <c r="B1012" s="11" t="n"/>
      <c r="C1012" s="12">
        <f>IF(A1012="","",$B$9*TAN(RADIANS(A1012)))</f>
        <v/>
      </c>
      <c r="D1012" s="12">
        <f>IF(C1012="","",C1012*(1+B1012/100))</f>
        <v/>
      </c>
      <c r="E1012" s="12">
        <f>IF(A1012="","",$B$10*TAN(RADIANS(A1012)))</f>
        <v/>
      </c>
    </row>
    <row r="1013">
      <c r="A1013" s="11" t="n"/>
      <c r="B1013" s="11" t="n"/>
      <c r="C1013" s="12">
        <f>IF(A1013="","",$B$9*TAN(RADIANS(A1013)))</f>
        <v/>
      </c>
      <c r="D1013" s="12">
        <f>IF(C1013="","",C1013*(1+B1013/100))</f>
        <v/>
      </c>
      <c r="E1013" s="12">
        <f>IF(A1013="","",$B$10*TAN(RADIANS(A1013)))</f>
        <v/>
      </c>
    </row>
    <row r="1014">
      <c r="A1014" s="11" t="n"/>
      <c r="B1014" s="11" t="n"/>
      <c r="C1014" s="12">
        <f>IF(A1014="","",$B$9*TAN(RADIANS(A1014)))</f>
        <v/>
      </c>
      <c r="D1014" s="12">
        <f>IF(C1014="","",C1014*(1+B1014/100))</f>
        <v/>
      </c>
      <c r="E1014" s="12">
        <f>IF(A1014="","",$B$10*TAN(RADIANS(A1014)))</f>
        <v/>
      </c>
    </row>
    <row r="1015">
      <c r="A1015" s="11" t="n"/>
      <c r="B1015" s="11" t="n"/>
      <c r="C1015" s="12">
        <f>IF(A1015="","",$B$9*TAN(RADIANS(A1015)))</f>
        <v/>
      </c>
      <c r="D1015" s="12">
        <f>IF(C1015="","",C1015*(1+B1015/100))</f>
        <v/>
      </c>
      <c r="E1015" s="12">
        <f>IF(A1015="","",$B$10*TAN(RADIANS(A1015)))</f>
        <v/>
      </c>
    </row>
    <row r="1016">
      <c r="A1016" s="11" t="n"/>
      <c r="B1016" s="11" t="n"/>
      <c r="C1016" s="12">
        <f>IF(A1016="","",$B$9*TAN(RADIANS(A1016)))</f>
        <v/>
      </c>
      <c r="D1016" s="12">
        <f>IF(C1016="","",C1016*(1+B1016/100))</f>
        <v/>
      </c>
      <c r="E1016" s="12">
        <f>IF(A1016="","",$B$10*TAN(RADIANS(A1016)))</f>
        <v/>
      </c>
    </row>
    <row r="1017">
      <c r="A1017" s="11" t="n"/>
      <c r="B1017" s="11" t="n"/>
      <c r="C1017" s="12">
        <f>IF(A1017="","",$B$9*TAN(RADIANS(A1017)))</f>
        <v/>
      </c>
      <c r="D1017" s="12">
        <f>IF(C1017="","",C1017*(1+B1017/100))</f>
        <v/>
      </c>
      <c r="E1017" s="12">
        <f>IF(A1017="","",$B$10*TAN(RADIANS(A1017)))</f>
        <v/>
      </c>
    </row>
    <row r="1018">
      <c r="A1018" s="11" t="n"/>
      <c r="B1018" s="11" t="n"/>
      <c r="C1018" s="12">
        <f>IF(A1018="","",$B$9*TAN(RADIANS(A1018)))</f>
        <v/>
      </c>
      <c r="D1018" s="12">
        <f>IF(C1018="","",C1018*(1+B1018/100))</f>
        <v/>
      </c>
      <c r="E1018" s="12">
        <f>IF(A1018="","",$B$10*TAN(RADIANS(A1018)))</f>
        <v/>
      </c>
    </row>
    <row r="1019">
      <c r="A1019" s="11" t="n"/>
      <c r="B1019" s="11" t="n"/>
      <c r="C1019" s="12">
        <f>IF(A1019="","",$B$9*TAN(RADIANS(A1019)))</f>
        <v/>
      </c>
      <c r="D1019" s="12">
        <f>IF(C1019="","",C1019*(1+B1019/100))</f>
        <v/>
      </c>
      <c r="E1019" s="12">
        <f>IF(A1019="","",$B$10*TAN(RADIANS(A1019)))</f>
        <v/>
      </c>
    </row>
    <row r="1020">
      <c r="A1020" s="11" t="n"/>
      <c r="B1020" s="11" t="n"/>
      <c r="C1020" s="12">
        <f>IF(A1020="","",$B$9*TAN(RADIANS(A1020)))</f>
        <v/>
      </c>
      <c r="D1020" s="12">
        <f>IF(C1020="","",C1020*(1+B1020/100))</f>
        <v/>
      </c>
      <c r="E1020" s="12">
        <f>IF(A1020="","",$B$10*TAN(RADIANS(A1020)))</f>
        <v/>
      </c>
    </row>
    <row r="1021">
      <c r="A1021" s="11" t="n"/>
      <c r="B1021" s="11" t="n"/>
      <c r="C1021" s="12">
        <f>IF(A1021="","",$B$9*TAN(RADIANS(A1021)))</f>
        <v/>
      </c>
      <c r="D1021" s="12">
        <f>IF(C1021="","",C1021*(1+B1021/100))</f>
        <v/>
      </c>
      <c r="E1021" s="12">
        <f>IF(A1021="","",$B$10*TAN(RADIANS(A1021)))</f>
        <v/>
      </c>
    </row>
    <row r="1022">
      <c r="A1022" s="11" t="n"/>
      <c r="B1022" s="11" t="n"/>
      <c r="C1022" s="12">
        <f>IF(A1022="","",$B$9*TAN(RADIANS(A1022)))</f>
        <v/>
      </c>
      <c r="D1022" s="12">
        <f>IF(C1022="","",C1022*(1+B1022/100))</f>
        <v/>
      </c>
      <c r="E1022" s="12">
        <f>IF(A1022="","",$B$10*TAN(RADIANS(A1022)))</f>
        <v/>
      </c>
    </row>
    <row r="1023">
      <c r="A1023" s="11" t="n"/>
      <c r="B1023" s="11" t="n"/>
      <c r="C1023" s="12">
        <f>IF(A1023="","",$B$9*TAN(RADIANS(A1023)))</f>
        <v/>
      </c>
      <c r="D1023" s="12">
        <f>IF(C1023="","",C1023*(1+B1023/100))</f>
        <v/>
      </c>
      <c r="E1023" s="12">
        <f>IF(A1023="","",$B$10*TAN(RADIANS(A1023)))</f>
        <v/>
      </c>
    </row>
    <row r="1024">
      <c r="A1024" s="11" t="n"/>
      <c r="B1024" s="11" t="n"/>
      <c r="C1024" s="12">
        <f>IF(A1024="","",$B$9*TAN(RADIANS(A1024)))</f>
        <v/>
      </c>
      <c r="D1024" s="12">
        <f>IF(C1024="","",C1024*(1+B1024/100))</f>
        <v/>
      </c>
      <c r="E1024" s="12">
        <f>IF(A1024="","",$B$10*TAN(RADIANS(A1024)))</f>
        <v/>
      </c>
    </row>
    <row r="1025">
      <c r="A1025" s="11" t="n"/>
      <c r="B1025" s="11" t="n"/>
      <c r="C1025" s="12">
        <f>IF(A1025="","",$B$9*TAN(RADIANS(A1025)))</f>
        <v/>
      </c>
      <c r="D1025" s="12">
        <f>IF(C1025="","",C1025*(1+B1025/100))</f>
        <v/>
      </c>
      <c r="E1025" s="12">
        <f>IF(A1025="","",$B$10*TAN(RADIANS(A1025)))</f>
        <v/>
      </c>
    </row>
    <row r="1026">
      <c r="A1026" s="11" t="n"/>
      <c r="B1026" s="11" t="n"/>
      <c r="C1026" s="12">
        <f>IF(A1026="","",$B$9*TAN(RADIANS(A1026)))</f>
        <v/>
      </c>
      <c r="D1026" s="12">
        <f>IF(C1026="","",C1026*(1+B1026/100))</f>
        <v/>
      </c>
      <c r="E1026" s="12">
        <f>IF(A1026="","",$B$10*TAN(RADIANS(A1026)))</f>
        <v/>
      </c>
    </row>
    <row r="1027">
      <c r="A1027" s="11" t="n"/>
      <c r="B1027" s="11" t="n"/>
      <c r="C1027" s="12">
        <f>IF(A1027="","",$B$9*TAN(RADIANS(A1027)))</f>
        <v/>
      </c>
      <c r="D1027" s="12">
        <f>IF(C1027="","",C1027*(1+B1027/100))</f>
        <v/>
      </c>
      <c r="E1027" s="12">
        <f>IF(A1027="","",$B$10*TAN(RADIANS(A1027)))</f>
        <v/>
      </c>
    </row>
    <row r="1028">
      <c r="A1028" s="11" t="n"/>
      <c r="B1028" s="11" t="n"/>
      <c r="C1028" s="12">
        <f>IF(A1028="","",$B$9*TAN(RADIANS(A1028)))</f>
        <v/>
      </c>
      <c r="D1028" s="12">
        <f>IF(C1028="","",C1028*(1+B1028/100))</f>
        <v/>
      </c>
      <c r="E1028" s="12">
        <f>IF(A1028="","",$B$10*TAN(RADIANS(A1028)))</f>
        <v/>
      </c>
    </row>
    <row r="1029">
      <c r="A1029" s="11" t="n"/>
      <c r="B1029" s="11" t="n"/>
      <c r="C1029" s="12">
        <f>IF(A1029="","",$B$9*TAN(RADIANS(A1029)))</f>
        <v/>
      </c>
      <c r="D1029" s="12">
        <f>IF(C1029="","",C1029*(1+B1029/100))</f>
        <v/>
      </c>
      <c r="E1029" s="12">
        <f>IF(A1029="","",$B$10*TAN(RADIANS(A1029)))</f>
        <v/>
      </c>
    </row>
    <row r="1030">
      <c r="A1030" s="11" t="n"/>
      <c r="B1030" s="11" t="n"/>
      <c r="C1030" s="12">
        <f>IF(A1030="","",$B$9*TAN(RADIANS(A1030)))</f>
        <v/>
      </c>
      <c r="D1030" s="12">
        <f>IF(C1030="","",C1030*(1+B1030/100))</f>
        <v/>
      </c>
      <c r="E1030" s="12">
        <f>IF(A1030="","",$B$10*TAN(RADIANS(A1030)))</f>
        <v/>
      </c>
    </row>
    <row r="1031">
      <c r="A1031" s="11" t="n"/>
      <c r="B1031" s="11" t="n"/>
      <c r="C1031" s="12">
        <f>IF(A1031="","",$B$9*TAN(RADIANS(A1031)))</f>
        <v/>
      </c>
      <c r="D1031" s="12">
        <f>IF(C1031="","",C1031*(1+B1031/100))</f>
        <v/>
      </c>
      <c r="E1031" s="12">
        <f>IF(A1031="","",$B$10*TAN(RADIANS(A1031)))</f>
        <v/>
      </c>
    </row>
    <row r="1032">
      <c r="A1032" s="11" t="n"/>
      <c r="B1032" s="11" t="n"/>
      <c r="C1032" s="12">
        <f>IF(A1032="","",$B$9*TAN(RADIANS(A1032)))</f>
        <v/>
      </c>
      <c r="D1032" s="12">
        <f>IF(C1032="","",C1032*(1+B1032/100))</f>
        <v/>
      </c>
      <c r="E1032" s="12">
        <f>IF(A1032="","",$B$10*TAN(RADIANS(A1032)))</f>
        <v/>
      </c>
    </row>
    <row r="1033">
      <c r="A1033" s="11" t="n"/>
      <c r="B1033" s="11" t="n"/>
      <c r="C1033" s="12">
        <f>IF(A1033="","",$B$9*TAN(RADIANS(A1033)))</f>
        <v/>
      </c>
      <c r="D1033" s="12">
        <f>IF(C1033="","",C1033*(1+B1033/100))</f>
        <v/>
      </c>
      <c r="E1033" s="12">
        <f>IF(A1033="","",$B$10*TAN(RADIANS(A1033)))</f>
        <v/>
      </c>
    </row>
    <row r="1034">
      <c r="A1034" s="11" t="n"/>
      <c r="B1034" s="11" t="n"/>
      <c r="C1034" s="12">
        <f>IF(A1034="","",$B$9*TAN(RADIANS(A1034)))</f>
        <v/>
      </c>
      <c r="D1034" s="12">
        <f>IF(C1034="","",C1034*(1+B1034/100))</f>
        <v/>
      </c>
      <c r="E1034" s="12">
        <f>IF(A1034="","",$B$10*TAN(RADIANS(A1034)))</f>
        <v/>
      </c>
    </row>
    <row r="1035">
      <c r="A1035" s="11" t="n"/>
      <c r="B1035" s="11" t="n"/>
      <c r="C1035" s="12">
        <f>IF(A1035="","",$B$9*TAN(RADIANS(A1035)))</f>
        <v/>
      </c>
      <c r="D1035" s="12">
        <f>IF(C1035="","",C1035*(1+B1035/100))</f>
        <v/>
      </c>
      <c r="E1035" s="12">
        <f>IF(A1035="","",$B$10*TAN(RADIANS(A1035)))</f>
        <v/>
      </c>
    </row>
    <row r="1036">
      <c r="A1036" s="11" t="n"/>
      <c r="B1036" s="11" t="n"/>
      <c r="C1036" s="12">
        <f>IF(A1036="","",$B$9*TAN(RADIANS(A1036)))</f>
        <v/>
      </c>
      <c r="D1036" s="12">
        <f>IF(C1036="","",C1036*(1+B1036/100))</f>
        <v/>
      </c>
      <c r="E1036" s="12">
        <f>IF(A1036="","",$B$10*TAN(RADIANS(A1036)))</f>
        <v/>
      </c>
    </row>
    <row r="1037">
      <c r="A1037" s="11" t="n"/>
      <c r="B1037" s="11" t="n"/>
      <c r="C1037" s="12">
        <f>IF(A1037="","",$B$9*TAN(RADIANS(A1037)))</f>
        <v/>
      </c>
      <c r="D1037" s="12">
        <f>IF(C1037="","",C1037*(1+B1037/100))</f>
        <v/>
      </c>
      <c r="E1037" s="12">
        <f>IF(A1037="","",$B$10*TAN(RADIANS(A1037)))</f>
        <v/>
      </c>
    </row>
    <row r="1038">
      <c r="A1038" s="11" t="n"/>
      <c r="B1038" s="11" t="n"/>
      <c r="C1038" s="12">
        <f>IF(A1038="","",$B$9*TAN(RADIANS(A1038)))</f>
        <v/>
      </c>
      <c r="D1038" s="12">
        <f>IF(C1038="","",C1038*(1+B1038/100))</f>
        <v/>
      </c>
      <c r="E1038" s="12">
        <f>IF(A1038="","",$B$10*TAN(RADIANS(A1038)))</f>
        <v/>
      </c>
    </row>
    <row r="1039">
      <c r="A1039" s="11" t="n"/>
      <c r="B1039" s="11" t="n"/>
      <c r="C1039" s="12">
        <f>IF(A1039="","",$B$9*TAN(RADIANS(A1039)))</f>
        <v/>
      </c>
      <c r="D1039" s="12">
        <f>IF(C1039="","",C1039*(1+B1039/100))</f>
        <v/>
      </c>
      <c r="E1039" s="12">
        <f>IF(A1039="","",$B$10*TAN(RADIANS(A1039)))</f>
        <v/>
      </c>
    </row>
    <row r="1040">
      <c r="A1040" s="11" t="n"/>
      <c r="B1040" s="11" t="n"/>
      <c r="C1040" s="12">
        <f>IF(A1040="","",$B$9*TAN(RADIANS(A1040)))</f>
        <v/>
      </c>
      <c r="D1040" s="12">
        <f>IF(C1040="","",C1040*(1+B1040/100))</f>
        <v/>
      </c>
      <c r="E1040" s="12">
        <f>IF(A1040="","",$B$10*TAN(RADIANS(A1040)))</f>
        <v/>
      </c>
    </row>
    <row r="1041">
      <c r="A1041" s="11" t="n"/>
      <c r="B1041" s="11" t="n"/>
      <c r="C1041" s="12">
        <f>IF(A1041="","",$B$9*TAN(RADIANS(A1041)))</f>
        <v/>
      </c>
      <c r="D1041" s="12">
        <f>IF(C1041="","",C1041*(1+B1041/100))</f>
        <v/>
      </c>
      <c r="E1041" s="12">
        <f>IF(A1041="","",$B$10*TAN(RADIANS(A1041)))</f>
        <v/>
      </c>
    </row>
    <row r="1042">
      <c r="A1042" s="11" t="n"/>
      <c r="B1042" s="11" t="n"/>
      <c r="C1042" s="12">
        <f>IF(A1042="","",$B$9*TAN(RADIANS(A1042)))</f>
        <v/>
      </c>
      <c r="D1042" s="12">
        <f>IF(C1042="","",C1042*(1+B1042/100))</f>
        <v/>
      </c>
      <c r="E1042" s="12">
        <f>IF(A1042="","",$B$10*TAN(RADIANS(A1042)))</f>
        <v/>
      </c>
    </row>
    <row r="1043">
      <c r="A1043" s="11" t="n"/>
      <c r="B1043" s="11" t="n"/>
      <c r="C1043" s="12">
        <f>IF(A1043="","",$B$9*TAN(RADIANS(A1043)))</f>
        <v/>
      </c>
      <c r="D1043" s="12">
        <f>IF(C1043="","",C1043*(1+B1043/100))</f>
        <v/>
      </c>
      <c r="E1043" s="12">
        <f>IF(A1043="","",$B$10*TAN(RADIANS(A1043)))</f>
        <v/>
      </c>
    </row>
    <row r="1044">
      <c r="A1044" s="11" t="n"/>
      <c r="B1044" s="11" t="n"/>
      <c r="C1044" s="12">
        <f>IF(A1044="","",$B$9*TAN(RADIANS(A1044)))</f>
        <v/>
      </c>
      <c r="D1044" s="12">
        <f>IF(C1044="","",C1044*(1+B1044/100))</f>
        <v/>
      </c>
      <c r="E1044" s="12">
        <f>IF(A1044="","",$B$10*TAN(RADIANS(A1044)))</f>
        <v/>
      </c>
    </row>
    <row r="1045">
      <c r="A1045" s="11" t="n"/>
      <c r="B1045" s="11" t="n"/>
      <c r="C1045" s="12">
        <f>IF(A1045="","",$B$9*TAN(RADIANS(A1045)))</f>
        <v/>
      </c>
      <c r="D1045" s="12">
        <f>IF(C1045="","",C1045*(1+B1045/100))</f>
        <v/>
      </c>
      <c r="E1045" s="12">
        <f>IF(A1045="","",$B$10*TAN(RADIANS(A1045)))</f>
        <v/>
      </c>
    </row>
    <row r="1046">
      <c r="A1046" s="11" t="n"/>
      <c r="B1046" s="11" t="n"/>
      <c r="C1046" s="12">
        <f>IF(A1046="","",$B$9*TAN(RADIANS(A1046)))</f>
        <v/>
      </c>
      <c r="D1046" s="12">
        <f>IF(C1046="","",C1046*(1+B1046/100))</f>
        <v/>
      </c>
      <c r="E1046" s="12">
        <f>IF(A1046="","",$B$10*TAN(RADIANS(A1046)))</f>
        <v/>
      </c>
    </row>
    <row r="1047">
      <c r="A1047" s="11" t="n"/>
      <c r="B1047" s="11" t="n"/>
      <c r="C1047" s="12">
        <f>IF(A1047="","",$B$9*TAN(RADIANS(A1047)))</f>
        <v/>
      </c>
      <c r="D1047" s="12">
        <f>IF(C1047="","",C1047*(1+B1047/100))</f>
        <v/>
      </c>
      <c r="E1047" s="12">
        <f>IF(A1047="","",$B$10*TAN(RADIANS(A1047)))</f>
        <v/>
      </c>
    </row>
    <row r="1048">
      <c r="A1048" s="11" t="n"/>
      <c r="B1048" s="11" t="n"/>
      <c r="C1048" s="12">
        <f>IF(A1048="","",$B$9*TAN(RADIANS(A1048)))</f>
        <v/>
      </c>
      <c r="D1048" s="12">
        <f>IF(C1048="","",C1048*(1+B1048/100))</f>
        <v/>
      </c>
      <c r="E1048" s="12">
        <f>IF(A1048="","",$B$10*TAN(RADIANS(A1048)))</f>
        <v/>
      </c>
    </row>
    <row r="1049">
      <c r="A1049" s="11" t="n"/>
      <c r="B1049" s="11" t="n"/>
      <c r="C1049" s="12">
        <f>IF(A1049="","",$B$9*TAN(RADIANS(A1049)))</f>
        <v/>
      </c>
      <c r="D1049" s="12">
        <f>IF(C1049="","",C1049*(1+B1049/100))</f>
        <v/>
      </c>
      <c r="E1049" s="12">
        <f>IF(A1049="","",$B$10*TAN(RADIANS(A1049)))</f>
        <v/>
      </c>
    </row>
    <row r="1050">
      <c r="A1050" s="11" t="n"/>
      <c r="B1050" s="11" t="n"/>
      <c r="C1050" s="12">
        <f>IF(A1050="","",$B$9*TAN(RADIANS(A1050)))</f>
        <v/>
      </c>
      <c r="D1050" s="12">
        <f>IF(C1050="","",C1050*(1+B1050/100))</f>
        <v/>
      </c>
      <c r="E1050" s="12">
        <f>IF(A1050="","",$B$10*TAN(RADIANS(A1050)))</f>
        <v/>
      </c>
    </row>
    <row r="1051">
      <c r="A1051" s="11" t="n"/>
      <c r="B1051" s="11" t="n"/>
      <c r="C1051" s="12">
        <f>IF(A1051="","",$B$9*TAN(RADIANS(A1051)))</f>
        <v/>
      </c>
      <c r="D1051" s="12">
        <f>IF(C1051="","",C1051*(1+B1051/100))</f>
        <v/>
      </c>
      <c r="E1051" s="12">
        <f>IF(A1051="","",$B$10*TAN(RADIANS(A1051)))</f>
        <v/>
      </c>
    </row>
    <row r="1052">
      <c r="A1052" s="11" t="n"/>
      <c r="B1052" s="11" t="n"/>
      <c r="C1052" s="12">
        <f>IF(A1052="","",$B$9*TAN(RADIANS(A1052)))</f>
        <v/>
      </c>
      <c r="D1052" s="12">
        <f>IF(C1052="","",C1052*(1+B1052/100))</f>
        <v/>
      </c>
      <c r="E1052" s="12">
        <f>IF(A1052="","",$B$10*TAN(RADIANS(A1052)))</f>
        <v/>
      </c>
    </row>
    <row r="1053">
      <c r="A1053" s="11" t="n"/>
      <c r="B1053" s="11" t="n"/>
      <c r="C1053" s="12">
        <f>IF(A1053="","",$B$9*TAN(RADIANS(A1053)))</f>
        <v/>
      </c>
      <c r="D1053" s="12">
        <f>IF(C1053="","",C1053*(1+B1053/100))</f>
        <v/>
      </c>
      <c r="E1053" s="12">
        <f>IF(A1053="","",$B$10*TAN(RADIANS(A1053)))</f>
        <v/>
      </c>
    </row>
    <row r="1054">
      <c r="A1054" s="11" t="n"/>
      <c r="B1054" s="11" t="n"/>
      <c r="C1054" s="12">
        <f>IF(A1054="","",$B$9*TAN(RADIANS(A1054)))</f>
        <v/>
      </c>
      <c r="D1054" s="12">
        <f>IF(C1054="","",C1054*(1+B1054/100))</f>
        <v/>
      </c>
      <c r="E1054" s="12">
        <f>IF(A1054="","",$B$10*TAN(RADIANS(A1054)))</f>
        <v/>
      </c>
    </row>
    <row r="1055">
      <c r="A1055" s="11" t="n"/>
      <c r="B1055" s="11" t="n"/>
      <c r="C1055" s="12">
        <f>IF(A1055="","",$B$9*TAN(RADIANS(A1055)))</f>
        <v/>
      </c>
      <c r="D1055" s="12">
        <f>IF(C1055="","",C1055*(1+B1055/100))</f>
        <v/>
      </c>
      <c r="E1055" s="12">
        <f>IF(A1055="","",$B$10*TAN(RADIANS(A1055)))</f>
        <v/>
      </c>
    </row>
    <row r="1056">
      <c r="A1056" s="11" t="n"/>
      <c r="B1056" s="11" t="n"/>
      <c r="C1056" s="12">
        <f>IF(A1056="","",$B$9*TAN(RADIANS(A1056)))</f>
        <v/>
      </c>
      <c r="D1056" s="12">
        <f>IF(C1056="","",C1056*(1+B1056/100))</f>
        <v/>
      </c>
      <c r="E1056" s="12">
        <f>IF(A1056="","",$B$10*TAN(RADIANS(A1056)))</f>
        <v/>
      </c>
    </row>
    <row r="1057">
      <c r="A1057" s="11" t="n"/>
      <c r="B1057" s="11" t="n"/>
      <c r="C1057" s="12">
        <f>IF(A1057="","",$B$9*TAN(RADIANS(A1057)))</f>
        <v/>
      </c>
      <c r="D1057" s="12">
        <f>IF(C1057="","",C1057*(1+B1057/100))</f>
        <v/>
      </c>
      <c r="E1057" s="12">
        <f>IF(A1057="","",$B$10*TAN(RADIANS(A1057)))</f>
        <v/>
      </c>
    </row>
    <row r="1058">
      <c r="A1058" s="11" t="n"/>
      <c r="B1058" s="11" t="n"/>
      <c r="C1058" s="12">
        <f>IF(A1058="","",$B$9*TAN(RADIANS(A1058)))</f>
        <v/>
      </c>
      <c r="D1058" s="12">
        <f>IF(C1058="","",C1058*(1+B1058/100))</f>
        <v/>
      </c>
      <c r="E1058" s="12">
        <f>IF(A1058="","",$B$10*TAN(RADIANS(A1058)))</f>
        <v/>
      </c>
    </row>
    <row r="1059">
      <c r="A1059" s="11" t="n"/>
      <c r="B1059" s="11" t="n"/>
      <c r="C1059" s="12">
        <f>IF(A1059="","",$B$9*TAN(RADIANS(A1059)))</f>
        <v/>
      </c>
      <c r="D1059" s="12">
        <f>IF(C1059="","",C1059*(1+B1059/100))</f>
        <v/>
      </c>
      <c r="E1059" s="12">
        <f>IF(A1059="","",$B$10*TAN(RADIANS(A1059)))</f>
        <v/>
      </c>
    </row>
    <row r="1060">
      <c r="A1060" s="11" t="n"/>
      <c r="B1060" s="11" t="n"/>
      <c r="C1060" s="12">
        <f>IF(A1060="","",$B$9*TAN(RADIANS(A1060)))</f>
        <v/>
      </c>
      <c r="D1060" s="12">
        <f>IF(C1060="","",C1060*(1+B1060/100))</f>
        <v/>
      </c>
      <c r="E1060" s="12">
        <f>IF(A1060="","",$B$10*TAN(RADIANS(A1060)))</f>
        <v/>
      </c>
    </row>
    <row r="1061">
      <c r="A1061" s="11" t="n"/>
      <c r="B1061" s="11" t="n"/>
      <c r="C1061" s="12">
        <f>IF(A1061="","",$B$9*TAN(RADIANS(A1061)))</f>
        <v/>
      </c>
      <c r="D1061" s="12">
        <f>IF(C1061="","",C1061*(1+B1061/100))</f>
        <v/>
      </c>
      <c r="E1061" s="12">
        <f>IF(A1061="","",$B$10*TAN(RADIANS(A1061)))</f>
        <v/>
      </c>
    </row>
    <row r="1062">
      <c r="A1062" s="11" t="n"/>
      <c r="B1062" s="11" t="n"/>
      <c r="C1062" s="12">
        <f>IF(A1062="","",$B$9*TAN(RADIANS(A1062)))</f>
        <v/>
      </c>
      <c r="D1062" s="12">
        <f>IF(C1062="","",C1062*(1+B1062/100))</f>
        <v/>
      </c>
      <c r="E1062" s="12">
        <f>IF(A1062="","",$B$10*TAN(RADIANS(A1062)))</f>
        <v/>
      </c>
    </row>
    <row r="1063">
      <c r="A1063" s="11" t="n"/>
      <c r="B1063" s="11" t="n"/>
      <c r="C1063" s="12">
        <f>IF(A1063="","",$B$9*TAN(RADIANS(A1063)))</f>
        <v/>
      </c>
      <c r="D1063" s="12">
        <f>IF(C1063="","",C1063*(1+B1063/100))</f>
        <v/>
      </c>
      <c r="E1063" s="12">
        <f>IF(A1063="","",$B$10*TAN(RADIANS(A1063)))</f>
        <v/>
      </c>
    </row>
    <row r="1064">
      <c r="A1064" s="11" t="n"/>
      <c r="B1064" s="11" t="n"/>
      <c r="C1064" s="12">
        <f>IF(A1064="","",$B$9*TAN(RADIANS(A1064)))</f>
        <v/>
      </c>
      <c r="D1064" s="12">
        <f>IF(C1064="","",C1064*(1+B1064/100))</f>
        <v/>
      </c>
      <c r="E1064" s="12">
        <f>IF(A1064="","",$B$10*TAN(RADIANS(A1064)))</f>
        <v/>
      </c>
    </row>
    <row r="1065">
      <c r="A1065" s="11" t="n"/>
      <c r="B1065" s="11" t="n"/>
      <c r="C1065" s="12">
        <f>IF(A1065="","",$B$9*TAN(RADIANS(A1065)))</f>
        <v/>
      </c>
      <c r="D1065" s="12">
        <f>IF(C1065="","",C1065*(1+B1065/100))</f>
        <v/>
      </c>
      <c r="E1065" s="12">
        <f>IF(A1065="","",$B$10*TAN(RADIANS(A1065)))</f>
        <v/>
      </c>
    </row>
    <row r="1066">
      <c r="A1066" s="11" t="n"/>
      <c r="B1066" s="11" t="n"/>
      <c r="C1066" s="12">
        <f>IF(A1066="","",$B$9*TAN(RADIANS(A1066)))</f>
        <v/>
      </c>
      <c r="D1066" s="12">
        <f>IF(C1066="","",C1066*(1+B1066/100))</f>
        <v/>
      </c>
      <c r="E1066" s="12">
        <f>IF(A1066="","",$B$10*TAN(RADIANS(A1066)))</f>
        <v/>
      </c>
    </row>
    <row r="1067">
      <c r="A1067" s="11" t="n"/>
      <c r="B1067" s="11" t="n"/>
      <c r="C1067" s="12">
        <f>IF(A1067="","",$B$9*TAN(RADIANS(A1067)))</f>
        <v/>
      </c>
      <c r="D1067" s="12">
        <f>IF(C1067="","",C1067*(1+B1067/100))</f>
        <v/>
      </c>
      <c r="E1067" s="12">
        <f>IF(A1067="","",$B$10*TAN(RADIANS(A1067)))</f>
        <v/>
      </c>
    </row>
    <row r="1068">
      <c r="A1068" s="11" t="n"/>
      <c r="B1068" s="11" t="n"/>
      <c r="C1068" s="12">
        <f>IF(A1068="","",$B$9*TAN(RADIANS(A1068)))</f>
        <v/>
      </c>
      <c r="D1068" s="12">
        <f>IF(C1068="","",C1068*(1+B1068/100))</f>
        <v/>
      </c>
      <c r="E1068" s="12">
        <f>IF(A1068="","",$B$10*TAN(RADIANS(A1068)))</f>
        <v/>
      </c>
    </row>
    <row r="1069">
      <c r="A1069" s="11" t="n"/>
      <c r="B1069" s="11" t="n"/>
      <c r="C1069" s="12">
        <f>IF(A1069="","",$B$9*TAN(RADIANS(A1069)))</f>
        <v/>
      </c>
      <c r="D1069" s="12">
        <f>IF(C1069="","",C1069*(1+B1069/100))</f>
        <v/>
      </c>
      <c r="E1069" s="12">
        <f>IF(A1069="","",$B$10*TAN(RADIANS(A1069)))</f>
        <v/>
      </c>
    </row>
    <row r="1070">
      <c r="A1070" s="11" t="n"/>
      <c r="B1070" s="11" t="n"/>
      <c r="C1070" s="12">
        <f>IF(A1070="","",$B$9*TAN(RADIANS(A1070)))</f>
        <v/>
      </c>
      <c r="D1070" s="12">
        <f>IF(C1070="","",C1070*(1+B1070/100))</f>
        <v/>
      </c>
      <c r="E1070" s="12">
        <f>IF(A1070="","",$B$10*TAN(RADIANS(A1070)))</f>
        <v/>
      </c>
    </row>
    <row r="1071">
      <c r="A1071" s="11" t="n"/>
      <c r="B1071" s="11" t="n"/>
      <c r="C1071" s="12">
        <f>IF(A1071="","",$B$9*TAN(RADIANS(A1071)))</f>
        <v/>
      </c>
      <c r="D1071" s="12">
        <f>IF(C1071="","",C1071*(1+B1071/100))</f>
        <v/>
      </c>
      <c r="E1071" s="12">
        <f>IF(A1071="","",$B$10*TAN(RADIANS(A1071)))</f>
        <v/>
      </c>
    </row>
    <row r="1072">
      <c r="A1072" s="11" t="n"/>
      <c r="B1072" s="11" t="n"/>
      <c r="C1072" s="12">
        <f>IF(A1072="","",$B$9*TAN(RADIANS(A1072)))</f>
        <v/>
      </c>
      <c r="D1072" s="12">
        <f>IF(C1072="","",C1072*(1+B1072/100))</f>
        <v/>
      </c>
      <c r="E1072" s="12">
        <f>IF(A1072="","",$B$10*TAN(RADIANS(A1072)))</f>
        <v/>
      </c>
    </row>
    <row r="1073">
      <c r="A1073" s="11" t="n"/>
      <c r="B1073" s="11" t="n"/>
      <c r="C1073" s="12">
        <f>IF(A1073="","",$B$9*TAN(RADIANS(A1073)))</f>
        <v/>
      </c>
      <c r="D1073" s="12">
        <f>IF(C1073="","",C1073*(1+B1073/100))</f>
        <v/>
      </c>
      <c r="E1073" s="12">
        <f>IF(A1073="","",$B$10*TAN(RADIANS(A1073)))</f>
        <v/>
      </c>
    </row>
    <row r="1074">
      <c r="A1074" s="11" t="n"/>
      <c r="B1074" s="11" t="n"/>
      <c r="C1074" s="12">
        <f>IF(A1074="","",$B$9*TAN(RADIANS(A1074)))</f>
        <v/>
      </c>
      <c r="D1074" s="12">
        <f>IF(C1074="","",C1074*(1+B1074/100))</f>
        <v/>
      </c>
      <c r="E1074" s="12">
        <f>IF(A1074="","",$B$10*TAN(RADIANS(A1074)))</f>
        <v/>
      </c>
    </row>
    <row r="1075">
      <c r="A1075" s="11" t="n"/>
      <c r="B1075" s="11" t="n"/>
      <c r="C1075" s="12">
        <f>IF(A1075="","",$B$9*TAN(RADIANS(A1075)))</f>
        <v/>
      </c>
      <c r="D1075" s="12">
        <f>IF(C1075="","",C1075*(1+B1075/100))</f>
        <v/>
      </c>
      <c r="E1075" s="12">
        <f>IF(A1075="","",$B$10*TAN(RADIANS(A1075)))</f>
        <v/>
      </c>
    </row>
    <row r="1076">
      <c r="A1076" s="11" t="n"/>
      <c r="B1076" s="11" t="n"/>
      <c r="C1076" s="12">
        <f>IF(A1076="","",$B$9*TAN(RADIANS(A1076)))</f>
        <v/>
      </c>
      <c r="D1076" s="12">
        <f>IF(C1076="","",C1076*(1+B1076/100))</f>
        <v/>
      </c>
      <c r="E1076" s="12">
        <f>IF(A1076="","",$B$10*TAN(RADIANS(A1076)))</f>
        <v/>
      </c>
    </row>
    <row r="1077">
      <c r="A1077" s="11" t="n"/>
      <c r="B1077" s="11" t="n"/>
      <c r="C1077" s="12">
        <f>IF(A1077="","",$B$9*TAN(RADIANS(A1077)))</f>
        <v/>
      </c>
      <c r="D1077" s="12">
        <f>IF(C1077="","",C1077*(1+B1077/100))</f>
        <v/>
      </c>
      <c r="E1077" s="12">
        <f>IF(A1077="","",$B$10*TAN(RADIANS(A1077)))</f>
        <v/>
      </c>
    </row>
    <row r="1078">
      <c r="A1078" s="11" t="n"/>
      <c r="B1078" s="11" t="n"/>
      <c r="C1078" s="12">
        <f>IF(A1078="","",$B$9*TAN(RADIANS(A1078)))</f>
        <v/>
      </c>
      <c r="D1078" s="12">
        <f>IF(C1078="","",C1078*(1+B1078/100))</f>
        <v/>
      </c>
      <c r="E1078" s="12">
        <f>IF(A1078="","",$B$10*TAN(RADIANS(A1078)))</f>
        <v/>
      </c>
    </row>
    <row r="1079">
      <c r="A1079" s="11" t="n"/>
      <c r="B1079" s="11" t="n"/>
      <c r="C1079" s="12">
        <f>IF(A1079="","",$B$9*TAN(RADIANS(A1079)))</f>
        <v/>
      </c>
      <c r="D1079" s="12">
        <f>IF(C1079="","",C1079*(1+B1079/100))</f>
        <v/>
      </c>
      <c r="E1079" s="12">
        <f>IF(A1079="","",$B$10*TAN(RADIANS(A1079)))</f>
        <v/>
      </c>
    </row>
    <row r="1080">
      <c r="A1080" s="11" t="n"/>
      <c r="B1080" s="11" t="n"/>
      <c r="C1080" s="12">
        <f>IF(A1080="","",$B$9*TAN(RADIANS(A1080)))</f>
        <v/>
      </c>
      <c r="D1080" s="12">
        <f>IF(C1080="","",C1080*(1+B1080/100))</f>
        <v/>
      </c>
      <c r="E1080" s="12">
        <f>IF(A1080="","",$B$10*TAN(RADIANS(A1080)))</f>
        <v/>
      </c>
    </row>
    <row r="1081">
      <c r="A1081" s="11" t="n"/>
      <c r="B1081" s="11" t="n"/>
      <c r="C1081" s="12">
        <f>IF(A1081="","",$B$9*TAN(RADIANS(A1081)))</f>
        <v/>
      </c>
      <c r="D1081" s="12">
        <f>IF(C1081="","",C1081*(1+B1081/100))</f>
        <v/>
      </c>
      <c r="E1081" s="12">
        <f>IF(A1081="","",$B$10*TAN(RADIANS(A1081)))</f>
        <v/>
      </c>
    </row>
    <row r="1082">
      <c r="A1082" s="11" t="n"/>
      <c r="B1082" s="11" t="n"/>
      <c r="C1082" s="12">
        <f>IF(A1082="","",$B$9*TAN(RADIANS(A1082)))</f>
        <v/>
      </c>
      <c r="D1082" s="12">
        <f>IF(C1082="","",C1082*(1+B1082/100))</f>
        <v/>
      </c>
      <c r="E1082" s="12">
        <f>IF(A1082="","",$B$10*TAN(RADIANS(A1082)))</f>
        <v/>
      </c>
    </row>
    <row r="1083">
      <c r="A1083" s="11" t="n"/>
      <c r="B1083" s="11" t="n"/>
      <c r="C1083" s="12">
        <f>IF(A1083="","",$B$9*TAN(RADIANS(A1083)))</f>
        <v/>
      </c>
      <c r="D1083" s="12">
        <f>IF(C1083="","",C1083*(1+B1083/100))</f>
        <v/>
      </c>
      <c r="E1083" s="12">
        <f>IF(A1083="","",$B$10*TAN(RADIANS(A1083)))</f>
        <v/>
      </c>
    </row>
    <row r="1084">
      <c r="A1084" s="11" t="n"/>
      <c r="B1084" s="11" t="n"/>
      <c r="C1084" s="12">
        <f>IF(A1084="","",$B$9*TAN(RADIANS(A1084)))</f>
        <v/>
      </c>
      <c r="D1084" s="12">
        <f>IF(C1084="","",C1084*(1+B1084/100))</f>
        <v/>
      </c>
      <c r="E1084" s="12">
        <f>IF(A1084="","",$B$10*TAN(RADIANS(A1084)))</f>
        <v/>
      </c>
    </row>
    <row r="1085">
      <c r="A1085" s="11" t="n"/>
      <c r="B1085" s="11" t="n"/>
      <c r="C1085" s="12">
        <f>IF(A1085="","",$B$9*TAN(RADIANS(A1085)))</f>
        <v/>
      </c>
      <c r="D1085" s="12">
        <f>IF(C1085="","",C1085*(1+B1085/100))</f>
        <v/>
      </c>
      <c r="E1085" s="12">
        <f>IF(A1085="","",$B$10*TAN(RADIANS(A1085)))</f>
        <v/>
      </c>
    </row>
    <row r="1086">
      <c r="A1086" s="11" t="n"/>
      <c r="B1086" s="11" t="n"/>
      <c r="C1086" s="12">
        <f>IF(A1086="","",$B$9*TAN(RADIANS(A1086)))</f>
        <v/>
      </c>
      <c r="D1086" s="12">
        <f>IF(C1086="","",C1086*(1+B1086/100))</f>
        <v/>
      </c>
      <c r="E1086" s="12">
        <f>IF(A1086="","",$B$10*TAN(RADIANS(A1086)))</f>
        <v/>
      </c>
    </row>
    <row r="1087">
      <c r="A1087" s="11" t="n"/>
      <c r="B1087" s="11" t="n"/>
      <c r="C1087" s="12">
        <f>IF(A1087="","",$B$9*TAN(RADIANS(A1087)))</f>
        <v/>
      </c>
      <c r="D1087" s="12">
        <f>IF(C1087="","",C1087*(1+B1087/100))</f>
        <v/>
      </c>
      <c r="E1087" s="12">
        <f>IF(A1087="","",$B$10*TAN(RADIANS(A1087)))</f>
        <v/>
      </c>
    </row>
    <row r="1088">
      <c r="A1088" s="11" t="n"/>
      <c r="B1088" s="11" t="n"/>
      <c r="C1088" s="12">
        <f>IF(A1088="","",$B$9*TAN(RADIANS(A1088)))</f>
        <v/>
      </c>
      <c r="D1088" s="12">
        <f>IF(C1088="","",C1088*(1+B1088/100))</f>
        <v/>
      </c>
      <c r="E1088" s="12">
        <f>IF(A1088="","",$B$10*TAN(RADIANS(A1088)))</f>
        <v/>
      </c>
    </row>
    <row r="1089">
      <c r="A1089" s="11" t="n"/>
      <c r="B1089" s="11" t="n"/>
      <c r="C1089" s="12">
        <f>IF(A1089="","",$B$9*TAN(RADIANS(A1089)))</f>
        <v/>
      </c>
      <c r="D1089" s="12">
        <f>IF(C1089="","",C1089*(1+B1089/100))</f>
        <v/>
      </c>
      <c r="E1089" s="12">
        <f>IF(A1089="","",$B$10*TAN(RADIANS(A1089)))</f>
        <v/>
      </c>
    </row>
    <row r="1090">
      <c r="A1090" s="11" t="n"/>
      <c r="B1090" s="11" t="n"/>
      <c r="C1090" s="12">
        <f>IF(A1090="","",$B$9*TAN(RADIANS(A1090)))</f>
        <v/>
      </c>
      <c r="D1090" s="12">
        <f>IF(C1090="","",C1090*(1+B1090/100))</f>
        <v/>
      </c>
      <c r="E1090" s="12">
        <f>IF(A1090="","",$B$10*TAN(RADIANS(A1090)))</f>
        <v/>
      </c>
    </row>
    <row r="1091">
      <c r="A1091" s="11" t="n"/>
      <c r="B1091" s="11" t="n"/>
      <c r="C1091" s="12">
        <f>IF(A1091="","",$B$9*TAN(RADIANS(A1091)))</f>
        <v/>
      </c>
      <c r="D1091" s="12">
        <f>IF(C1091="","",C1091*(1+B1091/100))</f>
        <v/>
      </c>
      <c r="E1091" s="12">
        <f>IF(A1091="","",$B$10*TAN(RADIANS(A1091)))</f>
        <v/>
      </c>
    </row>
    <row r="1092">
      <c r="A1092" s="11" t="n"/>
      <c r="B1092" s="11" t="n"/>
      <c r="C1092" s="12">
        <f>IF(A1092="","",$B$9*TAN(RADIANS(A1092)))</f>
        <v/>
      </c>
      <c r="D1092" s="12">
        <f>IF(C1092="","",C1092*(1+B1092/100))</f>
        <v/>
      </c>
      <c r="E1092" s="12">
        <f>IF(A1092="","",$B$10*TAN(RADIANS(A1092)))</f>
        <v/>
      </c>
    </row>
    <row r="1093">
      <c r="A1093" s="11" t="n"/>
      <c r="B1093" s="11" t="n"/>
      <c r="C1093" s="12">
        <f>IF(A1093="","",$B$9*TAN(RADIANS(A1093)))</f>
        <v/>
      </c>
      <c r="D1093" s="12">
        <f>IF(C1093="","",C1093*(1+B1093/100))</f>
        <v/>
      </c>
      <c r="E1093" s="12">
        <f>IF(A1093="","",$B$10*TAN(RADIANS(A1093)))</f>
        <v/>
      </c>
    </row>
    <row r="1094">
      <c r="A1094" s="11" t="n"/>
      <c r="B1094" s="11" t="n"/>
      <c r="C1094" s="12">
        <f>IF(A1094="","",$B$9*TAN(RADIANS(A1094)))</f>
        <v/>
      </c>
      <c r="D1094" s="12">
        <f>IF(C1094="","",C1094*(1+B1094/100))</f>
        <v/>
      </c>
      <c r="E1094" s="12">
        <f>IF(A1094="","",$B$10*TAN(RADIANS(A1094)))</f>
        <v/>
      </c>
    </row>
    <row r="1095">
      <c r="A1095" s="11" t="n"/>
      <c r="B1095" s="11" t="n"/>
      <c r="C1095" s="12">
        <f>IF(A1095="","",$B$9*TAN(RADIANS(A1095)))</f>
        <v/>
      </c>
      <c r="D1095" s="12">
        <f>IF(C1095="","",C1095*(1+B1095/100))</f>
        <v/>
      </c>
      <c r="E1095" s="12">
        <f>IF(A1095="","",$B$10*TAN(RADIANS(A1095)))</f>
        <v/>
      </c>
    </row>
    <row r="1096">
      <c r="A1096" s="11" t="n"/>
      <c r="B1096" s="11" t="n"/>
      <c r="C1096" s="12">
        <f>IF(A1096="","",$B$9*TAN(RADIANS(A1096)))</f>
        <v/>
      </c>
      <c r="D1096" s="12">
        <f>IF(C1096="","",C1096*(1+B1096/100))</f>
        <v/>
      </c>
      <c r="E1096" s="12">
        <f>IF(A1096="","",$B$10*TAN(RADIANS(A1096)))</f>
        <v/>
      </c>
    </row>
    <row r="1097">
      <c r="A1097" s="11" t="n"/>
      <c r="B1097" s="11" t="n"/>
      <c r="C1097" s="12">
        <f>IF(A1097="","",$B$9*TAN(RADIANS(A1097)))</f>
        <v/>
      </c>
      <c r="D1097" s="12">
        <f>IF(C1097="","",C1097*(1+B1097/100))</f>
        <v/>
      </c>
      <c r="E1097" s="12">
        <f>IF(A1097="","",$B$10*TAN(RADIANS(A1097)))</f>
        <v/>
      </c>
    </row>
    <row r="1098">
      <c r="A1098" s="11" t="n"/>
      <c r="B1098" s="11" t="n"/>
      <c r="C1098" s="12">
        <f>IF(A1098="","",$B$9*TAN(RADIANS(A1098)))</f>
        <v/>
      </c>
      <c r="D1098" s="12">
        <f>IF(C1098="","",C1098*(1+B1098/100))</f>
        <v/>
      </c>
      <c r="E1098" s="12">
        <f>IF(A1098="","",$B$10*TAN(RADIANS(A1098)))</f>
        <v/>
      </c>
    </row>
    <row r="1099">
      <c r="A1099" s="11" t="n"/>
      <c r="B1099" s="11" t="n"/>
      <c r="C1099" s="12">
        <f>IF(A1099="","",$B$9*TAN(RADIANS(A1099)))</f>
        <v/>
      </c>
      <c r="D1099" s="12">
        <f>IF(C1099="","",C1099*(1+B1099/100))</f>
        <v/>
      </c>
      <c r="E1099" s="12">
        <f>IF(A1099="","",$B$10*TAN(RADIANS(A1099)))</f>
        <v/>
      </c>
    </row>
    <row r="1100">
      <c r="A1100" s="11" t="n"/>
      <c r="B1100" s="11" t="n"/>
      <c r="C1100" s="12">
        <f>IF(A1100="","",$B$9*TAN(RADIANS(A1100)))</f>
        <v/>
      </c>
      <c r="D1100" s="12">
        <f>IF(C1100="","",C1100*(1+B1100/100))</f>
        <v/>
      </c>
      <c r="E1100" s="12">
        <f>IF(A1100="","",$B$10*TAN(RADIANS(A1100)))</f>
        <v/>
      </c>
    </row>
    <row r="1101">
      <c r="A1101" s="11" t="n"/>
      <c r="B1101" s="11" t="n"/>
      <c r="C1101" s="12">
        <f>IF(A1101="","",$B$9*TAN(RADIANS(A1101)))</f>
        <v/>
      </c>
      <c r="D1101" s="12">
        <f>IF(C1101="","",C1101*(1+B1101/100))</f>
        <v/>
      </c>
      <c r="E1101" s="12">
        <f>IF(A1101="","",$B$10*TAN(RADIANS(A1101)))</f>
        <v/>
      </c>
    </row>
    <row r="1102">
      <c r="A1102" s="11" t="n"/>
      <c r="B1102" s="11" t="n"/>
      <c r="C1102" s="12">
        <f>IF(A1102="","",$B$9*TAN(RADIANS(A1102)))</f>
        <v/>
      </c>
      <c r="D1102" s="12">
        <f>IF(C1102="","",C1102*(1+B1102/100))</f>
        <v/>
      </c>
      <c r="E1102" s="12">
        <f>IF(A1102="","",$B$10*TAN(RADIANS(A1102)))</f>
        <v/>
      </c>
    </row>
    <row r="1103">
      <c r="A1103" s="11" t="n"/>
      <c r="B1103" s="11" t="n"/>
      <c r="C1103" s="12">
        <f>IF(A1103="","",$B$9*TAN(RADIANS(A1103)))</f>
        <v/>
      </c>
      <c r="D1103" s="12">
        <f>IF(C1103="","",C1103*(1+B1103/100))</f>
        <v/>
      </c>
      <c r="E1103" s="12">
        <f>IF(A1103="","",$B$10*TAN(RADIANS(A1103)))</f>
        <v/>
      </c>
    </row>
    <row r="1104">
      <c r="A1104" s="11" t="n"/>
      <c r="B1104" s="11" t="n"/>
      <c r="C1104" s="12">
        <f>IF(A1104="","",$B$9*TAN(RADIANS(A1104)))</f>
        <v/>
      </c>
      <c r="D1104" s="12">
        <f>IF(C1104="","",C1104*(1+B1104/100))</f>
        <v/>
      </c>
      <c r="E1104" s="12">
        <f>IF(A1104="","",$B$10*TAN(RADIANS(A1104)))</f>
        <v/>
      </c>
    </row>
    <row r="1105">
      <c r="A1105" s="11" t="n"/>
      <c r="B1105" s="11" t="n"/>
      <c r="C1105" s="12">
        <f>IF(A1105="","",$B$9*TAN(RADIANS(A1105)))</f>
        <v/>
      </c>
      <c r="D1105" s="12">
        <f>IF(C1105="","",C1105*(1+B1105/100))</f>
        <v/>
      </c>
      <c r="E1105" s="12">
        <f>IF(A1105="","",$B$10*TAN(RADIANS(A1105)))</f>
        <v/>
      </c>
    </row>
    <row r="1106">
      <c r="A1106" s="11" t="n"/>
      <c r="B1106" s="11" t="n"/>
      <c r="C1106" s="12">
        <f>IF(A1106="","",$B$9*TAN(RADIANS(A1106)))</f>
        <v/>
      </c>
      <c r="D1106" s="12">
        <f>IF(C1106="","",C1106*(1+B1106/100))</f>
        <v/>
      </c>
      <c r="E1106" s="12">
        <f>IF(A1106="","",$B$10*TAN(RADIANS(A1106)))</f>
        <v/>
      </c>
    </row>
    <row r="1107">
      <c r="A1107" s="11" t="n"/>
      <c r="B1107" s="11" t="n"/>
      <c r="C1107" s="12">
        <f>IF(A1107="","",$B$9*TAN(RADIANS(A1107)))</f>
        <v/>
      </c>
      <c r="D1107" s="12">
        <f>IF(C1107="","",C1107*(1+B1107/100))</f>
        <v/>
      </c>
      <c r="E1107" s="12">
        <f>IF(A1107="","",$B$10*TAN(RADIANS(A1107)))</f>
        <v/>
      </c>
    </row>
    <row r="1108">
      <c r="A1108" s="11" t="n"/>
      <c r="B1108" s="11" t="n"/>
      <c r="C1108" s="12">
        <f>IF(A1108="","",$B$9*TAN(RADIANS(A1108)))</f>
        <v/>
      </c>
      <c r="D1108" s="12">
        <f>IF(C1108="","",C1108*(1+B1108/100))</f>
        <v/>
      </c>
      <c r="E1108" s="12">
        <f>IF(A1108="","",$B$10*TAN(RADIANS(A1108)))</f>
        <v/>
      </c>
    </row>
    <row r="1109">
      <c r="A1109" s="11" t="n"/>
      <c r="B1109" s="11" t="n"/>
      <c r="C1109" s="12">
        <f>IF(A1109="","",$B$9*TAN(RADIANS(A1109)))</f>
        <v/>
      </c>
      <c r="D1109" s="12">
        <f>IF(C1109="","",C1109*(1+B1109/100))</f>
        <v/>
      </c>
      <c r="E1109" s="12">
        <f>IF(A1109="","",$B$10*TAN(RADIANS(A1109)))</f>
        <v/>
      </c>
    </row>
    <row r="1110">
      <c r="A1110" s="11" t="n"/>
      <c r="B1110" s="11" t="n"/>
      <c r="C1110" s="12">
        <f>IF(A1110="","",$B$9*TAN(RADIANS(A1110)))</f>
        <v/>
      </c>
      <c r="D1110" s="12">
        <f>IF(C1110="","",C1110*(1+B1110/100))</f>
        <v/>
      </c>
      <c r="E1110" s="12">
        <f>IF(A1110="","",$B$10*TAN(RADIANS(A1110)))</f>
        <v/>
      </c>
    </row>
    <row r="1111">
      <c r="A1111" s="11" t="n"/>
      <c r="B1111" s="11" t="n"/>
      <c r="C1111" s="12">
        <f>IF(A1111="","",$B$9*TAN(RADIANS(A1111)))</f>
        <v/>
      </c>
      <c r="D1111" s="12">
        <f>IF(C1111="","",C1111*(1+B1111/100))</f>
        <v/>
      </c>
      <c r="E1111" s="12">
        <f>IF(A1111="","",$B$10*TAN(RADIANS(A1111)))</f>
        <v/>
      </c>
    </row>
    <row r="1112">
      <c r="A1112" s="11" t="n"/>
      <c r="B1112" s="11" t="n"/>
      <c r="C1112" s="12">
        <f>IF(A1112="","",$B$9*TAN(RADIANS(A1112)))</f>
        <v/>
      </c>
      <c r="D1112" s="12">
        <f>IF(C1112="","",C1112*(1+B1112/100))</f>
        <v/>
      </c>
      <c r="E1112" s="12">
        <f>IF(A1112="","",$B$10*TAN(RADIANS(A1112)))</f>
        <v/>
      </c>
    </row>
    <row r="1113">
      <c r="A1113" s="11" t="n"/>
      <c r="B1113" s="11" t="n"/>
      <c r="C1113" s="12">
        <f>IF(A1113="","",$B$9*TAN(RADIANS(A1113)))</f>
        <v/>
      </c>
      <c r="D1113" s="12">
        <f>IF(C1113="","",C1113*(1+B1113/100))</f>
        <v/>
      </c>
      <c r="E1113" s="12">
        <f>IF(A1113="","",$B$10*TAN(RADIANS(A1113)))</f>
        <v/>
      </c>
    </row>
    <row r="1114">
      <c r="A1114" s="11" t="n"/>
      <c r="B1114" s="11" t="n"/>
      <c r="C1114" s="12">
        <f>IF(A1114="","",$B$9*TAN(RADIANS(A1114)))</f>
        <v/>
      </c>
      <c r="D1114" s="12">
        <f>IF(C1114="","",C1114*(1+B1114/100))</f>
        <v/>
      </c>
      <c r="E1114" s="12">
        <f>IF(A1114="","",$B$10*TAN(RADIANS(A1114)))</f>
        <v/>
      </c>
    </row>
    <row r="1115">
      <c r="A1115" s="11" t="n"/>
      <c r="B1115" s="11" t="n"/>
      <c r="C1115" s="12">
        <f>IF(A1115="","",$B$9*TAN(RADIANS(A1115)))</f>
        <v/>
      </c>
      <c r="D1115" s="12">
        <f>IF(C1115="","",C1115*(1+B1115/100))</f>
        <v/>
      </c>
      <c r="E1115" s="12">
        <f>IF(A1115="","",$B$10*TAN(RADIANS(A1115)))</f>
        <v/>
      </c>
    </row>
    <row r="1116">
      <c r="A1116" s="11" t="n"/>
      <c r="B1116" s="11" t="n"/>
      <c r="C1116" s="12">
        <f>IF(A1116="","",$B$9*TAN(RADIANS(A1116)))</f>
        <v/>
      </c>
      <c r="D1116" s="12">
        <f>IF(C1116="","",C1116*(1+B1116/100))</f>
        <v/>
      </c>
      <c r="E1116" s="12">
        <f>IF(A1116="","",$B$10*TAN(RADIANS(A1116)))</f>
        <v/>
      </c>
    </row>
    <row r="1117">
      <c r="A1117" s="11" t="n"/>
      <c r="B1117" s="11" t="n"/>
      <c r="C1117" s="12">
        <f>IF(A1117="","",$B$9*TAN(RADIANS(A1117)))</f>
        <v/>
      </c>
      <c r="D1117" s="12">
        <f>IF(C1117="","",C1117*(1+B1117/100))</f>
        <v/>
      </c>
      <c r="E1117" s="12">
        <f>IF(A1117="","",$B$10*TAN(RADIANS(A1117)))</f>
        <v/>
      </c>
    </row>
    <row r="1118">
      <c r="A1118" s="11" t="n"/>
      <c r="B1118" s="11" t="n"/>
      <c r="C1118" s="12">
        <f>IF(A1118="","",$B$9*TAN(RADIANS(A1118)))</f>
        <v/>
      </c>
      <c r="D1118" s="12">
        <f>IF(C1118="","",C1118*(1+B1118/100))</f>
        <v/>
      </c>
      <c r="E1118" s="12">
        <f>IF(A1118="","",$B$10*TAN(RADIANS(A1118)))</f>
        <v/>
      </c>
    </row>
    <row r="1119">
      <c r="A1119" s="11" t="n"/>
      <c r="B1119" s="11" t="n"/>
      <c r="C1119" s="12">
        <f>IF(A1119="","",$B$9*TAN(RADIANS(A1119)))</f>
        <v/>
      </c>
      <c r="D1119" s="12">
        <f>IF(C1119="","",C1119*(1+B1119/100))</f>
        <v/>
      </c>
      <c r="E1119" s="12">
        <f>IF(A1119="","",$B$10*TAN(RADIANS(A1119)))</f>
        <v/>
      </c>
    </row>
    <row r="1120">
      <c r="A1120" s="11" t="n"/>
      <c r="B1120" s="11" t="n"/>
      <c r="C1120" s="12">
        <f>IF(A1120="","",$B$9*TAN(RADIANS(A1120)))</f>
        <v/>
      </c>
      <c r="D1120" s="12">
        <f>IF(C1120="","",C1120*(1+B1120/100))</f>
        <v/>
      </c>
      <c r="E1120" s="12">
        <f>IF(A1120="","",$B$10*TAN(RADIANS(A1120)))</f>
        <v/>
      </c>
    </row>
    <row r="1121">
      <c r="A1121" s="11" t="n"/>
      <c r="B1121" s="11" t="n"/>
      <c r="C1121" s="12">
        <f>IF(A1121="","",$B$9*TAN(RADIANS(A1121)))</f>
        <v/>
      </c>
      <c r="D1121" s="12">
        <f>IF(C1121="","",C1121*(1+B1121/100))</f>
        <v/>
      </c>
      <c r="E1121" s="12">
        <f>IF(A1121="","",$B$10*TAN(RADIANS(A1121)))</f>
        <v/>
      </c>
    </row>
    <row r="1122">
      <c r="A1122" s="11" t="n"/>
      <c r="B1122" s="11" t="n"/>
      <c r="C1122" s="12">
        <f>IF(A1122="","",$B$9*TAN(RADIANS(A1122)))</f>
        <v/>
      </c>
      <c r="D1122" s="12">
        <f>IF(C1122="","",C1122*(1+B1122/100))</f>
        <v/>
      </c>
      <c r="E1122" s="12">
        <f>IF(A1122="","",$B$10*TAN(RADIANS(A1122)))</f>
        <v/>
      </c>
    </row>
    <row r="1123">
      <c r="A1123" s="11" t="n"/>
      <c r="B1123" s="11" t="n"/>
      <c r="C1123" s="12">
        <f>IF(A1123="","",$B$9*TAN(RADIANS(A1123)))</f>
        <v/>
      </c>
      <c r="D1123" s="12">
        <f>IF(C1123="","",C1123*(1+B1123/100))</f>
        <v/>
      </c>
      <c r="E1123" s="12">
        <f>IF(A1123="","",$B$10*TAN(RADIANS(A1123)))</f>
        <v/>
      </c>
    </row>
    <row r="1124">
      <c r="A1124" s="11" t="n"/>
      <c r="B1124" s="11" t="n"/>
      <c r="C1124" s="12">
        <f>IF(A1124="","",$B$9*TAN(RADIANS(A1124)))</f>
        <v/>
      </c>
      <c r="D1124" s="12">
        <f>IF(C1124="","",C1124*(1+B1124/100))</f>
        <v/>
      </c>
      <c r="E1124" s="12">
        <f>IF(A1124="","",$B$10*TAN(RADIANS(A1124)))</f>
        <v/>
      </c>
    </row>
    <row r="1125">
      <c r="A1125" s="11" t="n"/>
      <c r="B1125" s="11" t="n"/>
      <c r="C1125" s="12">
        <f>IF(A1125="","",$B$9*TAN(RADIANS(A1125)))</f>
        <v/>
      </c>
      <c r="D1125" s="12">
        <f>IF(C1125="","",C1125*(1+B1125/100))</f>
        <v/>
      </c>
      <c r="E1125" s="12">
        <f>IF(A1125="","",$B$10*TAN(RADIANS(A1125)))</f>
        <v/>
      </c>
    </row>
    <row r="1126">
      <c r="A1126" s="11" t="n"/>
      <c r="B1126" s="11" t="n"/>
      <c r="C1126" s="12">
        <f>IF(A1126="","",$B$9*TAN(RADIANS(A1126)))</f>
        <v/>
      </c>
      <c r="D1126" s="12">
        <f>IF(C1126="","",C1126*(1+B1126/100))</f>
        <v/>
      </c>
      <c r="E1126" s="12">
        <f>IF(A1126="","",$B$10*TAN(RADIANS(A1126)))</f>
        <v/>
      </c>
    </row>
    <row r="1127">
      <c r="A1127" s="11" t="n"/>
      <c r="B1127" s="11" t="n"/>
      <c r="C1127" s="12">
        <f>IF(A1127="","",$B$9*TAN(RADIANS(A1127)))</f>
        <v/>
      </c>
      <c r="D1127" s="12">
        <f>IF(C1127="","",C1127*(1+B1127/100))</f>
        <v/>
      </c>
      <c r="E1127" s="12">
        <f>IF(A1127="","",$B$10*TAN(RADIANS(A1127)))</f>
        <v/>
      </c>
    </row>
    <row r="1128">
      <c r="A1128" s="11" t="n"/>
      <c r="B1128" s="11" t="n"/>
      <c r="C1128" s="12">
        <f>IF(A1128="","",$B$9*TAN(RADIANS(A1128)))</f>
        <v/>
      </c>
      <c r="D1128" s="12">
        <f>IF(C1128="","",C1128*(1+B1128/100))</f>
        <v/>
      </c>
      <c r="E1128" s="12">
        <f>IF(A1128="","",$B$10*TAN(RADIANS(A1128)))</f>
        <v/>
      </c>
    </row>
    <row r="1129">
      <c r="A1129" s="11" t="n"/>
      <c r="B1129" s="11" t="n"/>
      <c r="C1129" s="12">
        <f>IF(A1129="","",$B$9*TAN(RADIANS(A1129)))</f>
        <v/>
      </c>
      <c r="D1129" s="12">
        <f>IF(C1129="","",C1129*(1+B1129/100))</f>
        <v/>
      </c>
      <c r="E1129" s="12">
        <f>IF(A1129="","",$B$10*TAN(RADIANS(A1129)))</f>
        <v/>
      </c>
    </row>
    <row r="1130">
      <c r="A1130" s="11" t="n"/>
      <c r="B1130" s="11" t="n"/>
      <c r="C1130" s="12">
        <f>IF(A1130="","",$B$9*TAN(RADIANS(A1130)))</f>
        <v/>
      </c>
      <c r="D1130" s="12">
        <f>IF(C1130="","",C1130*(1+B1130/100))</f>
        <v/>
      </c>
      <c r="E1130" s="12">
        <f>IF(A1130="","",$B$10*TAN(RADIANS(A1130)))</f>
        <v/>
      </c>
    </row>
    <row r="1131">
      <c r="A1131" s="11" t="n"/>
      <c r="B1131" s="11" t="n"/>
      <c r="C1131" s="12">
        <f>IF(A1131="","",$B$9*TAN(RADIANS(A1131)))</f>
        <v/>
      </c>
      <c r="D1131" s="12">
        <f>IF(C1131="","",C1131*(1+B1131/100))</f>
        <v/>
      </c>
      <c r="E1131" s="12">
        <f>IF(A1131="","",$B$10*TAN(RADIANS(A1131)))</f>
        <v/>
      </c>
    </row>
    <row r="1132">
      <c r="A1132" s="11" t="n"/>
      <c r="B1132" s="11" t="n"/>
      <c r="C1132" s="12">
        <f>IF(A1132="","",$B$9*TAN(RADIANS(A1132)))</f>
        <v/>
      </c>
      <c r="D1132" s="12">
        <f>IF(C1132="","",C1132*(1+B1132/100))</f>
        <v/>
      </c>
      <c r="E1132" s="12">
        <f>IF(A1132="","",$B$10*TAN(RADIANS(A1132)))</f>
        <v/>
      </c>
    </row>
    <row r="1133">
      <c r="A1133" s="11" t="n"/>
      <c r="B1133" s="11" t="n"/>
      <c r="C1133" s="12">
        <f>IF(A1133="","",$B$9*TAN(RADIANS(A1133)))</f>
        <v/>
      </c>
      <c r="D1133" s="12">
        <f>IF(C1133="","",C1133*(1+B1133/100))</f>
        <v/>
      </c>
      <c r="E1133" s="12">
        <f>IF(A1133="","",$B$10*TAN(RADIANS(A1133)))</f>
        <v/>
      </c>
    </row>
    <row r="1134">
      <c r="A1134" s="11" t="n"/>
      <c r="B1134" s="11" t="n"/>
      <c r="C1134" s="12">
        <f>IF(A1134="","",$B$9*TAN(RADIANS(A1134)))</f>
        <v/>
      </c>
      <c r="D1134" s="12">
        <f>IF(C1134="","",C1134*(1+B1134/100))</f>
        <v/>
      </c>
      <c r="E1134" s="12">
        <f>IF(A1134="","",$B$10*TAN(RADIANS(A1134)))</f>
        <v/>
      </c>
    </row>
    <row r="1135">
      <c r="A1135" s="11" t="n"/>
      <c r="B1135" s="11" t="n"/>
      <c r="C1135" s="12">
        <f>IF(A1135="","",$B$9*TAN(RADIANS(A1135)))</f>
        <v/>
      </c>
      <c r="D1135" s="12">
        <f>IF(C1135="","",C1135*(1+B1135/100))</f>
        <v/>
      </c>
      <c r="E1135" s="12">
        <f>IF(A1135="","",$B$10*TAN(RADIANS(A1135)))</f>
        <v/>
      </c>
    </row>
    <row r="1136">
      <c r="A1136" s="11" t="n"/>
      <c r="B1136" s="11" t="n"/>
      <c r="C1136" s="12">
        <f>IF(A1136="","",$B$9*TAN(RADIANS(A1136)))</f>
        <v/>
      </c>
      <c r="D1136" s="12">
        <f>IF(C1136="","",C1136*(1+B1136/100))</f>
        <v/>
      </c>
      <c r="E1136" s="12">
        <f>IF(A1136="","",$B$10*TAN(RADIANS(A1136)))</f>
        <v/>
      </c>
    </row>
    <row r="1137">
      <c r="A1137" s="11" t="n"/>
      <c r="B1137" s="11" t="n"/>
      <c r="C1137" s="12">
        <f>IF(A1137="","",$B$9*TAN(RADIANS(A1137)))</f>
        <v/>
      </c>
      <c r="D1137" s="12">
        <f>IF(C1137="","",C1137*(1+B1137/100))</f>
        <v/>
      </c>
      <c r="E1137" s="12">
        <f>IF(A1137="","",$B$10*TAN(RADIANS(A1137)))</f>
        <v/>
      </c>
    </row>
    <row r="1138">
      <c r="A1138" s="11" t="n"/>
      <c r="B1138" s="11" t="n"/>
      <c r="C1138" s="12">
        <f>IF(A1138="","",$B$9*TAN(RADIANS(A1138)))</f>
        <v/>
      </c>
      <c r="D1138" s="12">
        <f>IF(C1138="","",C1138*(1+B1138/100))</f>
        <v/>
      </c>
      <c r="E1138" s="12">
        <f>IF(A1138="","",$B$10*TAN(RADIANS(A1138)))</f>
        <v/>
      </c>
    </row>
    <row r="1139">
      <c r="A1139" s="11" t="n"/>
      <c r="B1139" s="11" t="n"/>
      <c r="C1139" s="12">
        <f>IF(A1139="","",$B$9*TAN(RADIANS(A1139)))</f>
        <v/>
      </c>
      <c r="D1139" s="12">
        <f>IF(C1139="","",C1139*(1+B1139/100))</f>
        <v/>
      </c>
      <c r="E1139" s="12">
        <f>IF(A1139="","",$B$10*TAN(RADIANS(A1139)))</f>
        <v/>
      </c>
    </row>
    <row r="1140">
      <c r="A1140" s="11" t="n"/>
      <c r="B1140" s="11" t="n"/>
      <c r="C1140" s="12">
        <f>IF(A1140="","",$B$9*TAN(RADIANS(A1140)))</f>
        <v/>
      </c>
      <c r="D1140" s="12">
        <f>IF(C1140="","",C1140*(1+B1140/100))</f>
        <v/>
      </c>
      <c r="E1140" s="12">
        <f>IF(A1140="","",$B$10*TAN(RADIANS(A1140)))</f>
        <v/>
      </c>
    </row>
    <row r="1141">
      <c r="A1141" s="11" t="n"/>
      <c r="B1141" s="11" t="n"/>
      <c r="C1141" s="12">
        <f>IF(A1141="","",$B$9*TAN(RADIANS(A1141)))</f>
        <v/>
      </c>
      <c r="D1141" s="12">
        <f>IF(C1141="","",C1141*(1+B1141/100))</f>
        <v/>
      </c>
      <c r="E1141" s="12">
        <f>IF(A1141="","",$B$10*TAN(RADIANS(A1141)))</f>
        <v/>
      </c>
    </row>
    <row r="1142">
      <c r="A1142" s="11" t="n"/>
      <c r="B1142" s="11" t="n"/>
      <c r="C1142" s="12">
        <f>IF(A1142="","",$B$9*TAN(RADIANS(A1142)))</f>
        <v/>
      </c>
      <c r="D1142" s="12">
        <f>IF(C1142="","",C1142*(1+B1142/100))</f>
        <v/>
      </c>
      <c r="E1142" s="12">
        <f>IF(A1142="","",$B$10*TAN(RADIANS(A1142)))</f>
        <v/>
      </c>
    </row>
    <row r="1143">
      <c r="A1143" s="11" t="n"/>
      <c r="B1143" s="11" t="n"/>
      <c r="C1143" s="12">
        <f>IF(A1143="","",$B$9*TAN(RADIANS(A1143)))</f>
        <v/>
      </c>
      <c r="D1143" s="12">
        <f>IF(C1143="","",C1143*(1+B1143/100))</f>
        <v/>
      </c>
      <c r="E1143" s="12">
        <f>IF(A1143="","",$B$10*TAN(RADIANS(A1143)))</f>
        <v/>
      </c>
    </row>
    <row r="1144">
      <c r="A1144" s="11" t="n"/>
      <c r="B1144" s="11" t="n"/>
      <c r="C1144" s="12">
        <f>IF(A1144="","",$B$9*TAN(RADIANS(A1144)))</f>
        <v/>
      </c>
      <c r="D1144" s="12">
        <f>IF(C1144="","",C1144*(1+B1144/100))</f>
        <v/>
      </c>
      <c r="E1144" s="12">
        <f>IF(A1144="","",$B$10*TAN(RADIANS(A1144)))</f>
        <v/>
      </c>
    </row>
    <row r="1145">
      <c r="A1145" s="11" t="n"/>
      <c r="B1145" s="11" t="n"/>
      <c r="C1145" s="12">
        <f>IF(A1145="","",$B$9*TAN(RADIANS(A1145)))</f>
        <v/>
      </c>
      <c r="D1145" s="12">
        <f>IF(C1145="","",C1145*(1+B1145/100))</f>
        <v/>
      </c>
      <c r="E1145" s="12">
        <f>IF(A1145="","",$B$10*TAN(RADIANS(A1145)))</f>
        <v/>
      </c>
    </row>
    <row r="1146">
      <c r="A1146" s="11" t="n"/>
      <c r="B1146" s="11" t="n"/>
      <c r="C1146" s="12">
        <f>IF(A1146="","",$B$9*TAN(RADIANS(A1146)))</f>
        <v/>
      </c>
      <c r="D1146" s="12">
        <f>IF(C1146="","",C1146*(1+B1146/100))</f>
        <v/>
      </c>
      <c r="E1146" s="12">
        <f>IF(A1146="","",$B$10*TAN(RADIANS(A1146)))</f>
        <v/>
      </c>
    </row>
    <row r="1147">
      <c r="A1147" s="11" t="n"/>
      <c r="B1147" s="11" t="n"/>
      <c r="C1147" s="12">
        <f>IF(A1147="","",$B$9*TAN(RADIANS(A1147)))</f>
        <v/>
      </c>
      <c r="D1147" s="12">
        <f>IF(C1147="","",C1147*(1+B1147/100))</f>
        <v/>
      </c>
      <c r="E1147" s="12">
        <f>IF(A1147="","",$B$10*TAN(RADIANS(A1147)))</f>
        <v/>
      </c>
    </row>
    <row r="1148">
      <c r="A1148" s="11" t="n"/>
      <c r="B1148" s="11" t="n"/>
      <c r="C1148" s="12">
        <f>IF(A1148="","",$B$9*TAN(RADIANS(A1148)))</f>
        <v/>
      </c>
      <c r="D1148" s="12">
        <f>IF(C1148="","",C1148*(1+B1148/100))</f>
        <v/>
      </c>
      <c r="E1148" s="12">
        <f>IF(A1148="","",$B$10*TAN(RADIANS(A1148)))</f>
        <v/>
      </c>
    </row>
    <row r="1149">
      <c r="A1149" s="11" t="n"/>
      <c r="B1149" s="11" t="n"/>
      <c r="C1149" s="12">
        <f>IF(A1149="","",$B$9*TAN(RADIANS(A1149)))</f>
        <v/>
      </c>
      <c r="D1149" s="12">
        <f>IF(C1149="","",C1149*(1+B1149/100))</f>
        <v/>
      </c>
      <c r="E1149" s="12">
        <f>IF(A1149="","",$B$10*TAN(RADIANS(A1149)))</f>
        <v/>
      </c>
    </row>
    <row r="1150">
      <c r="A1150" s="11" t="n"/>
      <c r="B1150" s="11" t="n"/>
      <c r="C1150" s="12">
        <f>IF(A1150="","",$B$9*TAN(RADIANS(A1150)))</f>
        <v/>
      </c>
      <c r="D1150" s="12">
        <f>IF(C1150="","",C1150*(1+B1150/100))</f>
        <v/>
      </c>
      <c r="E1150" s="12">
        <f>IF(A1150="","",$B$10*TAN(RADIANS(A1150)))</f>
        <v/>
      </c>
    </row>
    <row r="1151">
      <c r="A1151" s="11" t="n"/>
      <c r="B1151" s="11" t="n"/>
      <c r="C1151" s="12">
        <f>IF(A1151="","",$B$9*TAN(RADIANS(A1151)))</f>
        <v/>
      </c>
      <c r="D1151" s="12">
        <f>IF(C1151="","",C1151*(1+B1151/100))</f>
        <v/>
      </c>
      <c r="E1151" s="12">
        <f>IF(A1151="","",$B$10*TAN(RADIANS(A1151)))</f>
        <v/>
      </c>
    </row>
    <row r="1152">
      <c r="A1152" s="11" t="n"/>
      <c r="B1152" s="11" t="n"/>
      <c r="C1152" s="12">
        <f>IF(A1152="","",$B$9*TAN(RADIANS(A1152)))</f>
        <v/>
      </c>
      <c r="D1152" s="12">
        <f>IF(C1152="","",C1152*(1+B1152/100))</f>
        <v/>
      </c>
      <c r="E1152" s="12">
        <f>IF(A1152="","",$B$10*TAN(RADIANS(A1152)))</f>
        <v/>
      </c>
    </row>
    <row r="1153">
      <c r="A1153" s="11" t="n"/>
      <c r="B1153" s="11" t="n"/>
      <c r="C1153" s="12">
        <f>IF(A1153="","",$B$9*TAN(RADIANS(A1153)))</f>
        <v/>
      </c>
      <c r="D1153" s="12">
        <f>IF(C1153="","",C1153*(1+B1153/100))</f>
        <v/>
      </c>
      <c r="E1153" s="12">
        <f>IF(A1153="","",$B$10*TAN(RADIANS(A1153)))</f>
        <v/>
      </c>
    </row>
    <row r="1154">
      <c r="A1154" s="11" t="n"/>
      <c r="B1154" s="11" t="n"/>
      <c r="C1154" s="12">
        <f>IF(A1154="","",$B$9*TAN(RADIANS(A1154)))</f>
        <v/>
      </c>
      <c r="D1154" s="12">
        <f>IF(C1154="","",C1154*(1+B1154/100))</f>
        <v/>
      </c>
      <c r="E1154" s="12">
        <f>IF(A1154="","",$B$10*TAN(RADIANS(A1154)))</f>
        <v/>
      </c>
    </row>
    <row r="1155">
      <c r="A1155" s="11" t="n"/>
      <c r="B1155" s="11" t="n"/>
      <c r="C1155" s="12">
        <f>IF(A1155="","",$B$9*TAN(RADIANS(A1155)))</f>
        <v/>
      </c>
      <c r="D1155" s="12">
        <f>IF(C1155="","",C1155*(1+B1155/100))</f>
        <v/>
      </c>
      <c r="E1155" s="12">
        <f>IF(A1155="","",$B$10*TAN(RADIANS(A1155)))</f>
        <v/>
      </c>
    </row>
    <row r="1156">
      <c r="A1156" s="11" t="n"/>
      <c r="B1156" s="11" t="n"/>
      <c r="C1156" s="12">
        <f>IF(A1156="","",$B$9*TAN(RADIANS(A1156)))</f>
        <v/>
      </c>
      <c r="D1156" s="12">
        <f>IF(C1156="","",C1156*(1+B1156/100))</f>
        <v/>
      </c>
      <c r="E1156" s="12">
        <f>IF(A1156="","",$B$10*TAN(RADIANS(A1156)))</f>
        <v/>
      </c>
    </row>
    <row r="1157">
      <c r="A1157" s="11" t="n"/>
      <c r="B1157" s="11" t="n"/>
      <c r="C1157" s="12">
        <f>IF(A1157="","",$B$9*TAN(RADIANS(A1157)))</f>
        <v/>
      </c>
      <c r="D1157" s="12">
        <f>IF(C1157="","",C1157*(1+B1157/100))</f>
        <v/>
      </c>
      <c r="E1157" s="12">
        <f>IF(A1157="","",$B$10*TAN(RADIANS(A1157)))</f>
        <v/>
      </c>
    </row>
    <row r="1158">
      <c r="A1158" s="11" t="n"/>
      <c r="B1158" s="11" t="n"/>
      <c r="C1158" s="12">
        <f>IF(A1158="","",$B$9*TAN(RADIANS(A1158)))</f>
        <v/>
      </c>
      <c r="D1158" s="12">
        <f>IF(C1158="","",C1158*(1+B1158/100))</f>
        <v/>
      </c>
      <c r="E1158" s="12">
        <f>IF(A1158="","",$B$10*TAN(RADIANS(A1158)))</f>
        <v/>
      </c>
    </row>
    <row r="1159">
      <c r="A1159" s="11" t="n"/>
      <c r="B1159" s="11" t="n"/>
      <c r="C1159" s="12">
        <f>IF(A1159="","",$B$9*TAN(RADIANS(A1159)))</f>
        <v/>
      </c>
      <c r="D1159" s="12">
        <f>IF(C1159="","",C1159*(1+B1159/100))</f>
        <v/>
      </c>
      <c r="E1159" s="12">
        <f>IF(A1159="","",$B$10*TAN(RADIANS(A1159)))</f>
        <v/>
      </c>
    </row>
    <row r="1160">
      <c r="A1160" s="11" t="n"/>
      <c r="B1160" s="11" t="n"/>
      <c r="C1160" s="12">
        <f>IF(A1160="","",$B$9*TAN(RADIANS(A1160)))</f>
        <v/>
      </c>
      <c r="D1160" s="12">
        <f>IF(C1160="","",C1160*(1+B1160/100))</f>
        <v/>
      </c>
      <c r="E1160" s="12">
        <f>IF(A1160="","",$B$10*TAN(RADIANS(A1160)))</f>
        <v/>
      </c>
    </row>
    <row r="1161">
      <c r="A1161" s="11" t="n"/>
      <c r="B1161" s="11" t="n"/>
      <c r="C1161" s="12">
        <f>IF(A1161="","",$B$9*TAN(RADIANS(A1161)))</f>
        <v/>
      </c>
      <c r="D1161" s="12">
        <f>IF(C1161="","",C1161*(1+B1161/100))</f>
        <v/>
      </c>
      <c r="E1161" s="12">
        <f>IF(A1161="","",$B$10*TAN(RADIANS(A1161)))</f>
        <v/>
      </c>
    </row>
    <row r="1162">
      <c r="A1162" s="11" t="n"/>
      <c r="B1162" s="11" t="n"/>
      <c r="C1162" s="12">
        <f>IF(A1162="","",$B$9*TAN(RADIANS(A1162)))</f>
        <v/>
      </c>
      <c r="D1162" s="12">
        <f>IF(C1162="","",C1162*(1+B1162/100))</f>
        <v/>
      </c>
      <c r="E1162" s="12">
        <f>IF(A1162="","",$B$10*TAN(RADIANS(A1162)))</f>
        <v/>
      </c>
    </row>
    <row r="1163">
      <c r="A1163" s="11" t="n"/>
      <c r="B1163" s="11" t="n"/>
      <c r="C1163" s="12">
        <f>IF(A1163="","",$B$9*TAN(RADIANS(A1163)))</f>
        <v/>
      </c>
      <c r="D1163" s="12">
        <f>IF(C1163="","",C1163*(1+B1163/100))</f>
        <v/>
      </c>
      <c r="E1163" s="12">
        <f>IF(A1163="","",$B$10*TAN(RADIANS(A1163)))</f>
        <v/>
      </c>
    </row>
    <row r="1164">
      <c r="A1164" s="11" t="n"/>
      <c r="B1164" s="11" t="n"/>
      <c r="C1164" s="12">
        <f>IF(A1164="","",$B$9*TAN(RADIANS(A1164)))</f>
        <v/>
      </c>
      <c r="D1164" s="12">
        <f>IF(C1164="","",C1164*(1+B1164/100))</f>
        <v/>
      </c>
      <c r="E1164" s="12">
        <f>IF(A1164="","",$B$10*TAN(RADIANS(A1164)))</f>
        <v/>
      </c>
    </row>
    <row r="1165">
      <c r="A1165" s="11" t="n"/>
      <c r="B1165" s="11" t="n"/>
      <c r="C1165" s="12">
        <f>IF(A1165="","",$B$9*TAN(RADIANS(A1165)))</f>
        <v/>
      </c>
      <c r="D1165" s="12">
        <f>IF(C1165="","",C1165*(1+B1165/100))</f>
        <v/>
      </c>
      <c r="E1165" s="12">
        <f>IF(A1165="","",$B$10*TAN(RADIANS(A1165)))</f>
        <v/>
      </c>
    </row>
    <row r="1166">
      <c r="A1166" s="11" t="n"/>
      <c r="B1166" s="11" t="n"/>
      <c r="C1166" s="12">
        <f>IF(A1166="","",$B$9*TAN(RADIANS(A1166)))</f>
        <v/>
      </c>
      <c r="D1166" s="12">
        <f>IF(C1166="","",C1166*(1+B1166/100))</f>
        <v/>
      </c>
      <c r="E1166" s="12">
        <f>IF(A1166="","",$B$10*TAN(RADIANS(A1166)))</f>
        <v/>
      </c>
    </row>
    <row r="1167">
      <c r="A1167" s="11" t="n"/>
      <c r="B1167" s="11" t="n"/>
      <c r="C1167" s="12">
        <f>IF(A1167="","",$B$9*TAN(RADIANS(A1167)))</f>
        <v/>
      </c>
      <c r="D1167" s="12">
        <f>IF(C1167="","",C1167*(1+B1167/100))</f>
        <v/>
      </c>
      <c r="E1167" s="12">
        <f>IF(A1167="","",$B$10*TAN(RADIANS(A1167)))</f>
        <v/>
      </c>
    </row>
    <row r="1168">
      <c r="A1168" s="11" t="n"/>
      <c r="B1168" s="11" t="n"/>
      <c r="C1168" s="12">
        <f>IF(A1168="","",$B$9*TAN(RADIANS(A1168)))</f>
        <v/>
      </c>
      <c r="D1168" s="12">
        <f>IF(C1168="","",C1168*(1+B1168/100))</f>
        <v/>
      </c>
      <c r="E1168" s="12">
        <f>IF(A1168="","",$B$10*TAN(RADIANS(A1168)))</f>
        <v/>
      </c>
    </row>
    <row r="1169">
      <c r="A1169" s="11" t="n"/>
      <c r="B1169" s="11" t="n"/>
      <c r="C1169" s="12">
        <f>IF(A1169="","",$B$9*TAN(RADIANS(A1169)))</f>
        <v/>
      </c>
      <c r="D1169" s="12">
        <f>IF(C1169="","",C1169*(1+B1169/100))</f>
        <v/>
      </c>
      <c r="E1169" s="12">
        <f>IF(A1169="","",$B$10*TAN(RADIANS(A1169)))</f>
        <v/>
      </c>
    </row>
    <row r="1170">
      <c r="A1170" s="11" t="n"/>
      <c r="B1170" s="11" t="n"/>
      <c r="C1170" s="12">
        <f>IF(A1170="","",$B$9*TAN(RADIANS(A1170)))</f>
        <v/>
      </c>
      <c r="D1170" s="12">
        <f>IF(C1170="","",C1170*(1+B1170/100))</f>
        <v/>
      </c>
      <c r="E1170" s="12">
        <f>IF(A1170="","",$B$10*TAN(RADIANS(A1170)))</f>
        <v/>
      </c>
    </row>
    <row r="1171">
      <c r="A1171" s="11" t="n"/>
      <c r="B1171" s="11" t="n"/>
      <c r="C1171" s="12">
        <f>IF(A1171="","",$B$9*TAN(RADIANS(A1171)))</f>
        <v/>
      </c>
      <c r="D1171" s="12">
        <f>IF(C1171="","",C1171*(1+B1171/100))</f>
        <v/>
      </c>
      <c r="E1171" s="12">
        <f>IF(A1171="","",$B$10*TAN(RADIANS(A1171)))</f>
        <v/>
      </c>
    </row>
    <row r="1172">
      <c r="A1172" s="11" t="n"/>
      <c r="B1172" s="11" t="n"/>
      <c r="C1172" s="12">
        <f>IF(A1172="","",$B$9*TAN(RADIANS(A1172)))</f>
        <v/>
      </c>
      <c r="D1172" s="12">
        <f>IF(C1172="","",C1172*(1+B1172/100))</f>
        <v/>
      </c>
      <c r="E1172" s="12">
        <f>IF(A1172="","",$B$10*TAN(RADIANS(A1172)))</f>
        <v/>
      </c>
    </row>
    <row r="1173">
      <c r="A1173" s="11" t="n"/>
      <c r="B1173" s="11" t="n"/>
      <c r="C1173" s="12">
        <f>IF(A1173="","",$B$9*TAN(RADIANS(A1173)))</f>
        <v/>
      </c>
      <c r="D1173" s="12">
        <f>IF(C1173="","",C1173*(1+B1173/100))</f>
        <v/>
      </c>
      <c r="E1173" s="12">
        <f>IF(A1173="","",$B$10*TAN(RADIANS(A1173)))</f>
        <v/>
      </c>
    </row>
    <row r="1174">
      <c r="A1174" s="11" t="n"/>
      <c r="B1174" s="11" t="n"/>
      <c r="C1174" s="12">
        <f>IF(A1174="","",$B$9*TAN(RADIANS(A1174)))</f>
        <v/>
      </c>
      <c r="D1174" s="12">
        <f>IF(C1174="","",C1174*(1+B1174/100))</f>
        <v/>
      </c>
      <c r="E1174" s="12">
        <f>IF(A1174="","",$B$10*TAN(RADIANS(A1174)))</f>
        <v/>
      </c>
    </row>
    <row r="1175">
      <c r="A1175" s="11" t="n"/>
      <c r="B1175" s="11" t="n"/>
      <c r="C1175" s="12">
        <f>IF(A1175="","",$B$9*TAN(RADIANS(A1175)))</f>
        <v/>
      </c>
      <c r="D1175" s="12">
        <f>IF(C1175="","",C1175*(1+B1175/100))</f>
        <v/>
      </c>
      <c r="E1175" s="12">
        <f>IF(A1175="","",$B$10*TAN(RADIANS(A1175)))</f>
        <v/>
      </c>
    </row>
    <row r="1176">
      <c r="A1176" s="11" t="n"/>
      <c r="B1176" s="11" t="n"/>
      <c r="C1176" s="12">
        <f>IF(A1176="","",$B$9*TAN(RADIANS(A1176)))</f>
        <v/>
      </c>
      <c r="D1176" s="12">
        <f>IF(C1176="","",C1176*(1+B1176/100))</f>
        <v/>
      </c>
      <c r="E1176" s="12">
        <f>IF(A1176="","",$B$10*TAN(RADIANS(A1176)))</f>
        <v/>
      </c>
    </row>
    <row r="1177">
      <c r="A1177" s="11" t="n"/>
      <c r="B1177" s="11" t="n"/>
      <c r="C1177" s="12">
        <f>IF(A1177="","",$B$9*TAN(RADIANS(A1177)))</f>
        <v/>
      </c>
      <c r="D1177" s="12">
        <f>IF(C1177="","",C1177*(1+B1177/100))</f>
        <v/>
      </c>
      <c r="E1177" s="12">
        <f>IF(A1177="","",$B$10*TAN(RADIANS(A1177)))</f>
        <v/>
      </c>
    </row>
    <row r="1178">
      <c r="A1178" s="11" t="n"/>
      <c r="B1178" s="11" t="n"/>
      <c r="C1178" s="12">
        <f>IF(A1178="","",$B$9*TAN(RADIANS(A1178)))</f>
        <v/>
      </c>
      <c r="D1178" s="12">
        <f>IF(C1178="","",C1178*(1+B1178/100))</f>
        <v/>
      </c>
      <c r="E1178" s="12">
        <f>IF(A1178="","",$B$10*TAN(RADIANS(A1178)))</f>
        <v/>
      </c>
    </row>
    <row r="1179">
      <c r="A1179" s="11" t="n"/>
      <c r="B1179" s="11" t="n"/>
      <c r="C1179" s="12">
        <f>IF(A1179="","",$B$9*TAN(RADIANS(A1179)))</f>
        <v/>
      </c>
      <c r="D1179" s="12">
        <f>IF(C1179="","",C1179*(1+B1179/100))</f>
        <v/>
      </c>
      <c r="E1179" s="12">
        <f>IF(A1179="","",$B$10*TAN(RADIANS(A1179)))</f>
        <v/>
      </c>
    </row>
    <row r="1180">
      <c r="A1180" s="11" t="n"/>
      <c r="B1180" s="11" t="n"/>
      <c r="C1180" s="12">
        <f>IF(A1180="","",$B$9*TAN(RADIANS(A1180)))</f>
        <v/>
      </c>
      <c r="D1180" s="12">
        <f>IF(C1180="","",C1180*(1+B1180/100))</f>
        <v/>
      </c>
      <c r="E1180" s="12">
        <f>IF(A1180="","",$B$10*TAN(RADIANS(A1180)))</f>
        <v/>
      </c>
    </row>
    <row r="1181">
      <c r="A1181" s="11" t="n"/>
      <c r="B1181" s="11" t="n"/>
      <c r="C1181" s="12">
        <f>IF(A1181="","",$B$9*TAN(RADIANS(A1181)))</f>
        <v/>
      </c>
      <c r="D1181" s="12">
        <f>IF(C1181="","",C1181*(1+B1181/100))</f>
        <v/>
      </c>
      <c r="E1181" s="12">
        <f>IF(A1181="","",$B$10*TAN(RADIANS(A1181)))</f>
        <v/>
      </c>
    </row>
    <row r="1182">
      <c r="A1182" s="11" t="n"/>
      <c r="B1182" s="11" t="n"/>
      <c r="C1182" s="12">
        <f>IF(A1182="","",$B$9*TAN(RADIANS(A1182)))</f>
        <v/>
      </c>
      <c r="D1182" s="12">
        <f>IF(C1182="","",C1182*(1+B1182/100))</f>
        <v/>
      </c>
      <c r="E1182" s="12">
        <f>IF(A1182="","",$B$10*TAN(RADIANS(A1182)))</f>
        <v/>
      </c>
    </row>
    <row r="1183">
      <c r="A1183" s="11" t="n"/>
      <c r="B1183" s="11" t="n"/>
      <c r="C1183" s="12">
        <f>IF(A1183="","",$B$9*TAN(RADIANS(A1183)))</f>
        <v/>
      </c>
      <c r="D1183" s="12">
        <f>IF(C1183="","",C1183*(1+B1183/100))</f>
        <v/>
      </c>
      <c r="E1183" s="12">
        <f>IF(A1183="","",$B$10*TAN(RADIANS(A1183)))</f>
        <v/>
      </c>
    </row>
    <row r="1184">
      <c r="A1184" s="11" t="n"/>
      <c r="B1184" s="11" t="n"/>
      <c r="C1184" s="12">
        <f>IF(A1184="","",$B$9*TAN(RADIANS(A1184)))</f>
        <v/>
      </c>
      <c r="D1184" s="12">
        <f>IF(C1184="","",C1184*(1+B1184/100))</f>
        <v/>
      </c>
      <c r="E1184" s="12">
        <f>IF(A1184="","",$B$10*TAN(RADIANS(A1184)))</f>
        <v/>
      </c>
    </row>
    <row r="1185">
      <c r="A1185" s="11" t="n"/>
      <c r="B1185" s="11" t="n"/>
      <c r="C1185" s="12">
        <f>IF(A1185="","",$B$9*TAN(RADIANS(A1185)))</f>
        <v/>
      </c>
      <c r="D1185" s="12">
        <f>IF(C1185="","",C1185*(1+B1185/100))</f>
        <v/>
      </c>
      <c r="E1185" s="12">
        <f>IF(A1185="","",$B$10*TAN(RADIANS(A1185)))</f>
        <v/>
      </c>
    </row>
    <row r="1186">
      <c r="A1186" s="11" t="n"/>
      <c r="B1186" s="11" t="n"/>
      <c r="C1186" s="12">
        <f>IF(A1186="","",$B$9*TAN(RADIANS(A1186)))</f>
        <v/>
      </c>
      <c r="D1186" s="12">
        <f>IF(C1186="","",C1186*(1+B1186/100))</f>
        <v/>
      </c>
      <c r="E1186" s="12">
        <f>IF(A1186="","",$B$10*TAN(RADIANS(A1186)))</f>
        <v/>
      </c>
    </row>
    <row r="1187">
      <c r="A1187" s="11" t="n"/>
      <c r="B1187" s="11" t="n"/>
      <c r="C1187" s="12">
        <f>IF(A1187="","",$B$9*TAN(RADIANS(A1187)))</f>
        <v/>
      </c>
      <c r="D1187" s="12">
        <f>IF(C1187="","",C1187*(1+B1187/100))</f>
        <v/>
      </c>
      <c r="E1187" s="12">
        <f>IF(A1187="","",$B$10*TAN(RADIANS(A1187)))</f>
        <v/>
      </c>
    </row>
    <row r="1188">
      <c r="A1188" s="11" t="n"/>
      <c r="B1188" s="11" t="n"/>
      <c r="C1188" s="12">
        <f>IF(A1188="","",$B$9*TAN(RADIANS(A1188)))</f>
        <v/>
      </c>
      <c r="D1188" s="12">
        <f>IF(C1188="","",C1188*(1+B1188/100))</f>
        <v/>
      </c>
      <c r="E1188" s="12">
        <f>IF(A1188="","",$B$10*TAN(RADIANS(A1188)))</f>
        <v/>
      </c>
    </row>
    <row r="1189">
      <c r="A1189" s="11" t="n"/>
      <c r="B1189" s="11" t="n"/>
      <c r="C1189" s="12">
        <f>IF(A1189="","",$B$9*TAN(RADIANS(A1189)))</f>
        <v/>
      </c>
      <c r="D1189" s="12">
        <f>IF(C1189="","",C1189*(1+B1189/100))</f>
        <v/>
      </c>
      <c r="E1189" s="12">
        <f>IF(A1189="","",$B$10*TAN(RADIANS(A1189)))</f>
        <v/>
      </c>
    </row>
    <row r="1190">
      <c r="A1190" s="11" t="n"/>
      <c r="B1190" s="11" t="n"/>
      <c r="C1190" s="12">
        <f>IF(A1190="","",$B$9*TAN(RADIANS(A1190)))</f>
        <v/>
      </c>
      <c r="D1190" s="12">
        <f>IF(C1190="","",C1190*(1+B1190/100))</f>
        <v/>
      </c>
      <c r="E1190" s="12">
        <f>IF(A1190="","",$B$10*TAN(RADIANS(A1190)))</f>
        <v/>
      </c>
    </row>
    <row r="1191">
      <c r="A1191" s="11" t="n"/>
      <c r="B1191" s="11" t="n"/>
      <c r="C1191" s="12">
        <f>IF(A1191="","",$B$9*TAN(RADIANS(A1191)))</f>
        <v/>
      </c>
      <c r="D1191" s="12">
        <f>IF(C1191="","",C1191*(1+B1191/100))</f>
        <v/>
      </c>
      <c r="E1191" s="12">
        <f>IF(A1191="","",$B$10*TAN(RADIANS(A1191)))</f>
        <v/>
      </c>
    </row>
    <row r="1192">
      <c r="A1192" s="11" t="n"/>
      <c r="B1192" s="11" t="n"/>
      <c r="C1192" s="12">
        <f>IF(A1192="","",$B$9*TAN(RADIANS(A1192)))</f>
        <v/>
      </c>
      <c r="D1192" s="12">
        <f>IF(C1192="","",C1192*(1+B1192/100))</f>
        <v/>
      </c>
      <c r="E1192" s="12">
        <f>IF(A1192="","",$B$10*TAN(RADIANS(A1192)))</f>
        <v/>
      </c>
    </row>
    <row r="1193">
      <c r="A1193" s="11" t="n"/>
      <c r="B1193" s="11" t="n"/>
      <c r="C1193" s="12">
        <f>IF(A1193="","",$B$9*TAN(RADIANS(A1193)))</f>
        <v/>
      </c>
      <c r="D1193" s="12">
        <f>IF(C1193="","",C1193*(1+B1193/100))</f>
        <v/>
      </c>
      <c r="E1193" s="12">
        <f>IF(A1193="","",$B$10*TAN(RADIANS(A1193)))</f>
        <v/>
      </c>
    </row>
    <row r="1194">
      <c r="A1194" s="11" t="n"/>
      <c r="B1194" s="11" t="n"/>
      <c r="C1194" s="12">
        <f>IF(A1194="","",$B$9*TAN(RADIANS(A1194)))</f>
        <v/>
      </c>
      <c r="D1194" s="12">
        <f>IF(C1194="","",C1194*(1+B1194/100))</f>
        <v/>
      </c>
      <c r="E1194" s="12">
        <f>IF(A1194="","",$B$10*TAN(RADIANS(A1194)))</f>
        <v/>
      </c>
    </row>
    <row r="1195">
      <c r="A1195" s="11" t="n"/>
      <c r="B1195" s="11" t="n"/>
      <c r="C1195" s="12">
        <f>IF(A1195="","",$B$9*TAN(RADIANS(A1195)))</f>
        <v/>
      </c>
      <c r="D1195" s="12">
        <f>IF(C1195="","",C1195*(1+B1195/100))</f>
        <v/>
      </c>
      <c r="E1195" s="12">
        <f>IF(A1195="","",$B$10*TAN(RADIANS(A1195)))</f>
        <v/>
      </c>
    </row>
    <row r="1196">
      <c r="A1196" s="11" t="n"/>
      <c r="B1196" s="11" t="n"/>
      <c r="C1196" s="12">
        <f>IF(A1196="","",$B$9*TAN(RADIANS(A1196)))</f>
        <v/>
      </c>
      <c r="D1196" s="12">
        <f>IF(C1196="","",C1196*(1+B1196/100))</f>
        <v/>
      </c>
      <c r="E1196" s="12">
        <f>IF(A1196="","",$B$10*TAN(RADIANS(A1196)))</f>
        <v/>
      </c>
    </row>
    <row r="1197">
      <c r="A1197" s="11" t="n"/>
      <c r="B1197" s="11" t="n"/>
      <c r="C1197" s="12">
        <f>IF(A1197="","",$B$9*TAN(RADIANS(A1197)))</f>
        <v/>
      </c>
      <c r="D1197" s="12">
        <f>IF(C1197="","",C1197*(1+B1197/100))</f>
        <v/>
      </c>
      <c r="E1197" s="12">
        <f>IF(A1197="","",$B$10*TAN(RADIANS(A1197)))</f>
        <v/>
      </c>
    </row>
    <row r="1198">
      <c r="A1198" s="11" t="n"/>
      <c r="B1198" s="11" t="n"/>
      <c r="C1198" s="12">
        <f>IF(A1198="","",$B$9*TAN(RADIANS(A1198)))</f>
        <v/>
      </c>
      <c r="D1198" s="12">
        <f>IF(C1198="","",C1198*(1+B1198/100))</f>
        <v/>
      </c>
      <c r="E1198" s="12">
        <f>IF(A1198="","",$B$10*TAN(RADIANS(A1198)))</f>
        <v/>
      </c>
    </row>
    <row r="1199">
      <c r="A1199" s="11" t="n"/>
      <c r="B1199" s="11" t="n"/>
      <c r="C1199" s="12">
        <f>IF(A1199="","",$B$9*TAN(RADIANS(A1199)))</f>
        <v/>
      </c>
      <c r="D1199" s="12">
        <f>IF(C1199="","",C1199*(1+B1199/100))</f>
        <v/>
      </c>
      <c r="E1199" s="12">
        <f>IF(A1199="","",$B$10*TAN(RADIANS(A1199)))</f>
        <v/>
      </c>
    </row>
    <row r="1200">
      <c r="A1200" s="11" t="n"/>
      <c r="B1200" s="11" t="n"/>
      <c r="C1200" s="12">
        <f>IF(A1200="","",$B$9*TAN(RADIANS(A1200)))</f>
        <v/>
      </c>
      <c r="D1200" s="12">
        <f>IF(C1200="","",C1200*(1+B1200/100))</f>
        <v/>
      </c>
      <c r="E1200" s="12">
        <f>IF(A1200="","",$B$10*TAN(RADIANS(A1200)))</f>
        <v/>
      </c>
    </row>
    <row r="1201">
      <c r="A1201" s="11" t="n"/>
      <c r="B1201" s="11" t="n"/>
      <c r="C1201" s="12">
        <f>IF(A1201="","",$B$9*TAN(RADIANS(A1201)))</f>
        <v/>
      </c>
      <c r="D1201" s="12">
        <f>IF(C1201="","",C1201*(1+B1201/100))</f>
        <v/>
      </c>
      <c r="E1201" s="12">
        <f>IF(A1201="","",$B$10*TAN(RADIANS(A1201)))</f>
        <v/>
      </c>
    </row>
    <row r="1202">
      <c r="A1202" s="11" t="n"/>
      <c r="B1202" s="11" t="n"/>
      <c r="C1202" s="12">
        <f>IF(A1202="","",$B$9*TAN(RADIANS(A1202)))</f>
        <v/>
      </c>
      <c r="D1202" s="12">
        <f>IF(C1202="","",C1202*(1+B1202/100))</f>
        <v/>
      </c>
      <c r="E1202" s="12">
        <f>IF(A1202="","",$B$10*TAN(RADIANS(A1202)))</f>
        <v/>
      </c>
    </row>
    <row r="1203">
      <c r="A1203" s="11" t="n"/>
      <c r="B1203" s="11" t="n"/>
      <c r="C1203" s="12">
        <f>IF(A1203="","",$B$9*TAN(RADIANS(A1203)))</f>
        <v/>
      </c>
      <c r="D1203" s="12">
        <f>IF(C1203="","",C1203*(1+B1203/100))</f>
        <v/>
      </c>
      <c r="E1203" s="12">
        <f>IF(A1203="","",$B$10*TAN(RADIANS(A1203)))</f>
        <v/>
      </c>
    </row>
    <row r="1204">
      <c r="A1204" s="11" t="n"/>
      <c r="B1204" s="11" t="n"/>
      <c r="C1204" s="12">
        <f>IF(A1204="","",$B$9*TAN(RADIANS(A1204)))</f>
        <v/>
      </c>
      <c r="D1204" s="12">
        <f>IF(C1204="","",C1204*(1+B1204/100))</f>
        <v/>
      </c>
      <c r="E1204" s="12">
        <f>IF(A1204="","",$B$10*TAN(RADIANS(A1204)))</f>
        <v/>
      </c>
    </row>
    <row r="1205">
      <c r="A1205" s="11" t="n"/>
      <c r="B1205" s="11" t="n"/>
      <c r="C1205" s="12">
        <f>IF(A1205="","",$B$9*TAN(RADIANS(A1205)))</f>
        <v/>
      </c>
      <c r="D1205" s="12">
        <f>IF(C1205="","",C1205*(1+B1205/100))</f>
        <v/>
      </c>
      <c r="E1205" s="12">
        <f>IF(A1205="","",$B$10*TAN(RADIANS(A1205)))</f>
        <v/>
      </c>
    </row>
    <row r="1206">
      <c r="A1206" s="11" t="n"/>
      <c r="B1206" s="11" t="n"/>
      <c r="C1206" s="12">
        <f>IF(A1206="","",$B$9*TAN(RADIANS(A1206)))</f>
        <v/>
      </c>
      <c r="D1206" s="12">
        <f>IF(C1206="","",C1206*(1+B1206/100))</f>
        <v/>
      </c>
      <c r="E1206" s="12">
        <f>IF(A1206="","",$B$10*TAN(RADIANS(A1206)))</f>
        <v/>
      </c>
    </row>
    <row r="1207">
      <c r="A1207" s="11" t="n"/>
      <c r="B1207" s="11" t="n"/>
      <c r="C1207" s="12">
        <f>IF(A1207="","",$B$9*TAN(RADIANS(A1207)))</f>
        <v/>
      </c>
      <c r="D1207" s="12">
        <f>IF(C1207="","",C1207*(1+B1207/100))</f>
        <v/>
      </c>
      <c r="E1207" s="12">
        <f>IF(A1207="","",$B$10*TAN(RADIANS(A1207)))</f>
        <v/>
      </c>
    </row>
    <row r="1208">
      <c r="A1208" s="11" t="n"/>
      <c r="B1208" s="11" t="n"/>
      <c r="C1208" s="12">
        <f>IF(A1208="","",$B$9*TAN(RADIANS(A1208)))</f>
        <v/>
      </c>
      <c r="D1208" s="12">
        <f>IF(C1208="","",C1208*(1+B1208/100))</f>
        <v/>
      </c>
      <c r="E1208" s="12">
        <f>IF(A1208="","",$B$10*TAN(RADIANS(A1208)))</f>
        <v/>
      </c>
    </row>
    <row r="1209">
      <c r="A1209" s="11" t="n"/>
      <c r="B1209" s="11" t="n"/>
      <c r="C1209" s="12">
        <f>IF(A1209="","",$B$9*TAN(RADIANS(A1209)))</f>
        <v/>
      </c>
      <c r="D1209" s="12">
        <f>IF(C1209="","",C1209*(1+B1209/100))</f>
        <v/>
      </c>
      <c r="E1209" s="12">
        <f>IF(A1209="","",$B$10*TAN(RADIANS(A1209)))</f>
        <v/>
      </c>
    </row>
    <row r="1210">
      <c r="A1210" s="11" t="n"/>
      <c r="B1210" s="11" t="n"/>
      <c r="C1210" s="12">
        <f>IF(A1210="","",$B$9*TAN(RADIANS(A1210)))</f>
        <v/>
      </c>
      <c r="D1210" s="12">
        <f>IF(C1210="","",C1210*(1+B1210/100))</f>
        <v/>
      </c>
      <c r="E1210" s="12">
        <f>IF(A1210="","",$B$10*TAN(RADIANS(A1210)))</f>
        <v/>
      </c>
    </row>
    <row r="1211">
      <c r="A1211" s="11" t="n"/>
      <c r="B1211" s="11" t="n"/>
      <c r="C1211" s="12">
        <f>IF(A1211="","",$B$9*TAN(RADIANS(A1211)))</f>
        <v/>
      </c>
      <c r="D1211" s="12">
        <f>IF(C1211="","",C1211*(1+B1211/100))</f>
        <v/>
      </c>
      <c r="E1211" s="12">
        <f>IF(A1211="","",$B$10*TAN(RADIANS(A1211)))</f>
        <v/>
      </c>
    </row>
    <row r="1212">
      <c r="A1212" s="11" t="n"/>
      <c r="B1212" s="11" t="n"/>
      <c r="C1212" s="12">
        <f>IF(A1212="","",$B$9*TAN(RADIANS(A1212)))</f>
        <v/>
      </c>
      <c r="D1212" s="12">
        <f>IF(C1212="","",C1212*(1+B1212/100))</f>
        <v/>
      </c>
      <c r="E1212" s="12">
        <f>IF(A1212="","",$B$10*TAN(RADIANS(A1212)))</f>
        <v/>
      </c>
    </row>
    <row r="1213">
      <c r="A1213" s="11" t="n"/>
      <c r="B1213" s="11" t="n"/>
      <c r="C1213" s="12">
        <f>IF(A1213="","",$B$9*TAN(RADIANS(A1213)))</f>
        <v/>
      </c>
      <c r="D1213" s="12">
        <f>IF(C1213="","",C1213*(1+B1213/100))</f>
        <v/>
      </c>
      <c r="E1213" s="12">
        <f>IF(A1213="","",$B$10*TAN(RADIANS(A1213)))</f>
        <v/>
      </c>
    </row>
    <row r="1214">
      <c r="A1214" s="11" t="n"/>
      <c r="B1214" s="11" t="n"/>
      <c r="C1214" s="12">
        <f>IF(A1214="","",$B$9*TAN(RADIANS(A1214)))</f>
        <v/>
      </c>
      <c r="D1214" s="12">
        <f>IF(C1214="","",C1214*(1+B1214/100))</f>
        <v/>
      </c>
      <c r="E1214" s="12">
        <f>IF(A1214="","",$B$10*TAN(RADIANS(A1214)))</f>
        <v/>
      </c>
    </row>
    <row r="1215">
      <c r="A1215" s="11" t="n"/>
      <c r="B1215" s="11" t="n"/>
      <c r="C1215" s="12">
        <f>IF(A1215="","",$B$9*TAN(RADIANS(A1215)))</f>
        <v/>
      </c>
      <c r="D1215" s="12">
        <f>IF(C1215="","",C1215*(1+B1215/100))</f>
        <v/>
      </c>
      <c r="E1215" s="12">
        <f>IF(A1215="","",$B$10*TAN(RADIANS(A1215)))</f>
        <v/>
      </c>
    </row>
    <row r="1216">
      <c r="A1216" s="11" t="n"/>
      <c r="B1216" s="11" t="n"/>
      <c r="C1216" s="12">
        <f>IF(A1216="","",$B$9*TAN(RADIANS(A1216)))</f>
        <v/>
      </c>
      <c r="D1216" s="12">
        <f>IF(C1216="","",C1216*(1+B1216/100))</f>
        <v/>
      </c>
      <c r="E1216" s="12">
        <f>IF(A1216="","",$B$10*TAN(RADIANS(A1216)))</f>
        <v/>
      </c>
    </row>
    <row r="1217">
      <c r="A1217" s="11" t="n"/>
      <c r="B1217" s="11" t="n"/>
      <c r="C1217" s="12">
        <f>IF(A1217="","",$B$9*TAN(RADIANS(A1217)))</f>
        <v/>
      </c>
      <c r="D1217" s="12">
        <f>IF(C1217="","",C1217*(1+B1217/100))</f>
        <v/>
      </c>
      <c r="E1217" s="12">
        <f>IF(A1217="","",$B$10*TAN(RADIANS(A1217)))</f>
        <v/>
      </c>
    </row>
    <row r="1218">
      <c r="A1218" s="11" t="n"/>
      <c r="B1218" s="11" t="n"/>
      <c r="C1218" s="12">
        <f>IF(A1218="","",$B$9*TAN(RADIANS(A1218)))</f>
        <v/>
      </c>
      <c r="D1218" s="12">
        <f>IF(C1218="","",C1218*(1+B1218/100))</f>
        <v/>
      </c>
      <c r="E1218" s="12">
        <f>IF(A1218="","",$B$10*TAN(RADIANS(A1218)))</f>
        <v/>
      </c>
    </row>
    <row r="1219">
      <c r="A1219" s="11" t="n"/>
      <c r="B1219" s="11" t="n"/>
      <c r="C1219" s="12">
        <f>IF(A1219="","",$B$9*TAN(RADIANS(A1219)))</f>
        <v/>
      </c>
      <c r="D1219" s="12">
        <f>IF(C1219="","",C1219*(1+B1219/100))</f>
        <v/>
      </c>
      <c r="E1219" s="12">
        <f>IF(A1219="","",$B$10*TAN(RADIANS(A1219)))</f>
        <v/>
      </c>
    </row>
    <row r="1220">
      <c r="A1220" s="11" t="n"/>
      <c r="B1220" s="11" t="n"/>
      <c r="C1220" s="12">
        <f>IF(A1220="","",$B$9*TAN(RADIANS(A1220)))</f>
        <v/>
      </c>
      <c r="D1220" s="12">
        <f>IF(C1220="","",C1220*(1+B1220/100))</f>
        <v/>
      </c>
      <c r="E1220" s="12">
        <f>IF(A1220="","",$B$10*TAN(RADIANS(A1220)))</f>
        <v/>
      </c>
    </row>
    <row r="1221">
      <c r="A1221" s="11" t="n"/>
      <c r="B1221" s="11" t="n"/>
      <c r="C1221" s="12">
        <f>IF(A1221="","",$B$9*TAN(RADIANS(A1221)))</f>
        <v/>
      </c>
      <c r="D1221" s="12">
        <f>IF(C1221="","",C1221*(1+B1221/100))</f>
        <v/>
      </c>
      <c r="E1221" s="12">
        <f>IF(A1221="","",$B$10*TAN(RADIANS(A1221)))</f>
        <v/>
      </c>
    </row>
    <row r="1222">
      <c r="A1222" s="11" t="n"/>
      <c r="B1222" s="11" t="n"/>
      <c r="C1222" s="12">
        <f>IF(A1222="","",$B$9*TAN(RADIANS(A1222)))</f>
        <v/>
      </c>
      <c r="D1222" s="12">
        <f>IF(C1222="","",C1222*(1+B1222/100))</f>
        <v/>
      </c>
      <c r="E1222" s="12">
        <f>IF(A1222="","",$B$10*TAN(RADIANS(A1222)))</f>
        <v/>
      </c>
    </row>
    <row r="1223">
      <c r="A1223" s="11" t="n"/>
      <c r="B1223" s="11" t="n"/>
      <c r="C1223" s="12">
        <f>IF(A1223="","",$B$9*TAN(RADIANS(A1223)))</f>
        <v/>
      </c>
      <c r="D1223" s="12">
        <f>IF(C1223="","",C1223*(1+B1223/100))</f>
        <v/>
      </c>
      <c r="E1223" s="12">
        <f>IF(A1223="","",$B$10*TAN(RADIANS(A1223)))</f>
        <v/>
      </c>
    </row>
    <row r="1224">
      <c r="A1224" s="11" t="n"/>
      <c r="B1224" s="11" t="n"/>
      <c r="C1224" s="12">
        <f>IF(A1224="","",$B$9*TAN(RADIANS(A1224)))</f>
        <v/>
      </c>
      <c r="D1224" s="12">
        <f>IF(C1224="","",C1224*(1+B1224/100))</f>
        <v/>
      </c>
      <c r="E1224" s="12">
        <f>IF(A1224="","",$B$10*TAN(RADIANS(A1224)))</f>
        <v/>
      </c>
    </row>
    <row r="1225">
      <c r="A1225" s="11" t="n"/>
      <c r="B1225" s="11" t="n"/>
      <c r="C1225" s="12">
        <f>IF(A1225="","",$B$9*TAN(RADIANS(A1225)))</f>
        <v/>
      </c>
      <c r="D1225" s="12">
        <f>IF(C1225="","",C1225*(1+B1225/100))</f>
        <v/>
      </c>
      <c r="E1225" s="12">
        <f>IF(A1225="","",$B$10*TAN(RADIANS(A1225)))</f>
        <v/>
      </c>
    </row>
    <row r="1226">
      <c r="A1226" s="11" t="n"/>
      <c r="B1226" s="11" t="n"/>
      <c r="C1226" s="12">
        <f>IF(A1226="","",$B$9*TAN(RADIANS(A1226)))</f>
        <v/>
      </c>
      <c r="D1226" s="12">
        <f>IF(C1226="","",C1226*(1+B1226/100))</f>
        <v/>
      </c>
      <c r="E1226" s="12">
        <f>IF(A1226="","",$B$10*TAN(RADIANS(A1226)))</f>
        <v/>
      </c>
    </row>
    <row r="1227">
      <c r="A1227" s="11" t="n"/>
      <c r="B1227" s="11" t="n"/>
      <c r="C1227" s="12">
        <f>IF(A1227="","",$B$9*TAN(RADIANS(A1227)))</f>
        <v/>
      </c>
      <c r="D1227" s="12">
        <f>IF(C1227="","",C1227*(1+B1227/100))</f>
        <v/>
      </c>
      <c r="E1227" s="12">
        <f>IF(A1227="","",$B$10*TAN(RADIANS(A1227)))</f>
        <v/>
      </c>
    </row>
    <row r="1228">
      <c r="A1228" s="11" t="n"/>
      <c r="B1228" s="11" t="n"/>
      <c r="C1228" s="12">
        <f>IF(A1228="","",$B$9*TAN(RADIANS(A1228)))</f>
        <v/>
      </c>
      <c r="D1228" s="12">
        <f>IF(C1228="","",C1228*(1+B1228/100))</f>
        <v/>
      </c>
      <c r="E1228" s="12">
        <f>IF(A1228="","",$B$10*TAN(RADIANS(A1228)))</f>
        <v/>
      </c>
    </row>
    <row r="1229">
      <c r="A1229" s="11" t="n"/>
      <c r="B1229" s="11" t="n"/>
      <c r="C1229" s="12">
        <f>IF(A1229="","",$B$9*TAN(RADIANS(A1229)))</f>
        <v/>
      </c>
      <c r="D1229" s="12">
        <f>IF(C1229="","",C1229*(1+B1229/100))</f>
        <v/>
      </c>
      <c r="E1229" s="12">
        <f>IF(A1229="","",$B$10*TAN(RADIANS(A1229)))</f>
        <v/>
      </c>
    </row>
    <row r="1230">
      <c r="A1230" s="11" t="n"/>
      <c r="B1230" s="11" t="n"/>
      <c r="C1230" s="12">
        <f>IF(A1230="","",$B$9*TAN(RADIANS(A1230)))</f>
        <v/>
      </c>
      <c r="D1230" s="12">
        <f>IF(C1230="","",C1230*(1+B1230/100))</f>
        <v/>
      </c>
      <c r="E1230" s="12">
        <f>IF(A1230="","",$B$10*TAN(RADIANS(A1230)))</f>
        <v/>
      </c>
    </row>
    <row r="1231">
      <c r="A1231" s="11" t="n"/>
      <c r="B1231" s="11" t="n"/>
      <c r="C1231" s="12">
        <f>IF(A1231="","",$B$9*TAN(RADIANS(A1231)))</f>
        <v/>
      </c>
      <c r="D1231" s="12">
        <f>IF(C1231="","",C1231*(1+B1231/100))</f>
        <v/>
      </c>
      <c r="E1231" s="12">
        <f>IF(A1231="","",$B$10*TAN(RADIANS(A1231)))</f>
        <v/>
      </c>
    </row>
    <row r="1232">
      <c r="A1232" s="11" t="n"/>
      <c r="B1232" s="11" t="n"/>
      <c r="C1232" s="12">
        <f>IF(A1232="","",$B$9*TAN(RADIANS(A1232)))</f>
        <v/>
      </c>
      <c r="D1232" s="12">
        <f>IF(C1232="","",C1232*(1+B1232/100))</f>
        <v/>
      </c>
      <c r="E1232" s="12">
        <f>IF(A1232="","",$B$10*TAN(RADIANS(A1232)))</f>
        <v/>
      </c>
    </row>
    <row r="1233">
      <c r="A1233" s="11" t="n"/>
      <c r="B1233" s="11" t="n"/>
      <c r="C1233" s="12">
        <f>IF(A1233="","",$B$9*TAN(RADIANS(A1233)))</f>
        <v/>
      </c>
      <c r="D1233" s="12">
        <f>IF(C1233="","",C1233*(1+B1233/100))</f>
        <v/>
      </c>
      <c r="E1233" s="12">
        <f>IF(A1233="","",$B$10*TAN(RADIANS(A1233)))</f>
        <v/>
      </c>
    </row>
    <row r="1234">
      <c r="A1234" s="11" t="n"/>
      <c r="B1234" s="11" t="n"/>
      <c r="C1234" s="12">
        <f>IF(A1234="","",$B$9*TAN(RADIANS(A1234)))</f>
        <v/>
      </c>
      <c r="D1234" s="12">
        <f>IF(C1234="","",C1234*(1+B1234/100))</f>
        <v/>
      </c>
      <c r="E1234" s="12">
        <f>IF(A1234="","",$B$10*TAN(RADIANS(A1234)))</f>
        <v/>
      </c>
    </row>
    <row r="1235">
      <c r="A1235" s="11" t="n"/>
      <c r="B1235" s="11" t="n"/>
      <c r="C1235" s="12">
        <f>IF(A1235="","",$B$9*TAN(RADIANS(A1235)))</f>
        <v/>
      </c>
      <c r="D1235" s="12">
        <f>IF(C1235="","",C1235*(1+B1235/100))</f>
        <v/>
      </c>
      <c r="E1235" s="12">
        <f>IF(A1235="","",$B$10*TAN(RADIANS(A1235)))</f>
        <v/>
      </c>
    </row>
    <row r="1236">
      <c r="A1236" s="11" t="n"/>
      <c r="B1236" s="11" t="n"/>
      <c r="C1236" s="12">
        <f>IF(A1236="","",$B$9*TAN(RADIANS(A1236)))</f>
        <v/>
      </c>
      <c r="D1236" s="12">
        <f>IF(C1236="","",C1236*(1+B1236/100))</f>
        <v/>
      </c>
      <c r="E1236" s="12">
        <f>IF(A1236="","",$B$10*TAN(RADIANS(A1236)))</f>
        <v/>
      </c>
    </row>
    <row r="1237">
      <c r="A1237" s="11" t="n"/>
      <c r="B1237" s="11" t="n"/>
      <c r="C1237" s="12">
        <f>IF(A1237="","",$B$9*TAN(RADIANS(A1237)))</f>
        <v/>
      </c>
      <c r="D1237" s="12">
        <f>IF(C1237="","",C1237*(1+B1237/100))</f>
        <v/>
      </c>
      <c r="E1237" s="12">
        <f>IF(A1237="","",$B$10*TAN(RADIANS(A1237)))</f>
        <v/>
      </c>
    </row>
    <row r="1238">
      <c r="A1238" s="11" t="n"/>
      <c r="B1238" s="11" t="n"/>
      <c r="C1238" s="12">
        <f>IF(A1238="","",$B$9*TAN(RADIANS(A1238)))</f>
        <v/>
      </c>
      <c r="D1238" s="12">
        <f>IF(C1238="","",C1238*(1+B1238/100))</f>
        <v/>
      </c>
      <c r="E1238" s="12">
        <f>IF(A1238="","",$B$10*TAN(RADIANS(A1238)))</f>
        <v/>
      </c>
    </row>
    <row r="1239">
      <c r="A1239" s="11" t="n"/>
      <c r="B1239" s="11" t="n"/>
      <c r="C1239" s="12">
        <f>IF(A1239="","",$B$9*TAN(RADIANS(A1239)))</f>
        <v/>
      </c>
      <c r="D1239" s="12">
        <f>IF(C1239="","",C1239*(1+B1239/100))</f>
        <v/>
      </c>
      <c r="E1239" s="12">
        <f>IF(A1239="","",$B$10*TAN(RADIANS(A1239)))</f>
        <v/>
      </c>
    </row>
    <row r="1240">
      <c r="A1240" s="11" t="n"/>
      <c r="B1240" s="11" t="n"/>
      <c r="C1240" s="12">
        <f>IF(A1240="","",$B$9*TAN(RADIANS(A1240)))</f>
        <v/>
      </c>
      <c r="D1240" s="12">
        <f>IF(C1240="","",C1240*(1+B1240/100))</f>
        <v/>
      </c>
      <c r="E1240" s="12">
        <f>IF(A1240="","",$B$10*TAN(RADIANS(A1240)))</f>
        <v/>
      </c>
    </row>
    <row r="1241">
      <c r="A1241" s="11" t="n"/>
      <c r="B1241" s="11" t="n"/>
      <c r="C1241" s="12">
        <f>IF(A1241="","",$B$9*TAN(RADIANS(A1241)))</f>
        <v/>
      </c>
      <c r="D1241" s="12">
        <f>IF(C1241="","",C1241*(1+B1241/100))</f>
        <v/>
      </c>
      <c r="E1241" s="12">
        <f>IF(A1241="","",$B$10*TAN(RADIANS(A1241)))</f>
        <v/>
      </c>
    </row>
    <row r="1242">
      <c r="A1242" s="11" t="n"/>
      <c r="B1242" s="11" t="n"/>
      <c r="C1242" s="12">
        <f>IF(A1242="","",$B$9*TAN(RADIANS(A1242)))</f>
        <v/>
      </c>
      <c r="D1242" s="12">
        <f>IF(C1242="","",C1242*(1+B1242/100))</f>
        <v/>
      </c>
      <c r="E1242" s="12">
        <f>IF(A1242="","",$B$10*TAN(RADIANS(A1242)))</f>
        <v/>
      </c>
    </row>
    <row r="1243">
      <c r="A1243" s="11" t="n"/>
      <c r="B1243" s="11" t="n"/>
      <c r="C1243" s="12">
        <f>IF(A1243="","",$B$9*TAN(RADIANS(A1243)))</f>
        <v/>
      </c>
      <c r="D1243" s="12">
        <f>IF(C1243="","",C1243*(1+B1243/100))</f>
        <v/>
      </c>
      <c r="E1243" s="12">
        <f>IF(A1243="","",$B$10*TAN(RADIANS(A1243)))</f>
        <v/>
      </c>
    </row>
    <row r="1244">
      <c r="A1244" s="11" t="n"/>
      <c r="B1244" s="11" t="n"/>
      <c r="C1244" s="12">
        <f>IF(A1244="","",$B$9*TAN(RADIANS(A1244)))</f>
        <v/>
      </c>
      <c r="D1244" s="12">
        <f>IF(C1244="","",C1244*(1+B1244/100))</f>
        <v/>
      </c>
      <c r="E1244" s="12">
        <f>IF(A1244="","",$B$10*TAN(RADIANS(A1244)))</f>
        <v/>
      </c>
    </row>
    <row r="1245">
      <c r="A1245" s="11" t="n"/>
      <c r="B1245" s="11" t="n"/>
      <c r="C1245" s="12">
        <f>IF(A1245="","",$B$9*TAN(RADIANS(A1245)))</f>
        <v/>
      </c>
      <c r="D1245" s="12">
        <f>IF(C1245="","",C1245*(1+B1245/100))</f>
        <v/>
      </c>
      <c r="E1245" s="12">
        <f>IF(A1245="","",$B$10*TAN(RADIANS(A1245)))</f>
        <v/>
      </c>
    </row>
    <row r="1246">
      <c r="A1246" s="11" t="n"/>
      <c r="B1246" s="11" t="n"/>
      <c r="C1246" s="12">
        <f>IF(A1246="","",$B$9*TAN(RADIANS(A1246)))</f>
        <v/>
      </c>
      <c r="D1246" s="12">
        <f>IF(C1246="","",C1246*(1+B1246/100))</f>
        <v/>
      </c>
      <c r="E1246" s="12">
        <f>IF(A1246="","",$B$10*TAN(RADIANS(A1246)))</f>
        <v/>
      </c>
    </row>
    <row r="1247">
      <c r="A1247" s="11" t="n"/>
      <c r="B1247" s="11" t="n"/>
      <c r="C1247" s="12">
        <f>IF(A1247="","",$B$9*TAN(RADIANS(A1247)))</f>
        <v/>
      </c>
      <c r="D1247" s="12">
        <f>IF(C1247="","",C1247*(1+B1247/100))</f>
        <v/>
      </c>
      <c r="E1247" s="12">
        <f>IF(A1247="","",$B$10*TAN(RADIANS(A1247)))</f>
        <v/>
      </c>
    </row>
    <row r="1248">
      <c r="A1248" s="11" t="n"/>
      <c r="B1248" s="11" t="n"/>
      <c r="C1248" s="12">
        <f>IF(A1248="","",$B$9*TAN(RADIANS(A1248)))</f>
        <v/>
      </c>
      <c r="D1248" s="12">
        <f>IF(C1248="","",C1248*(1+B1248/100))</f>
        <v/>
      </c>
      <c r="E1248" s="12">
        <f>IF(A1248="","",$B$10*TAN(RADIANS(A1248)))</f>
        <v/>
      </c>
    </row>
    <row r="1249">
      <c r="A1249" s="11" t="n"/>
      <c r="B1249" s="11" t="n"/>
      <c r="C1249" s="12">
        <f>IF(A1249="","",$B$9*TAN(RADIANS(A1249)))</f>
        <v/>
      </c>
      <c r="D1249" s="12">
        <f>IF(C1249="","",C1249*(1+B1249/100))</f>
        <v/>
      </c>
      <c r="E1249" s="12">
        <f>IF(A1249="","",$B$10*TAN(RADIANS(A1249)))</f>
        <v/>
      </c>
    </row>
    <row r="1250">
      <c r="A1250" s="11" t="n"/>
      <c r="B1250" s="11" t="n"/>
      <c r="C1250" s="12">
        <f>IF(A1250="","",$B$9*TAN(RADIANS(A1250)))</f>
        <v/>
      </c>
      <c r="D1250" s="12">
        <f>IF(C1250="","",C1250*(1+B1250/100))</f>
        <v/>
      </c>
      <c r="E1250" s="12">
        <f>IF(A1250="","",$B$10*TAN(RADIANS(A1250)))</f>
        <v/>
      </c>
    </row>
    <row r="1251">
      <c r="A1251" s="11" t="n"/>
      <c r="B1251" s="11" t="n"/>
      <c r="C1251" s="12">
        <f>IF(A1251="","",$B$9*TAN(RADIANS(A1251)))</f>
        <v/>
      </c>
      <c r="D1251" s="12">
        <f>IF(C1251="","",C1251*(1+B1251/100))</f>
        <v/>
      </c>
      <c r="E1251" s="12">
        <f>IF(A1251="","",$B$10*TAN(RADIANS(A1251)))</f>
        <v/>
      </c>
    </row>
    <row r="1252">
      <c r="A1252" s="11" t="n"/>
      <c r="B1252" s="11" t="n"/>
      <c r="C1252" s="12">
        <f>IF(A1252="","",$B$9*TAN(RADIANS(A1252)))</f>
        <v/>
      </c>
      <c r="D1252" s="12">
        <f>IF(C1252="","",C1252*(1+B1252/100))</f>
        <v/>
      </c>
      <c r="E1252" s="12">
        <f>IF(A1252="","",$B$10*TAN(RADIANS(A1252)))</f>
        <v/>
      </c>
    </row>
    <row r="1253">
      <c r="A1253" s="11" t="n"/>
      <c r="B1253" s="11" t="n"/>
      <c r="C1253" s="12">
        <f>IF(A1253="","",$B$9*TAN(RADIANS(A1253)))</f>
        <v/>
      </c>
      <c r="D1253" s="12">
        <f>IF(C1253="","",C1253*(1+B1253/100))</f>
        <v/>
      </c>
      <c r="E1253" s="12">
        <f>IF(A1253="","",$B$10*TAN(RADIANS(A1253)))</f>
        <v/>
      </c>
    </row>
    <row r="1254">
      <c r="A1254" s="11" t="n"/>
      <c r="B1254" s="11" t="n"/>
      <c r="C1254" s="12">
        <f>IF(A1254="","",$B$9*TAN(RADIANS(A1254)))</f>
        <v/>
      </c>
      <c r="D1254" s="12">
        <f>IF(C1254="","",C1254*(1+B1254/100))</f>
        <v/>
      </c>
      <c r="E1254" s="12">
        <f>IF(A1254="","",$B$10*TAN(RADIANS(A1254)))</f>
        <v/>
      </c>
    </row>
    <row r="1255">
      <c r="A1255" s="11" t="n"/>
      <c r="B1255" s="11" t="n"/>
      <c r="C1255" s="12">
        <f>IF(A1255="","",$B$9*TAN(RADIANS(A1255)))</f>
        <v/>
      </c>
      <c r="D1255" s="12">
        <f>IF(C1255="","",C1255*(1+B1255/100))</f>
        <v/>
      </c>
      <c r="E1255" s="12">
        <f>IF(A1255="","",$B$10*TAN(RADIANS(A1255)))</f>
        <v/>
      </c>
    </row>
    <row r="1256">
      <c r="A1256" s="11" t="n"/>
      <c r="B1256" s="11" t="n"/>
      <c r="C1256" s="12">
        <f>IF(A1256="","",$B$9*TAN(RADIANS(A1256)))</f>
        <v/>
      </c>
      <c r="D1256" s="12">
        <f>IF(C1256="","",C1256*(1+B1256/100))</f>
        <v/>
      </c>
      <c r="E1256" s="12">
        <f>IF(A1256="","",$B$10*TAN(RADIANS(A1256)))</f>
        <v/>
      </c>
    </row>
    <row r="1257">
      <c r="A1257" s="11" t="n"/>
      <c r="B1257" s="11" t="n"/>
      <c r="C1257" s="12">
        <f>IF(A1257="","",$B$9*TAN(RADIANS(A1257)))</f>
        <v/>
      </c>
      <c r="D1257" s="12">
        <f>IF(C1257="","",C1257*(1+B1257/100))</f>
        <v/>
      </c>
      <c r="E1257" s="12">
        <f>IF(A1257="","",$B$10*TAN(RADIANS(A1257)))</f>
        <v/>
      </c>
    </row>
    <row r="1258">
      <c r="A1258" s="11" t="n"/>
      <c r="B1258" s="11" t="n"/>
      <c r="C1258" s="12">
        <f>IF(A1258="","",$B$9*TAN(RADIANS(A1258)))</f>
        <v/>
      </c>
      <c r="D1258" s="12">
        <f>IF(C1258="","",C1258*(1+B1258/100))</f>
        <v/>
      </c>
      <c r="E1258" s="12">
        <f>IF(A1258="","",$B$10*TAN(RADIANS(A1258)))</f>
        <v/>
      </c>
    </row>
    <row r="1259">
      <c r="A1259" s="11" t="n"/>
      <c r="B1259" s="11" t="n"/>
      <c r="C1259" s="12">
        <f>IF(A1259="","",$B$9*TAN(RADIANS(A1259)))</f>
        <v/>
      </c>
      <c r="D1259" s="12">
        <f>IF(C1259="","",C1259*(1+B1259/100))</f>
        <v/>
      </c>
      <c r="E1259" s="12">
        <f>IF(A1259="","",$B$10*TAN(RADIANS(A1259)))</f>
        <v/>
      </c>
    </row>
    <row r="1260">
      <c r="A1260" s="11" t="n"/>
      <c r="B1260" s="11" t="n"/>
      <c r="C1260" s="12">
        <f>IF(A1260="","",$B$9*TAN(RADIANS(A1260)))</f>
        <v/>
      </c>
      <c r="D1260" s="12">
        <f>IF(C1260="","",C1260*(1+B1260/100))</f>
        <v/>
      </c>
      <c r="E1260" s="12">
        <f>IF(A1260="","",$B$10*TAN(RADIANS(A1260)))</f>
        <v/>
      </c>
    </row>
    <row r="1261">
      <c r="A1261" s="11" t="n"/>
      <c r="B1261" s="11" t="n"/>
      <c r="C1261" s="12">
        <f>IF(A1261="","",$B$9*TAN(RADIANS(A1261)))</f>
        <v/>
      </c>
      <c r="D1261" s="12">
        <f>IF(C1261="","",C1261*(1+B1261/100))</f>
        <v/>
      </c>
      <c r="E1261" s="12">
        <f>IF(A1261="","",$B$10*TAN(RADIANS(A1261)))</f>
        <v/>
      </c>
    </row>
    <row r="1262">
      <c r="A1262" s="11" t="n"/>
      <c r="B1262" s="11" t="n"/>
      <c r="C1262" s="12">
        <f>IF(A1262="","",$B$9*TAN(RADIANS(A1262)))</f>
        <v/>
      </c>
      <c r="D1262" s="12">
        <f>IF(C1262="","",C1262*(1+B1262/100))</f>
        <v/>
      </c>
      <c r="E1262" s="12">
        <f>IF(A1262="","",$B$10*TAN(RADIANS(A1262)))</f>
        <v/>
      </c>
    </row>
    <row r="1263">
      <c r="A1263" s="11" t="n"/>
      <c r="B1263" s="11" t="n"/>
      <c r="C1263" s="12">
        <f>IF(A1263="","",$B$9*TAN(RADIANS(A1263)))</f>
        <v/>
      </c>
      <c r="D1263" s="12">
        <f>IF(C1263="","",C1263*(1+B1263/100))</f>
        <v/>
      </c>
      <c r="E1263" s="12">
        <f>IF(A1263="","",$B$10*TAN(RADIANS(A1263)))</f>
        <v/>
      </c>
    </row>
    <row r="1264">
      <c r="A1264" s="11" t="n"/>
      <c r="B1264" s="11" t="n"/>
      <c r="C1264" s="12">
        <f>IF(A1264="","",$B$9*TAN(RADIANS(A1264)))</f>
        <v/>
      </c>
      <c r="D1264" s="12">
        <f>IF(C1264="","",C1264*(1+B1264/100))</f>
        <v/>
      </c>
      <c r="E1264" s="12">
        <f>IF(A1264="","",$B$10*TAN(RADIANS(A1264)))</f>
        <v/>
      </c>
    </row>
    <row r="1265">
      <c r="A1265" s="11" t="n"/>
      <c r="B1265" s="11" t="n"/>
      <c r="C1265" s="12">
        <f>IF(A1265="","",$B$9*TAN(RADIANS(A1265)))</f>
        <v/>
      </c>
      <c r="D1265" s="12">
        <f>IF(C1265="","",C1265*(1+B1265/100))</f>
        <v/>
      </c>
      <c r="E1265" s="12">
        <f>IF(A1265="","",$B$10*TAN(RADIANS(A1265)))</f>
        <v/>
      </c>
    </row>
    <row r="1266">
      <c r="A1266" s="11" t="n"/>
      <c r="B1266" s="11" t="n"/>
      <c r="C1266" s="12">
        <f>IF(A1266="","",$B$9*TAN(RADIANS(A1266)))</f>
        <v/>
      </c>
      <c r="D1266" s="12">
        <f>IF(C1266="","",C1266*(1+B1266/100))</f>
        <v/>
      </c>
      <c r="E1266" s="12">
        <f>IF(A1266="","",$B$10*TAN(RADIANS(A1266)))</f>
        <v/>
      </c>
    </row>
    <row r="1267">
      <c r="A1267" s="11" t="n"/>
      <c r="B1267" s="11" t="n"/>
      <c r="C1267" s="12">
        <f>IF(A1267="","",$B$9*TAN(RADIANS(A1267)))</f>
        <v/>
      </c>
      <c r="D1267" s="12">
        <f>IF(C1267="","",C1267*(1+B1267/100))</f>
        <v/>
      </c>
      <c r="E1267" s="12">
        <f>IF(A1267="","",$B$10*TAN(RADIANS(A1267)))</f>
        <v/>
      </c>
    </row>
    <row r="1268">
      <c r="A1268" s="11" t="n"/>
      <c r="B1268" s="11" t="n"/>
      <c r="C1268" s="12">
        <f>IF(A1268="","",$B$9*TAN(RADIANS(A1268)))</f>
        <v/>
      </c>
      <c r="D1268" s="12">
        <f>IF(C1268="","",C1268*(1+B1268/100))</f>
        <v/>
      </c>
      <c r="E1268" s="12">
        <f>IF(A1268="","",$B$10*TAN(RADIANS(A1268)))</f>
        <v/>
      </c>
    </row>
    <row r="1269">
      <c r="A1269" s="11" t="n"/>
      <c r="B1269" s="11" t="n"/>
      <c r="C1269" s="12">
        <f>IF(A1269="","",$B$9*TAN(RADIANS(A1269)))</f>
        <v/>
      </c>
      <c r="D1269" s="12">
        <f>IF(C1269="","",C1269*(1+B1269/100))</f>
        <v/>
      </c>
      <c r="E1269" s="12">
        <f>IF(A1269="","",$B$10*TAN(RADIANS(A1269)))</f>
        <v/>
      </c>
    </row>
    <row r="1270">
      <c r="A1270" s="11" t="n"/>
      <c r="B1270" s="11" t="n"/>
      <c r="C1270" s="12">
        <f>IF(A1270="","",$B$9*TAN(RADIANS(A1270)))</f>
        <v/>
      </c>
      <c r="D1270" s="12">
        <f>IF(C1270="","",C1270*(1+B1270/100))</f>
        <v/>
      </c>
      <c r="E1270" s="12">
        <f>IF(A1270="","",$B$10*TAN(RADIANS(A1270)))</f>
        <v/>
      </c>
    </row>
    <row r="1271">
      <c r="A1271" s="11" t="n"/>
      <c r="B1271" s="11" t="n"/>
      <c r="C1271" s="12">
        <f>IF(A1271="","",$B$9*TAN(RADIANS(A1271)))</f>
        <v/>
      </c>
      <c r="D1271" s="12">
        <f>IF(C1271="","",C1271*(1+B1271/100))</f>
        <v/>
      </c>
      <c r="E1271" s="12">
        <f>IF(A1271="","",$B$10*TAN(RADIANS(A1271)))</f>
        <v/>
      </c>
    </row>
    <row r="1272">
      <c r="A1272" s="11" t="n"/>
      <c r="B1272" s="11" t="n"/>
      <c r="C1272" s="12">
        <f>IF(A1272="","",$B$9*TAN(RADIANS(A1272)))</f>
        <v/>
      </c>
      <c r="D1272" s="12">
        <f>IF(C1272="","",C1272*(1+B1272/100))</f>
        <v/>
      </c>
      <c r="E1272" s="12">
        <f>IF(A1272="","",$B$10*TAN(RADIANS(A1272)))</f>
        <v/>
      </c>
    </row>
    <row r="1273">
      <c r="A1273" s="11" t="n"/>
      <c r="B1273" s="11" t="n"/>
      <c r="C1273" s="12">
        <f>IF(A1273="","",$B$9*TAN(RADIANS(A1273)))</f>
        <v/>
      </c>
      <c r="D1273" s="12">
        <f>IF(C1273="","",C1273*(1+B1273/100))</f>
        <v/>
      </c>
      <c r="E1273" s="12">
        <f>IF(A1273="","",$B$10*TAN(RADIANS(A1273)))</f>
        <v/>
      </c>
    </row>
    <row r="1274">
      <c r="A1274" s="11" t="n"/>
      <c r="B1274" s="11" t="n"/>
      <c r="C1274" s="12">
        <f>IF(A1274="","",$B$9*TAN(RADIANS(A1274)))</f>
        <v/>
      </c>
      <c r="D1274" s="12">
        <f>IF(C1274="","",C1274*(1+B1274/100))</f>
        <v/>
      </c>
      <c r="E1274" s="12">
        <f>IF(A1274="","",$B$10*TAN(RADIANS(A1274)))</f>
        <v/>
      </c>
    </row>
    <row r="1275">
      <c r="A1275" s="11" t="n"/>
      <c r="B1275" s="11" t="n"/>
      <c r="C1275" s="12">
        <f>IF(A1275="","",$B$9*TAN(RADIANS(A1275)))</f>
        <v/>
      </c>
      <c r="D1275" s="12">
        <f>IF(C1275="","",C1275*(1+B1275/100))</f>
        <v/>
      </c>
      <c r="E1275" s="12">
        <f>IF(A1275="","",$B$10*TAN(RADIANS(A1275)))</f>
        <v/>
      </c>
    </row>
    <row r="1276">
      <c r="A1276" s="11" t="n"/>
      <c r="B1276" s="11" t="n"/>
      <c r="C1276" s="12">
        <f>IF(A1276="","",$B$9*TAN(RADIANS(A1276)))</f>
        <v/>
      </c>
      <c r="D1276" s="12">
        <f>IF(C1276="","",C1276*(1+B1276/100))</f>
        <v/>
      </c>
      <c r="E1276" s="12">
        <f>IF(A1276="","",$B$10*TAN(RADIANS(A1276)))</f>
        <v/>
      </c>
    </row>
    <row r="1277">
      <c r="A1277" s="11" t="n"/>
      <c r="B1277" s="11" t="n"/>
      <c r="C1277" s="12">
        <f>IF(A1277="","",$B$9*TAN(RADIANS(A1277)))</f>
        <v/>
      </c>
      <c r="D1277" s="12">
        <f>IF(C1277="","",C1277*(1+B1277/100))</f>
        <v/>
      </c>
      <c r="E1277" s="12">
        <f>IF(A1277="","",$B$10*TAN(RADIANS(A1277)))</f>
        <v/>
      </c>
    </row>
    <row r="1278">
      <c r="A1278" s="11" t="n"/>
      <c r="B1278" s="11" t="n"/>
      <c r="C1278" s="12">
        <f>IF(A1278="","",$B$9*TAN(RADIANS(A1278)))</f>
        <v/>
      </c>
      <c r="D1278" s="12">
        <f>IF(C1278="","",C1278*(1+B1278/100))</f>
        <v/>
      </c>
      <c r="E1278" s="12">
        <f>IF(A1278="","",$B$10*TAN(RADIANS(A1278)))</f>
        <v/>
      </c>
    </row>
    <row r="1279">
      <c r="A1279" s="11" t="n"/>
      <c r="B1279" s="11" t="n"/>
      <c r="C1279" s="12">
        <f>IF(A1279="","",$B$9*TAN(RADIANS(A1279)))</f>
        <v/>
      </c>
      <c r="D1279" s="12">
        <f>IF(C1279="","",C1279*(1+B1279/100))</f>
        <v/>
      </c>
      <c r="E1279" s="12">
        <f>IF(A1279="","",$B$10*TAN(RADIANS(A1279)))</f>
        <v/>
      </c>
    </row>
    <row r="1280">
      <c r="A1280" s="11" t="n"/>
      <c r="B1280" s="11" t="n"/>
      <c r="C1280" s="12">
        <f>IF(A1280="","",$B$9*TAN(RADIANS(A1280)))</f>
        <v/>
      </c>
      <c r="D1280" s="12">
        <f>IF(C1280="","",C1280*(1+B1280/100))</f>
        <v/>
      </c>
      <c r="E1280" s="12">
        <f>IF(A1280="","",$B$10*TAN(RADIANS(A1280)))</f>
        <v/>
      </c>
    </row>
    <row r="1281">
      <c r="A1281" s="11" t="n"/>
      <c r="B1281" s="11" t="n"/>
      <c r="C1281" s="12">
        <f>IF(A1281="","",$B$9*TAN(RADIANS(A1281)))</f>
        <v/>
      </c>
      <c r="D1281" s="12">
        <f>IF(C1281="","",C1281*(1+B1281/100))</f>
        <v/>
      </c>
      <c r="E1281" s="12">
        <f>IF(A1281="","",$B$10*TAN(RADIANS(A1281)))</f>
        <v/>
      </c>
    </row>
    <row r="1282">
      <c r="A1282" s="11" t="n"/>
      <c r="B1282" s="11" t="n"/>
      <c r="C1282" s="12">
        <f>IF(A1282="","",$B$9*TAN(RADIANS(A1282)))</f>
        <v/>
      </c>
      <c r="D1282" s="12">
        <f>IF(C1282="","",C1282*(1+B1282/100))</f>
        <v/>
      </c>
      <c r="E1282" s="12">
        <f>IF(A1282="","",$B$10*TAN(RADIANS(A1282)))</f>
        <v/>
      </c>
    </row>
    <row r="1283">
      <c r="A1283" s="11" t="n"/>
      <c r="B1283" s="11" t="n"/>
      <c r="C1283" s="12">
        <f>IF(A1283="","",$B$9*TAN(RADIANS(A1283)))</f>
        <v/>
      </c>
      <c r="D1283" s="12">
        <f>IF(C1283="","",C1283*(1+B1283/100))</f>
        <v/>
      </c>
      <c r="E1283" s="12">
        <f>IF(A1283="","",$B$10*TAN(RADIANS(A1283)))</f>
        <v/>
      </c>
    </row>
    <row r="1284">
      <c r="A1284" s="11" t="n"/>
      <c r="B1284" s="11" t="n"/>
      <c r="C1284" s="12">
        <f>IF(A1284="","",$B$9*TAN(RADIANS(A1284)))</f>
        <v/>
      </c>
      <c r="D1284" s="12">
        <f>IF(C1284="","",C1284*(1+B1284/100))</f>
        <v/>
      </c>
      <c r="E1284" s="12">
        <f>IF(A1284="","",$B$10*TAN(RADIANS(A1284)))</f>
        <v/>
      </c>
    </row>
    <row r="1285">
      <c r="A1285" s="11" t="n"/>
      <c r="B1285" s="11" t="n"/>
      <c r="C1285" s="12">
        <f>IF(A1285="","",$B$9*TAN(RADIANS(A1285)))</f>
        <v/>
      </c>
      <c r="D1285" s="12">
        <f>IF(C1285="","",C1285*(1+B1285/100))</f>
        <v/>
      </c>
      <c r="E1285" s="12">
        <f>IF(A1285="","",$B$10*TAN(RADIANS(A1285)))</f>
        <v/>
      </c>
    </row>
    <row r="1286">
      <c r="A1286" s="11" t="n"/>
      <c r="B1286" s="11" t="n"/>
      <c r="C1286" s="12">
        <f>IF(A1286="","",$B$9*TAN(RADIANS(A1286)))</f>
        <v/>
      </c>
      <c r="D1286" s="12">
        <f>IF(C1286="","",C1286*(1+B1286/100))</f>
        <v/>
      </c>
      <c r="E1286" s="12">
        <f>IF(A1286="","",$B$10*TAN(RADIANS(A1286)))</f>
        <v/>
      </c>
    </row>
    <row r="1287">
      <c r="A1287" s="11" t="n"/>
      <c r="B1287" s="11" t="n"/>
      <c r="C1287" s="12">
        <f>IF(A1287="","",$B$9*TAN(RADIANS(A1287)))</f>
        <v/>
      </c>
      <c r="D1287" s="12">
        <f>IF(C1287="","",C1287*(1+B1287/100))</f>
        <v/>
      </c>
      <c r="E1287" s="12">
        <f>IF(A1287="","",$B$10*TAN(RADIANS(A1287)))</f>
        <v/>
      </c>
    </row>
    <row r="1288">
      <c r="A1288" s="11" t="n"/>
      <c r="B1288" s="11" t="n"/>
      <c r="C1288" s="12">
        <f>IF(A1288="","",$B$9*TAN(RADIANS(A1288)))</f>
        <v/>
      </c>
      <c r="D1288" s="12">
        <f>IF(C1288="","",C1288*(1+B1288/100))</f>
        <v/>
      </c>
      <c r="E1288" s="12">
        <f>IF(A1288="","",$B$10*TAN(RADIANS(A1288)))</f>
        <v/>
      </c>
    </row>
    <row r="1289">
      <c r="A1289" s="11" t="n"/>
      <c r="B1289" s="11" t="n"/>
      <c r="C1289" s="12">
        <f>IF(A1289="","",$B$9*TAN(RADIANS(A1289)))</f>
        <v/>
      </c>
      <c r="D1289" s="12">
        <f>IF(C1289="","",C1289*(1+B1289/100))</f>
        <v/>
      </c>
      <c r="E1289" s="12">
        <f>IF(A1289="","",$B$10*TAN(RADIANS(A1289)))</f>
        <v/>
      </c>
    </row>
    <row r="1290">
      <c r="A1290" s="11" t="n"/>
      <c r="B1290" s="11" t="n"/>
      <c r="C1290" s="12">
        <f>IF(A1290="","",$B$9*TAN(RADIANS(A1290)))</f>
        <v/>
      </c>
      <c r="D1290" s="12">
        <f>IF(C1290="","",C1290*(1+B1290/100))</f>
        <v/>
      </c>
      <c r="E1290" s="12">
        <f>IF(A1290="","",$B$10*TAN(RADIANS(A1290)))</f>
        <v/>
      </c>
    </row>
    <row r="1291">
      <c r="A1291" s="11" t="n"/>
      <c r="B1291" s="11" t="n"/>
      <c r="C1291" s="12">
        <f>IF(A1291="","",$B$9*TAN(RADIANS(A1291)))</f>
        <v/>
      </c>
      <c r="D1291" s="12">
        <f>IF(C1291="","",C1291*(1+B1291/100))</f>
        <v/>
      </c>
      <c r="E1291" s="12">
        <f>IF(A1291="","",$B$10*TAN(RADIANS(A1291)))</f>
        <v/>
      </c>
    </row>
    <row r="1292">
      <c r="A1292" s="11" t="n"/>
      <c r="B1292" s="11" t="n"/>
      <c r="C1292" s="12">
        <f>IF(A1292="","",$B$9*TAN(RADIANS(A1292)))</f>
        <v/>
      </c>
      <c r="D1292" s="12">
        <f>IF(C1292="","",C1292*(1+B1292/100))</f>
        <v/>
      </c>
      <c r="E1292" s="12">
        <f>IF(A1292="","",$B$10*TAN(RADIANS(A1292)))</f>
        <v/>
      </c>
    </row>
    <row r="1293">
      <c r="A1293" s="11" t="n"/>
      <c r="B1293" s="11" t="n"/>
      <c r="C1293" s="12">
        <f>IF(A1293="","",$B$9*TAN(RADIANS(A1293)))</f>
        <v/>
      </c>
      <c r="D1293" s="12">
        <f>IF(C1293="","",C1293*(1+B1293/100))</f>
        <v/>
      </c>
      <c r="E1293" s="12">
        <f>IF(A1293="","",$B$10*TAN(RADIANS(A1293)))</f>
        <v/>
      </c>
    </row>
    <row r="1294">
      <c r="A1294" s="11" t="n"/>
      <c r="B1294" s="11" t="n"/>
      <c r="C1294" s="12">
        <f>IF(A1294="","",$B$9*TAN(RADIANS(A1294)))</f>
        <v/>
      </c>
      <c r="D1294" s="12">
        <f>IF(C1294="","",C1294*(1+B1294/100))</f>
        <v/>
      </c>
      <c r="E1294" s="12">
        <f>IF(A1294="","",$B$10*TAN(RADIANS(A1294)))</f>
        <v/>
      </c>
    </row>
    <row r="1295">
      <c r="A1295" s="11" t="n"/>
      <c r="B1295" s="11" t="n"/>
      <c r="C1295" s="12">
        <f>IF(A1295="","",$B$9*TAN(RADIANS(A1295)))</f>
        <v/>
      </c>
      <c r="D1295" s="12">
        <f>IF(C1295="","",C1295*(1+B1295/100))</f>
        <v/>
      </c>
      <c r="E1295" s="12">
        <f>IF(A1295="","",$B$10*TAN(RADIANS(A1295)))</f>
        <v/>
      </c>
    </row>
    <row r="1296">
      <c r="A1296" s="11" t="n"/>
      <c r="B1296" s="11" t="n"/>
      <c r="C1296" s="12">
        <f>IF(A1296="","",$B$9*TAN(RADIANS(A1296)))</f>
        <v/>
      </c>
      <c r="D1296" s="12">
        <f>IF(C1296="","",C1296*(1+B1296/100))</f>
        <v/>
      </c>
      <c r="E1296" s="12">
        <f>IF(A1296="","",$B$10*TAN(RADIANS(A1296)))</f>
        <v/>
      </c>
    </row>
    <row r="1297">
      <c r="A1297" s="11" t="n"/>
      <c r="B1297" s="11" t="n"/>
      <c r="C1297" s="12">
        <f>IF(A1297="","",$B$9*TAN(RADIANS(A1297)))</f>
        <v/>
      </c>
      <c r="D1297" s="12">
        <f>IF(C1297="","",C1297*(1+B1297/100))</f>
        <v/>
      </c>
      <c r="E1297" s="12">
        <f>IF(A1297="","",$B$10*TAN(RADIANS(A1297)))</f>
        <v/>
      </c>
    </row>
    <row r="1298">
      <c r="A1298" s="11" t="n"/>
      <c r="B1298" s="11" t="n"/>
      <c r="C1298" s="12">
        <f>IF(A1298="","",$B$9*TAN(RADIANS(A1298)))</f>
        <v/>
      </c>
      <c r="D1298" s="12">
        <f>IF(C1298="","",C1298*(1+B1298/100))</f>
        <v/>
      </c>
      <c r="E1298" s="12">
        <f>IF(A1298="","",$B$10*TAN(RADIANS(A1298)))</f>
        <v/>
      </c>
    </row>
    <row r="1299">
      <c r="A1299" s="11" t="n"/>
      <c r="B1299" s="11" t="n"/>
      <c r="C1299" s="12">
        <f>IF(A1299="","",$B$9*TAN(RADIANS(A1299)))</f>
        <v/>
      </c>
      <c r="D1299" s="12">
        <f>IF(C1299="","",C1299*(1+B1299/100))</f>
        <v/>
      </c>
      <c r="E1299" s="12">
        <f>IF(A1299="","",$B$10*TAN(RADIANS(A1299)))</f>
        <v/>
      </c>
    </row>
    <row r="1300">
      <c r="A1300" s="11" t="n"/>
      <c r="B1300" s="11" t="n"/>
      <c r="C1300" s="12">
        <f>IF(A1300="","",$B$9*TAN(RADIANS(A1300)))</f>
        <v/>
      </c>
      <c r="D1300" s="12">
        <f>IF(C1300="","",C1300*(1+B1300/100))</f>
        <v/>
      </c>
      <c r="E1300" s="12">
        <f>IF(A1300="","",$B$10*TAN(RADIANS(A1300)))</f>
        <v/>
      </c>
    </row>
    <row r="1301">
      <c r="A1301" s="11" t="n"/>
      <c r="B1301" s="11" t="n"/>
      <c r="C1301" s="12">
        <f>IF(A1301="","",$B$9*TAN(RADIANS(A1301)))</f>
        <v/>
      </c>
      <c r="D1301" s="12">
        <f>IF(C1301="","",C1301*(1+B1301/100))</f>
        <v/>
      </c>
      <c r="E1301" s="12">
        <f>IF(A1301="","",$B$10*TAN(RADIANS(A1301)))</f>
        <v/>
      </c>
    </row>
    <row r="1302">
      <c r="A1302" s="11" t="n"/>
      <c r="B1302" s="11" t="n"/>
      <c r="C1302" s="12">
        <f>IF(A1302="","",$B$9*TAN(RADIANS(A1302)))</f>
        <v/>
      </c>
      <c r="D1302" s="12">
        <f>IF(C1302="","",C1302*(1+B1302/100))</f>
        <v/>
      </c>
      <c r="E1302" s="12">
        <f>IF(A1302="","",$B$10*TAN(RADIANS(A1302)))</f>
        <v/>
      </c>
    </row>
    <row r="1303">
      <c r="A1303" s="11" t="n"/>
      <c r="B1303" s="11" t="n"/>
      <c r="C1303" s="12">
        <f>IF(A1303="","",$B$9*TAN(RADIANS(A1303)))</f>
        <v/>
      </c>
      <c r="D1303" s="12">
        <f>IF(C1303="","",C1303*(1+B1303/100))</f>
        <v/>
      </c>
      <c r="E1303" s="12">
        <f>IF(A1303="","",$B$10*TAN(RADIANS(A1303)))</f>
        <v/>
      </c>
    </row>
    <row r="1304">
      <c r="A1304" s="11" t="n"/>
      <c r="B1304" s="11" t="n"/>
      <c r="C1304" s="12">
        <f>IF(A1304="","",$B$9*TAN(RADIANS(A1304)))</f>
        <v/>
      </c>
      <c r="D1304" s="12">
        <f>IF(C1304="","",C1304*(1+B1304/100))</f>
        <v/>
      </c>
      <c r="E1304" s="12">
        <f>IF(A1304="","",$B$10*TAN(RADIANS(A1304)))</f>
        <v/>
      </c>
    </row>
    <row r="1305">
      <c r="A1305" s="11" t="n"/>
      <c r="B1305" s="11" t="n"/>
      <c r="C1305" s="12">
        <f>IF(A1305="","",$B$9*TAN(RADIANS(A1305)))</f>
        <v/>
      </c>
      <c r="D1305" s="12">
        <f>IF(C1305="","",C1305*(1+B1305/100))</f>
        <v/>
      </c>
      <c r="E1305" s="12">
        <f>IF(A1305="","",$B$10*TAN(RADIANS(A1305)))</f>
        <v/>
      </c>
    </row>
    <row r="1306">
      <c r="A1306" s="11" t="n"/>
      <c r="B1306" s="11" t="n"/>
      <c r="C1306" s="12">
        <f>IF(A1306="","",$B$9*TAN(RADIANS(A1306)))</f>
        <v/>
      </c>
      <c r="D1306" s="12">
        <f>IF(C1306="","",C1306*(1+B1306/100))</f>
        <v/>
      </c>
      <c r="E1306" s="12">
        <f>IF(A1306="","",$B$10*TAN(RADIANS(A1306)))</f>
        <v/>
      </c>
    </row>
    <row r="1307">
      <c r="A1307" s="11" t="n"/>
      <c r="B1307" s="11" t="n"/>
      <c r="C1307" s="12">
        <f>IF(A1307="","",$B$9*TAN(RADIANS(A1307)))</f>
        <v/>
      </c>
      <c r="D1307" s="12">
        <f>IF(C1307="","",C1307*(1+B1307/100))</f>
        <v/>
      </c>
      <c r="E1307" s="12">
        <f>IF(A1307="","",$B$10*TAN(RADIANS(A1307)))</f>
        <v/>
      </c>
    </row>
    <row r="1308">
      <c r="A1308" s="11" t="n"/>
      <c r="B1308" s="11" t="n"/>
      <c r="C1308" s="12">
        <f>IF(A1308="","",$B$9*TAN(RADIANS(A1308)))</f>
        <v/>
      </c>
      <c r="D1308" s="12">
        <f>IF(C1308="","",C1308*(1+B1308/100))</f>
        <v/>
      </c>
      <c r="E1308" s="12">
        <f>IF(A1308="","",$B$10*TAN(RADIANS(A1308)))</f>
        <v/>
      </c>
    </row>
    <row r="1309">
      <c r="A1309" s="11" t="n"/>
      <c r="B1309" s="11" t="n"/>
      <c r="C1309" s="12">
        <f>IF(A1309="","",$B$9*TAN(RADIANS(A1309)))</f>
        <v/>
      </c>
      <c r="D1309" s="12">
        <f>IF(C1309="","",C1309*(1+B1309/100))</f>
        <v/>
      </c>
      <c r="E1309" s="12">
        <f>IF(A1309="","",$B$10*TAN(RADIANS(A1309)))</f>
        <v/>
      </c>
    </row>
    <row r="1310">
      <c r="A1310" s="11" t="n"/>
      <c r="B1310" s="11" t="n"/>
      <c r="C1310" s="12">
        <f>IF(A1310="","",$B$9*TAN(RADIANS(A1310)))</f>
        <v/>
      </c>
      <c r="D1310" s="12">
        <f>IF(C1310="","",C1310*(1+B1310/100))</f>
        <v/>
      </c>
      <c r="E1310" s="12">
        <f>IF(A1310="","",$B$10*TAN(RADIANS(A1310)))</f>
        <v/>
      </c>
    </row>
    <row r="1311">
      <c r="A1311" s="11" t="n"/>
      <c r="B1311" s="11" t="n"/>
      <c r="C1311" s="12">
        <f>IF(A1311="","",$B$9*TAN(RADIANS(A1311)))</f>
        <v/>
      </c>
      <c r="D1311" s="12">
        <f>IF(C1311="","",C1311*(1+B1311/100))</f>
        <v/>
      </c>
      <c r="E1311" s="12">
        <f>IF(A1311="","",$B$10*TAN(RADIANS(A1311)))</f>
        <v/>
      </c>
    </row>
    <row r="1312">
      <c r="A1312" s="11" t="n"/>
      <c r="B1312" s="11" t="n"/>
      <c r="C1312" s="12">
        <f>IF(A1312="","",$B$9*TAN(RADIANS(A1312)))</f>
        <v/>
      </c>
      <c r="D1312" s="12">
        <f>IF(C1312="","",C1312*(1+B1312/100))</f>
        <v/>
      </c>
      <c r="E1312" s="12">
        <f>IF(A1312="","",$B$10*TAN(RADIANS(A1312)))</f>
        <v/>
      </c>
    </row>
    <row r="1313">
      <c r="A1313" s="11" t="n"/>
      <c r="B1313" s="11" t="n"/>
      <c r="C1313" s="12">
        <f>IF(A1313="","",$B$9*TAN(RADIANS(A1313)))</f>
        <v/>
      </c>
      <c r="D1313" s="12">
        <f>IF(C1313="","",C1313*(1+B1313/100))</f>
        <v/>
      </c>
      <c r="E1313" s="12">
        <f>IF(A1313="","",$B$10*TAN(RADIANS(A1313)))</f>
        <v/>
      </c>
    </row>
    <row r="1314">
      <c r="A1314" s="11" t="n"/>
      <c r="B1314" s="11" t="n"/>
      <c r="C1314" s="12">
        <f>IF(A1314="","",$B$9*TAN(RADIANS(A1314)))</f>
        <v/>
      </c>
      <c r="D1314" s="12">
        <f>IF(C1314="","",C1314*(1+B1314/100))</f>
        <v/>
      </c>
      <c r="E1314" s="12">
        <f>IF(A1314="","",$B$10*TAN(RADIANS(A1314)))</f>
        <v/>
      </c>
    </row>
    <row r="1315">
      <c r="A1315" s="11" t="n"/>
      <c r="B1315" s="11" t="n"/>
      <c r="C1315" s="12">
        <f>IF(A1315="","",$B$9*TAN(RADIANS(A1315)))</f>
        <v/>
      </c>
      <c r="D1315" s="12">
        <f>IF(C1315="","",C1315*(1+B1315/100))</f>
        <v/>
      </c>
      <c r="E1315" s="12">
        <f>IF(A1315="","",$B$10*TAN(RADIANS(A1315)))</f>
        <v/>
      </c>
    </row>
    <row r="1316">
      <c r="A1316" s="11" t="n"/>
      <c r="B1316" s="11" t="n"/>
      <c r="C1316" s="12">
        <f>IF(A1316="","",$B$9*TAN(RADIANS(A1316)))</f>
        <v/>
      </c>
      <c r="D1316" s="12">
        <f>IF(C1316="","",C1316*(1+B1316/100))</f>
        <v/>
      </c>
      <c r="E1316" s="12">
        <f>IF(A1316="","",$B$10*TAN(RADIANS(A1316)))</f>
        <v/>
      </c>
    </row>
    <row r="1317">
      <c r="A1317" s="11" t="n"/>
      <c r="B1317" s="11" t="n"/>
      <c r="C1317" s="12">
        <f>IF(A1317="","",$B$9*TAN(RADIANS(A1317)))</f>
        <v/>
      </c>
      <c r="D1317" s="12">
        <f>IF(C1317="","",C1317*(1+B1317/100))</f>
        <v/>
      </c>
      <c r="E1317" s="12">
        <f>IF(A1317="","",$B$10*TAN(RADIANS(A1317)))</f>
        <v/>
      </c>
    </row>
    <row r="1318">
      <c r="A1318" s="11" t="n"/>
      <c r="B1318" s="11" t="n"/>
      <c r="C1318" s="12">
        <f>IF(A1318="","",$B$9*TAN(RADIANS(A1318)))</f>
        <v/>
      </c>
      <c r="D1318" s="12">
        <f>IF(C1318="","",C1318*(1+B1318/100))</f>
        <v/>
      </c>
      <c r="E1318" s="12">
        <f>IF(A1318="","",$B$10*TAN(RADIANS(A1318)))</f>
        <v/>
      </c>
    </row>
    <row r="1319">
      <c r="A1319" s="11" t="n"/>
      <c r="B1319" s="11" t="n"/>
      <c r="C1319" s="12">
        <f>IF(A1319="","",$B$9*TAN(RADIANS(A1319)))</f>
        <v/>
      </c>
      <c r="D1319" s="12">
        <f>IF(C1319="","",C1319*(1+B1319/100))</f>
        <v/>
      </c>
      <c r="E1319" s="12">
        <f>IF(A1319="","",$B$10*TAN(RADIANS(A1319)))</f>
        <v/>
      </c>
    </row>
    <row r="1320">
      <c r="A1320" s="11" t="n"/>
      <c r="B1320" s="11" t="n"/>
      <c r="C1320" s="12">
        <f>IF(A1320="","",$B$9*TAN(RADIANS(A1320)))</f>
        <v/>
      </c>
      <c r="D1320" s="12">
        <f>IF(C1320="","",C1320*(1+B1320/100))</f>
        <v/>
      </c>
      <c r="E1320" s="12">
        <f>IF(A1320="","",$B$10*TAN(RADIANS(A1320)))</f>
        <v/>
      </c>
    </row>
    <row r="1321">
      <c r="A1321" s="11" t="n"/>
      <c r="B1321" s="11" t="n"/>
      <c r="C1321" s="12">
        <f>IF(A1321="","",$B$9*TAN(RADIANS(A1321)))</f>
        <v/>
      </c>
      <c r="D1321" s="12">
        <f>IF(C1321="","",C1321*(1+B1321/100))</f>
        <v/>
      </c>
      <c r="E1321" s="12">
        <f>IF(A1321="","",$B$10*TAN(RADIANS(A1321)))</f>
        <v/>
      </c>
    </row>
    <row r="1322">
      <c r="A1322" s="11" t="n"/>
      <c r="B1322" s="11" t="n"/>
      <c r="C1322" s="12">
        <f>IF(A1322="","",$B$9*TAN(RADIANS(A1322)))</f>
        <v/>
      </c>
      <c r="D1322" s="12">
        <f>IF(C1322="","",C1322*(1+B1322/100))</f>
        <v/>
      </c>
      <c r="E1322" s="12">
        <f>IF(A1322="","",$B$10*TAN(RADIANS(A1322)))</f>
        <v/>
      </c>
    </row>
    <row r="1323">
      <c r="A1323" s="11" t="n"/>
      <c r="B1323" s="11" t="n"/>
      <c r="C1323" s="12">
        <f>IF(A1323="","",$B$9*TAN(RADIANS(A1323)))</f>
        <v/>
      </c>
      <c r="D1323" s="12">
        <f>IF(C1323="","",C1323*(1+B1323/100))</f>
        <v/>
      </c>
      <c r="E1323" s="12">
        <f>IF(A1323="","",$B$10*TAN(RADIANS(A1323)))</f>
        <v/>
      </c>
    </row>
    <row r="1324">
      <c r="A1324" s="11" t="n"/>
      <c r="B1324" s="11" t="n"/>
      <c r="C1324" s="12">
        <f>IF(A1324="","",$B$9*TAN(RADIANS(A1324)))</f>
        <v/>
      </c>
      <c r="D1324" s="12">
        <f>IF(C1324="","",C1324*(1+B1324/100))</f>
        <v/>
      </c>
      <c r="E1324" s="12">
        <f>IF(A1324="","",$B$10*TAN(RADIANS(A1324)))</f>
        <v/>
      </c>
    </row>
    <row r="1325">
      <c r="A1325" s="11" t="n"/>
      <c r="B1325" s="11" t="n"/>
      <c r="C1325" s="12">
        <f>IF(A1325="","",$B$9*TAN(RADIANS(A1325)))</f>
        <v/>
      </c>
      <c r="D1325" s="12">
        <f>IF(C1325="","",C1325*(1+B1325/100))</f>
        <v/>
      </c>
      <c r="E1325" s="12">
        <f>IF(A1325="","",$B$10*TAN(RADIANS(A1325)))</f>
        <v/>
      </c>
    </row>
    <row r="1326">
      <c r="A1326" s="11" t="n"/>
      <c r="B1326" s="11" t="n"/>
      <c r="C1326" s="12">
        <f>IF(A1326="","",$B$9*TAN(RADIANS(A1326)))</f>
        <v/>
      </c>
      <c r="D1326" s="12">
        <f>IF(C1326="","",C1326*(1+B1326/100))</f>
        <v/>
      </c>
      <c r="E1326" s="12">
        <f>IF(A1326="","",$B$10*TAN(RADIANS(A1326)))</f>
        <v/>
      </c>
    </row>
    <row r="1327">
      <c r="A1327" s="11" t="n"/>
      <c r="B1327" s="11" t="n"/>
      <c r="C1327" s="12">
        <f>IF(A1327="","",$B$9*TAN(RADIANS(A1327)))</f>
        <v/>
      </c>
      <c r="D1327" s="12">
        <f>IF(C1327="","",C1327*(1+B1327/100))</f>
        <v/>
      </c>
      <c r="E1327" s="12">
        <f>IF(A1327="","",$B$10*TAN(RADIANS(A1327)))</f>
        <v/>
      </c>
    </row>
    <row r="1328">
      <c r="A1328" s="11" t="n"/>
      <c r="B1328" s="11" t="n"/>
      <c r="C1328" s="12">
        <f>IF(A1328="","",$B$9*TAN(RADIANS(A1328)))</f>
        <v/>
      </c>
      <c r="D1328" s="12">
        <f>IF(C1328="","",C1328*(1+B1328/100))</f>
        <v/>
      </c>
      <c r="E1328" s="12">
        <f>IF(A1328="","",$B$10*TAN(RADIANS(A1328)))</f>
        <v/>
      </c>
    </row>
    <row r="1329">
      <c r="A1329" s="11" t="n"/>
      <c r="B1329" s="11" t="n"/>
      <c r="C1329" s="12">
        <f>IF(A1329="","",$B$9*TAN(RADIANS(A1329)))</f>
        <v/>
      </c>
      <c r="D1329" s="12">
        <f>IF(C1329="","",C1329*(1+B1329/100))</f>
        <v/>
      </c>
      <c r="E1329" s="12">
        <f>IF(A1329="","",$B$10*TAN(RADIANS(A1329)))</f>
        <v/>
      </c>
    </row>
    <row r="1330">
      <c r="A1330" s="11" t="n"/>
      <c r="B1330" s="11" t="n"/>
      <c r="C1330" s="12">
        <f>IF(A1330="","",$B$9*TAN(RADIANS(A1330)))</f>
        <v/>
      </c>
      <c r="D1330" s="12">
        <f>IF(C1330="","",C1330*(1+B1330/100))</f>
        <v/>
      </c>
      <c r="E1330" s="12">
        <f>IF(A1330="","",$B$10*TAN(RADIANS(A1330)))</f>
        <v/>
      </c>
    </row>
    <row r="1331">
      <c r="A1331" s="11" t="n"/>
      <c r="B1331" s="11" t="n"/>
      <c r="C1331" s="12">
        <f>IF(A1331="","",$B$9*TAN(RADIANS(A1331)))</f>
        <v/>
      </c>
      <c r="D1331" s="12">
        <f>IF(C1331="","",C1331*(1+B1331/100))</f>
        <v/>
      </c>
      <c r="E1331" s="12">
        <f>IF(A1331="","",$B$10*TAN(RADIANS(A1331)))</f>
        <v/>
      </c>
    </row>
    <row r="1332">
      <c r="A1332" s="11" t="n"/>
      <c r="B1332" s="11" t="n"/>
      <c r="C1332" s="12">
        <f>IF(A1332="","",$B$9*TAN(RADIANS(A1332)))</f>
        <v/>
      </c>
      <c r="D1332" s="12">
        <f>IF(C1332="","",C1332*(1+B1332/100))</f>
        <v/>
      </c>
      <c r="E1332" s="12">
        <f>IF(A1332="","",$B$10*TAN(RADIANS(A1332)))</f>
        <v/>
      </c>
    </row>
    <row r="1333">
      <c r="A1333" s="11" t="n"/>
      <c r="B1333" s="11" t="n"/>
      <c r="C1333" s="12">
        <f>IF(A1333="","",$B$9*TAN(RADIANS(A1333)))</f>
        <v/>
      </c>
      <c r="D1333" s="12">
        <f>IF(C1333="","",C1333*(1+B1333/100))</f>
        <v/>
      </c>
      <c r="E1333" s="12">
        <f>IF(A1333="","",$B$10*TAN(RADIANS(A1333)))</f>
        <v/>
      </c>
    </row>
    <row r="1334">
      <c r="A1334" s="11" t="n"/>
      <c r="B1334" s="11" t="n"/>
      <c r="C1334" s="12">
        <f>IF(A1334="","",$B$9*TAN(RADIANS(A1334)))</f>
        <v/>
      </c>
      <c r="D1334" s="12">
        <f>IF(C1334="","",C1334*(1+B1334/100))</f>
        <v/>
      </c>
      <c r="E1334" s="12">
        <f>IF(A1334="","",$B$10*TAN(RADIANS(A1334)))</f>
        <v/>
      </c>
    </row>
    <row r="1335">
      <c r="A1335" s="11" t="n"/>
      <c r="B1335" s="11" t="n"/>
      <c r="C1335" s="12">
        <f>IF(A1335="","",$B$9*TAN(RADIANS(A1335)))</f>
        <v/>
      </c>
      <c r="D1335" s="12">
        <f>IF(C1335="","",C1335*(1+B1335/100))</f>
        <v/>
      </c>
      <c r="E1335" s="12">
        <f>IF(A1335="","",$B$10*TAN(RADIANS(A1335)))</f>
        <v/>
      </c>
    </row>
    <row r="1336">
      <c r="A1336" s="11" t="n"/>
      <c r="B1336" s="11" t="n"/>
      <c r="C1336" s="12">
        <f>IF(A1336="","",$B$9*TAN(RADIANS(A1336)))</f>
        <v/>
      </c>
      <c r="D1336" s="12">
        <f>IF(C1336="","",C1336*(1+B1336/100))</f>
        <v/>
      </c>
      <c r="E1336" s="12">
        <f>IF(A1336="","",$B$10*TAN(RADIANS(A1336)))</f>
        <v/>
      </c>
    </row>
    <row r="1337">
      <c r="A1337" s="11" t="n"/>
      <c r="B1337" s="11" t="n"/>
      <c r="C1337" s="12">
        <f>IF(A1337="","",$B$9*TAN(RADIANS(A1337)))</f>
        <v/>
      </c>
      <c r="D1337" s="12">
        <f>IF(C1337="","",C1337*(1+B1337/100))</f>
        <v/>
      </c>
      <c r="E1337" s="12">
        <f>IF(A1337="","",$B$10*TAN(RADIANS(A1337)))</f>
        <v/>
      </c>
    </row>
    <row r="1338">
      <c r="A1338" s="11" t="n"/>
      <c r="B1338" s="11" t="n"/>
      <c r="C1338" s="12">
        <f>IF(A1338="","",$B$9*TAN(RADIANS(A1338)))</f>
        <v/>
      </c>
      <c r="D1338" s="12">
        <f>IF(C1338="","",C1338*(1+B1338/100))</f>
        <v/>
      </c>
      <c r="E1338" s="12">
        <f>IF(A1338="","",$B$10*TAN(RADIANS(A1338)))</f>
        <v/>
      </c>
    </row>
    <row r="1339">
      <c r="A1339" s="11" t="n"/>
      <c r="B1339" s="11" t="n"/>
      <c r="C1339" s="12">
        <f>IF(A1339="","",$B$9*TAN(RADIANS(A1339)))</f>
        <v/>
      </c>
      <c r="D1339" s="12">
        <f>IF(C1339="","",C1339*(1+B1339/100))</f>
        <v/>
      </c>
      <c r="E1339" s="12">
        <f>IF(A1339="","",$B$10*TAN(RADIANS(A1339)))</f>
        <v/>
      </c>
    </row>
    <row r="1340">
      <c r="A1340" s="11" t="n"/>
      <c r="B1340" s="11" t="n"/>
      <c r="C1340" s="12">
        <f>IF(A1340="","",$B$9*TAN(RADIANS(A1340)))</f>
        <v/>
      </c>
      <c r="D1340" s="12">
        <f>IF(C1340="","",C1340*(1+B1340/100))</f>
        <v/>
      </c>
      <c r="E1340" s="12">
        <f>IF(A1340="","",$B$10*TAN(RADIANS(A1340)))</f>
        <v/>
      </c>
    </row>
    <row r="1341">
      <c r="A1341" s="11" t="n"/>
      <c r="B1341" s="11" t="n"/>
      <c r="C1341" s="12">
        <f>IF(A1341="","",$B$9*TAN(RADIANS(A1341)))</f>
        <v/>
      </c>
      <c r="D1341" s="12">
        <f>IF(C1341="","",C1341*(1+B1341/100))</f>
        <v/>
      </c>
      <c r="E1341" s="12">
        <f>IF(A1341="","",$B$10*TAN(RADIANS(A1341)))</f>
        <v/>
      </c>
    </row>
    <row r="1342">
      <c r="A1342" s="11" t="n"/>
      <c r="B1342" s="11" t="n"/>
      <c r="C1342" s="12">
        <f>IF(A1342="","",$B$9*TAN(RADIANS(A1342)))</f>
        <v/>
      </c>
      <c r="D1342" s="12">
        <f>IF(C1342="","",C1342*(1+B1342/100))</f>
        <v/>
      </c>
      <c r="E1342" s="12">
        <f>IF(A1342="","",$B$10*TAN(RADIANS(A1342)))</f>
        <v/>
      </c>
    </row>
    <row r="1343">
      <c r="A1343" s="11" t="n"/>
      <c r="B1343" s="11" t="n"/>
      <c r="C1343" s="12">
        <f>IF(A1343="","",$B$9*TAN(RADIANS(A1343)))</f>
        <v/>
      </c>
      <c r="D1343" s="12">
        <f>IF(C1343="","",C1343*(1+B1343/100))</f>
        <v/>
      </c>
      <c r="E1343" s="12">
        <f>IF(A1343="","",$B$10*TAN(RADIANS(A1343)))</f>
        <v/>
      </c>
    </row>
    <row r="1344">
      <c r="A1344" s="11" t="n"/>
      <c r="B1344" s="11" t="n"/>
      <c r="C1344" s="12">
        <f>IF(A1344="","",$B$9*TAN(RADIANS(A1344)))</f>
        <v/>
      </c>
      <c r="D1344" s="12">
        <f>IF(C1344="","",C1344*(1+B1344/100))</f>
        <v/>
      </c>
      <c r="E1344" s="12">
        <f>IF(A1344="","",$B$10*TAN(RADIANS(A1344)))</f>
        <v/>
      </c>
    </row>
    <row r="1345">
      <c r="A1345" s="11" t="n"/>
      <c r="B1345" s="11" t="n"/>
      <c r="C1345" s="12">
        <f>IF(A1345="","",$B$9*TAN(RADIANS(A1345)))</f>
        <v/>
      </c>
      <c r="D1345" s="12">
        <f>IF(C1345="","",C1345*(1+B1345/100))</f>
        <v/>
      </c>
      <c r="E1345" s="12">
        <f>IF(A1345="","",$B$10*TAN(RADIANS(A1345)))</f>
        <v/>
      </c>
    </row>
    <row r="1346">
      <c r="A1346" s="11" t="n"/>
      <c r="B1346" s="11" t="n"/>
      <c r="C1346" s="12">
        <f>IF(A1346="","",$B$9*TAN(RADIANS(A1346)))</f>
        <v/>
      </c>
      <c r="D1346" s="12">
        <f>IF(C1346="","",C1346*(1+B1346/100))</f>
        <v/>
      </c>
      <c r="E1346" s="12">
        <f>IF(A1346="","",$B$10*TAN(RADIANS(A1346)))</f>
        <v/>
      </c>
    </row>
    <row r="1347">
      <c r="A1347" s="11" t="n"/>
      <c r="B1347" s="11" t="n"/>
      <c r="C1347" s="12">
        <f>IF(A1347="","",$B$9*TAN(RADIANS(A1347)))</f>
        <v/>
      </c>
      <c r="D1347" s="12">
        <f>IF(C1347="","",C1347*(1+B1347/100))</f>
        <v/>
      </c>
      <c r="E1347" s="12">
        <f>IF(A1347="","",$B$10*TAN(RADIANS(A1347)))</f>
        <v/>
      </c>
    </row>
    <row r="1348">
      <c r="A1348" s="11" t="n"/>
      <c r="B1348" s="11" t="n"/>
      <c r="C1348" s="12">
        <f>IF(A1348="","",$B$9*TAN(RADIANS(A1348)))</f>
        <v/>
      </c>
      <c r="D1348" s="12">
        <f>IF(C1348="","",C1348*(1+B1348/100))</f>
        <v/>
      </c>
      <c r="E1348" s="12">
        <f>IF(A1348="","",$B$10*TAN(RADIANS(A1348)))</f>
        <v/>
      </c>
    </row>
    <row r="1349">
      <c r="A1349" s="11" t="n"/>
      <c r="B1349" s="11" t="n"/>
      <c r="C1349" s="12">
        <f>IF(A1349="","",$B$9*TAN(RADIANS(A1349)))</f>
        <v/>
      </c>
      <c r="D1349" s="12">
        <f>IF(C1349="","",C1349*(1+B1349/100))</f>
        <v/>
      </c>
      <c r="E1349" s="12">
        <f>IF(A1349="","",$B$10*TAN(RADIANS(A1349)))</f>
        <v/>
      </c>
    </row>
    <row r="1350">
      <c r="A1350" s="11" t="n"/>
      <c r="B1350" s="11" t="n"/>
      <c r="C1350" s="12">
        <f>IF(A1350="","",$B$9*TAN(RADIANS(A1350)))</f>
        <v/>
      </c>
      <c r="D1350" s="12">
        <f>IF(C1350="","",C1350*(1+B1350/100))</f>
        <v/>
      </c>
      <c r="E1350" s="12">
        <f>IF(A1350="","",$B$10*TAN(RADIANS(A1350)))</f>
        <v/>
      </c>
    </row>
    <row r="1351">
      <c r="A1351" s="11" t="n"/>
      <c r="B1351" s="11" t="n"/>
      <c r="C1351" s="12">
        <f>IF(A1351="","",$B$9*TAN(RADIANS(A1351)))</f>
        <v/>
      </c>
      <c r="D1351" s="12">
        <f>IF(C1351="","",C1351*(1+B1351/100))</f>
        <v/>
      </c>
      <c r="E1351" s="12">
        <f>IF(A1351="","",$B$10*TAN(RADIANS(A1351)))</f>
        <v/>
      </c>
    </row>
    <row r="1352">
      <c r="A1352" s="11" t="n"/>
      <c r="B1352" s="11" t="n"/>
      <c r="C1352" s="12">
        <f>IF(A1352="","",$B$9*TAN(RADIANS(A1352)))</f>
        <v/>
      </c>
      <c r="D1352" s="12">
        <f>IF(C1352="","",C1352*(1+B1352/100))</f>
        <v/>
      </c>
      <c r="E1352" s="12">
        <f>IF(A1352="","",$B$10*TAN(RADIANS(A1352)))</f>
        <v/>
      </c>
    </row>
    <row r="1353">
      <c r="A1353" s="11" t="n"/>
      <c r="B1353" s="11" t="n"/>
      <c r="C1353" s="12">
        <f>IF(A1353="","",$B$9*TAN(RADIANS(A1353)))</f>
        <v/>
      </c>
      <c r="D1353" s="12">
        <f>IF(C1353="","",C1353*(1+B1353/100))</f>
        <v/>
      </c>
      <c r="E1353" s="12">
        <f>IF(A1353="","",$B$10*TAN(RADIANS(A1353)))</f>
        <v/>
      </c>
    </row>
    <row r="1354">
      <c r="A1354" s="11" t="n"/>
      <c r="B1354" s="11" t="n"/>
      <c r="C1354" s="12">
        <f>IF(A1354="","",$B$9*TAN(RADIANS(A1354)))</f>
        <v/>
      </c>
      <c r="D1354" s="12">
        <f>IF(C1354="","",C1354*(1+B1354/100))</f>
        <v/>
      </c>
      <c r="E1354" s="12">
        <f>IF(A1354="","",$B$10*TAN(RADIANS(A1354)))</f>
        <v/>
      </c>
    </row>
    <row r="1355">
      <c r="A1355" s="11" t="n"/>
      <c r="B1355" s="11" t="n"/>
      <c r="C1355" s="12">
        <f>IF(A1355="","",$B$9*TAN(RADIANS(A1355)))</f>
        <v/>
      </c>
      <c r="D1355" s="12">
        <f>IF(C1355="","",C1355*(1+B1355/100))</f>
        <v/>
      </c>
      <c r="E1355" s="12">
        <f>IF(A1355="","",$B$10*TAN(RADIANS(A1355)))</f>
        <v/>
      </c>
    </row>
    <row r="1356">
      <c r="A1356" s="11" t="n"/>
      <c r="B1356" s="11" t="n"/>
      <c r="C1356" s="12">
        <f>IF(A1356="","",$B$9*TAN(RADIANS(A1356)))</f>
        <v/>
      </c>
      <c r="D1356" s="12">
        <f>IF(C1356="","",C1356*(1+B1356/100))</f>
        <v/>
      </c>
      <c r="E1356" s="12">
        <f>IF(A1356="","",$B$10*TAN(RADIANS(A1356)))</f>
        <v/>
      </c>
    </row>
    <row r="1357">
      <c r="A1357" s="11" t="n"/>
      <c r="B1357" s="11" t="n"/>
      <c r="C1357" s="12">
        <f>IF(A1357="","",$B$9*TAN(RADIANS(A1357)))</f>
        <v/>
      </c>
      <c r="D1357" s="12">
        <f>IF(C1357="","",C1357*(1+B1357/100))</f>
        <v/>
      </c>
      <c r="E1357" s="12">
        <f>IF(A1357="","",$B$10*TAN(RADIANS(A1357)))</f>
        <v/>
      </c>
    </row>
    <row r="1358">
      <c r="A1358" s="11" t="n"/>
      <c r="B1358" s="11" t="n"/>
      <c r="C1358" s="12">
        <f>IF(A1358="","",$B$9*TAN(RADIANS(A1358)))</f>
        <v/>
      </c>
      <c r="D1358" s="12">
        <f>IF(C1358="","",C1358*(1+B1358/100))</f>
        <v/>
      </c>
      <c r="E1358" s="12">
        <f>IF(A1358="","",$B$10*TAN(RADIANS(A1358)))</f>
        <v/>
      </c>
    </row>
    <row r="1359">
      <c r="A1359" s="11" t="n"/>
      <c r="B1359" s="11" t="n"/>
      <c r="C1359" s="12">
        <f>IF(A1359="","",$B$9*TAN(RADIANS(A1359)))</f>
        <v/>
      </c>
      <c r="D1359" s="12">
        <f>IF(C1359="","",C1359*(1+B1359/100))</f>
        <v/>
      </c>
      <c r="E1359" s="12">
        <f>IF(A1359="","",$B$10*TAN(RADIANS(A1359)))</f>
        <v/>
      </c>
    </row>
    <row r="1360">
      <c r="A1360" s="11" t="n"/>
      <c r="B1360" s="11" t="n"/>
      <c r="C1360" s="12">
        <f>IF(A1360="","",$B$9*TAN(RADIANS(A1360)))</f>
        <v/>
      </c>
      <c r="D1360" s="12">
        <f>IF(C1360="","",C1360*(1+B1360/100))</f>
        <v/>
      </c>
      <c r="E1360" s="12">
        <f>IF(A1360="","",$B$10*TAN(RADIANS(A1360)))</f>
        <v/>
      </c>
    </row>
    <row r="1361">
      <c r="A1361" s="11" t="n"/>
      <c r="B1361" s="11" t="n"/>
      <c r="C1361" s="12">
        <f>IF(A1361="","",$B$9*TAN(RADIANS(A1361)))</f>
        <v/>
      </c>
      <c r="D1361" s="12">
        <f>IF(C1361="","",C1361*(1+B1361/100))</f>
        <v/>
      </c>
      <c r="E1361" s="12">
        <f>IF(A1361="","",$B$10*TAN(RADIANS(A1361)))</f>
        <v/>
      </c>
    </row>
    <row r="1362">
      <c r="A1362" s="11" t="n"/>
      <c r="B1362" s="11" t="n"/>
      <c r="C1362" s="12">
        <f>IF(A1362="","",$B$9*TAN(RADIANS(A1362)))</f>
        <v/>
      </c>
      <c r="D1362" s="12">
        <f>IF(C1362="","",C1362*(1+B1362/100))</f>
        <v/>
      </c>
      <c r="E1362" s="12">
        <f>IF(A1362="","",$B$10*TAN(RADIANS(A1362)))</f>
        <v/>
      </c>
    </row>
    <row r="1363">
      <c r="A1363" s="11" t="n"/>
      <c r="B1363" s="11" t="n"/>
      <c r="C1363" s="12">
        <f>IF(A1363="","",$B$9*TAN(RADIANS(A1363)))</f>
        <v/>
      </c>
      <c r="D1363" s="12">
        <f>IF(C1363="","",C1363*(1+B1363/100))</f>
        <v/>
      </c>
      <c r="E1363" s="12">
        <f>IF(A1363="","",$B$10*TAN(RADIANS(A1363)))</f>
        <v/>
      </c>
    </row>
    <row r="1364">
      <c r="A1364" s="11" t="n"/>
      <c r="B1364" s="11" t="n"/>
      <c r="C1364" s="12">
        <f>IF(A1364="","",$B$9*TAN(RADIANS(A1364)))</f>
        <v/>
      </c>
      <c r="D1364" s="12">
        <f>IF(C1364="","",C1364*(1+B1364/100))</f>
        <v/>
      </c>
      <c r="E1364" s="12">
        <f>IF(A1364="","",$B$10*TAN(RADIANS(A1364)))</f>
        <v/>
      </c>
    </row>
    <row r="1365">
      <c r="A1365" s="11" t="n"/>
      <c r="B1365" s="11" t="n"/>
      <c r="C1365" s="12">
        <f>IF(A1365="","",$B$9*TAN(RADIANS(A1365)))</f>
        <v/>
      </c>
      <c r="D1365" s="12">
        <f>IF(C1365="","",C1365*(1+B1365/100))</f>
        <v/>
      </c>
      <c r="E1365" s="12">
        <f>IF(A1365="","",$B$10*TAN(RADIANS(A1365)))</f>
        <v/>
      </c>
    </row>
    <row r="1366">
      <c r="A1366" s="11" t="n"/>
      <c r="B1366" s="11" t="n"/>
      <c r="C1366" s="12">
        <f>IF(A1366="","",$B$9*TAN(RADIANS(A1366)))</f>
        <v/>
      </c>
      <c r="D1366" s="12">
        <f>IF(C1366="","",C1366*(1+B1366/100))</f>
        <v/>
      </c>
      <c r="E1366" s="12">
        <f>IF(A1366="","",$B$10*TAN(RADIANS(A1366)))</f>
        <v/>
      </c>
    </row>
    <row r="1367">
      <c r="A1367" s="11" t="n"/>
      <c r="B1367" s="11" t="n"/>
      <c r="C1367" s="12">
        <f>IF(A1367="","",$B$9*TAN(RADIANS(A1367)))</f>
        <v/>
      </c>
      <c r="D1367" s="12">
        <f>IF(C1367="","",C1367*(1+B1367/100))</f>
        <v/>
      </c>
      <c r="E1367" s="12">
        <f>IF(A1367="","",$B$10*TAN(RADIANS(A1367)))</f>
        <v/>
      </c>
    </row>
    <row r="1368">
      <c r="A1368" s="11" t="n"/>
      <c r="B1368" s="11" t="n"/>
      <c r="C1368" s="12">
        <f>IF(A1368="","",$B$9*TAN(RADIANS(A1368)))</f>
        <v/>
      </c>
      <c r="D1368" s="12">
        <f>IF(C1368="","",C1368*(1+B1368/100))</f>
        <v/>
      </c>
      <c r="E1368" s="12">
        <f>IF(A1368="","",$B$10*TAN(RADIANS(A1368)))</f>
        <v/>
      </c>
    </row>
    <row r="1369">
      <c r="A1369" s="11" t="n"/>
      <c r="B1369" s="11" t="n"/>
      <c r="C1369" s="12">
        <f>IF(A1369="","",$B$9*TAN(RADIANS(A1369)))</f>
        <v/>
      </c>
      <c r="D1369" s="12">
        <f>IF(C1369="","",C1369*(1+B1369/100))</f>
        <v/>
      </c>
      <c r="E1369" s="12">
        <f>IF(A1369="","",$B$10*TAN(RADIANS(A1369)))</f>
        <v/>
      </c>
    </row>
    <row r="1370">
      <c r="A1370" s="11" t="n"/>
      <c r="B1370" s="11" t="n"/>
      <c r="C1370" s="12">
        <f>IF(A1370="","",$B$9*TAN(RADIANS(A1370)))</f>
        <v/>
      </c>
      <c r="D1370" s="12">
        <f>IF(C1370="","",C1370*(1+B1370/100))</f>
        <v/>
      </c>
      <c r="E1370" s="12">
        <f>IF(A1370="","",$B$10*TAN(RADIANS(A1370)))</f>
        <v/>
      </c>
    </row>
    <row r="1371">
      <c r="A1371" s="11" t="n"/>
      <c r="B1371" s="11" t="n"/>
      <c r="C1371" s="12">
        <f>IF(A1371="","",$B$9*TAN(RADIANS(A1371)))</f>
        <v/>
      </c>
      <c r="D1371" s="12">
        <f>IF(C1371="","",C1371*(1+B1371/100))</f>
        <v/>
      </c>
      <c r="E1371" s="12">
        <f>IF(A1371="","",$B$10*TAN(RADIANS(A1371)))</f>
        <v/>
      </c>
    </row>
    <row r="1372">
      <c r="A1372" s="11" t="n"/>
      <c r="B1372" s="11" t="n"/>
      <c r="C1372" s="12">
        <f>IF(A1372="","",$B$9*TAN(RADIANS(A1372)))</f>
        <v/>
      </c>
      <c r="D1372" s="12">
        <f>IF(C1372="","",C1372*(1+B1372/100))</f>
        <v/>
      </c>
      <c r="E1372" s="12">
        <f>IF(A1372="","",$B$10*TAN(RADIANS(A1372)))</f>
        <v/>
      </c>
    </row>
    <row r="1373">
      <c r="A1373" s="11" t="n"/>
      <c r="B1373" s="11" t="n"/>
      <c r="C1373" s="12">
        <f>IF(A1373="","",$B$9*TAN(RADIANS(A1373)))</f>
        <v/>
      </c>
      <c r="D1373" s="12">
        <f>IF(C1373="","",C1373*(1+B1373/100))</f>
        <v/>
      </c>
      <c r="E1373" s="12">
        <f>IF(A1373="","",$B$10*TAN(RADIANS(A1373)))</f>
        <v/>
      </c>
    </row>
    <row r="1374">
      <c r="A1374" s="11" t="n"/>
      <c r="B1374" s="11" t="n"/>
      <c r="C1374" s="12">
        <f>IF(A1374="","",$B$9*TAN(RADIANS(A1374)))</f>
        <v/>
      </c>
      <c r="D1374" s="12">
        <f>IF(C1374="","",C1374*(1+B1374/100))</f>
        <v/>
      </c>
      <c r="E1374" s="12">
        <f>IF(A1374="","",$B$10*TAN(RADIANS(A1374)))</f>
        <v/>
      </c>
    </row>
    <row r="1375">
      <c r="A1375" s="11" t="n"/>
      <c r="B1375" s="11" t="n"/>
      <c r="C1375" s="12">
        <f>IF(A1375="","",$B$9*TAN(RADIANS(A1375)))</f>
        <v/>
      </c>
      <c r="D1375" s="12">
        <f>IF(C1375="","",C1375*(1+B1375/100))</f>
        <v/>
      </c>
      <c r="E1375" s="12">
        <f>IF(A1375="","",$B$10*TAN(RADIANS(A1375)))</f>
        <v/>
      </c>
    </row>
    <row r="1376">
      <c r="A1376" s="11" t="n"/>
      <c r="B1376" s="11" t="n"/>
      <c r="C1376" s="12">
        <f>IF(A1376="","",$B$9*TAN(RADIANS(A1376)))</f>
        <v/>
      </c>
      <c r="D1376" s="12">
        <f>IF(C1376="","",C1376*(1+B1376/100))</f>
        <v/>
      </c>
      <c r="E1376" s="12">
        <f>IF(A1376="","",$B$10*TAN(RADIANS(A1376)))</f>
        <v/>
      </c>
    </row>
    <row r="1377">
      <c r="A1377" s="11" t="n"/>
      <c r="B1377" s="11" t="n"/>
      <c r="C1377" s="12">
        <f>IF(A1377="","",$B$9*TAN(RADIANS(A1377)))</f>
        <v/>
      </c>
      <c r="D1377" s="12">
        <f>IF(C1377="","",C1377*(1+B1377/100))</f>
        <v/>
      </c>
      <c r="E1377" s="12">
        <f>IF(A1377="","",$B$10*TAN(RADIANS(A1377)))</f>
        <v/>
      </c>
    </row>
    <row r="1378">
      <c r="A1378" s="11" t="n"/>
      <c r="B1378" s="11" t="n"/>
      <c r="C1378" s="12">
        <f>IF(A1378="","",$B$9*TAN(RADIANS(A1378)))</f>
        <v/>
      </c>
      <c r="D1378" s="12">
        <f>IF(C1378="","",C1378*(1+B1378/100))</f>
        <v/>
      </c>
      <c r="E1378" s="12">
        <f>IF(A1378="","",$B$10*TAN(RADIANS(A1378)))</f>
        <v/>
      </c>
    </row>
    <row r="1379">
      <c r="A1379" s="11" t="n"/>
      <c r="B1379" s="11" t="n"/>
      <c r="C1379" s="12">
        <f>IF(A1379="","",$B$9*TAN(RADIANS(A1379)))</f>
        <v/>
      </c>
      <c r="D1379" s="12">
        <f>IF(C1379="","",C1379*(1+B1379/100))</f>
        <v/>
      </c>
      <c r="E1379" s="12">
        <f>IF(A1379="","",$B$10*TAN(RADIANS(A1379)))</f>
        <v/>
      </c>
    </row>
    <row r="1380">
      <c r="A1380" s="11" t="n"/>
      <c r="B1380" s="11" t="n"/>
      <c r="C1380" s="12">
        <f>IF(A1380="","",$B$9*TAN(RADIANS(A1380)))</f>
        <v/>
      </c>
      <c r="D1380" s="12">
        <f>IF(C1380="","",C1380*(1+B1380/100))</f>
        <v/>
      </c>
      <c r="E1380" s="12">
        <f>IF(A1380="","",$B$10*TAN(RADIANS(A1380)))</f>
        <v/>
      </c>
    </row>
    <row r="1381">
      <c r="A1381" s="11" t="n"/>
      <c r="B1381" s="11" t="n"/>
      <c r="C1381" s="12">
        <f>IF(A1381="","",$B$9*TAN(RADIANS(A1381)))</f>
        <v/>
      </c>
      <c r="D1381" s="12">
        <f>IF(C1381="","",C1381*(1+B1381/100))</f>
        <v/>
      </c>
      <c r="E1381" s="12">
        <f>IF(A1381="","",$B$10*TAN(RADIANS(A1381)))</f>
        <v/>
      </c>
    </row>
    <row r="1382">
      <c r="A1382" s="11" t="n"/>
      <c r="B1382" s="11" t="n"/>
      <c r="C1382" s="12">
        <f>IF(A1382="","",$B$9*TAN(RADIANS(A1382)))</f>
        <v/>
      </c>
      <c r="D1382" s="12">
        <f>IF(C1382="","",C1382*(1+B1382/100))</f>
        <v/>
      </c>
      <c r="E1382" s="12">
        <f>IF(A1382="","",$B$10*TAN(RADIANS(A1382)))</f>
        <v/>
      </c>
    </row>
    <row r="1383">
      <c r="A1383" s="11" t="n"/>
      <c r="B1383" s="11" t="n"/>
      <c r="C1383" s="12">
        <f>IF(A1383="","",$B$9*TAN(RADIANS(A1383)))</f>
        <v/>
      </c>
      <c r="D1383" s="12">
        <f>IF(C1383="","",C1383*(1+B1383/100))</f>
        <v/>
      </c>
      <c r="E1383" s="12">
        <f>IF(A1383="","",$B$10*TAN(RADIANS(A1383)))</f>
        <v/>
      </c>
    </row>
    <row r="1384">
      <c r="A1384" s="11" t="n"/>
      <c r="B1384" s="11" t="n"/>
      <c r="C1384" s="12">
        <f>IF(A1384="","",$B$9*TAN(RADIANS(A1384)))</f>
        <v/>
      </c>
      <c r="D1384" s="12">
        <f>IF(C1384="","",C1384*(1+B1384/100))</f>
        <v/>
      </c>
      <c r="E1384" s="12">
        <f>IF(A1384="","",$B$10*TAN(RADIANS(A1384)))</f>
        <v/>
      </c>
    </row>
    <row r="1385">
      <c r="A1385" s="11" t="n"/>
      <c r="B1385" s="11" t="n"/>
      <c r="C1385" s="12">
        <f>IF(A1385="","",$B$9*TAN(RADIANS(A1385)))</f>
        <v/>
      </c>
      <c r="D1385" s="12">
        <f>IF(C1385="","",C1385*(1+B1385/100))</f>
        <v/>
      </c>
      <c r="E1385" s="12">
        <f>IF(A1385="","",$B$10*TAN(RADIANS(A1385)))</f>
        <v/>
      </c>
    </row>
    <row r="1386">
      <c r="A1386" s="11" t="n"/>
      <c r="B1386" s="11" t="n"/>
      <c r="C1386" s="12">
        <f>IF(A1386="","",$B$9*TAN(RADIANS(A1386)))</f>
        <v/>
      </c>
      <c r="D1386" s="12">
        <f>IF(C1386="","",C1386*(1+B1386/100))</f>
        <v/>
      </c>
      <c r="E1386" s="12">
        <f>IF(A1386="","",$B$10*TAN(RADIANS(A1386)))</f>
        <v/>
      </c>
    </row>
    <row r="1387">
      <c r="A1387" s="11" t="n"/>
      <c r="B1387" s="11" t="n"/>
      <c r="C1387" s="12">
        <f>IF(A1387="","",$B$9*TAN(RADIANS(A1387)))</f>
        <v/>
      </c>
      <c r="D1387" s="12">
        <f>IF(C1387="","",C1387*(1+B1387/100))</f>
        <v/>
      </c>
      <c r="E1387" s="12">
        <f>IF(A1387="","",$B$10*TAN(RADIANS(A1387)))</f>
        <v/>
      </c>
    </row>
    <row r="1388">
      <c r="A1388" s="11" t="n"/>
      <c r="B1388" s="11" t="n"/>
      <c r="C1388" s="12">
        <f>IF(A1388="","",$B$9*TAN(RADIANS(A1388)))</f>
        <v/>
      </c>
      <c r="D1388" s="12">
        <f>IF(C1388="","",C1388*(1+B1388/100))</f>
        <v/>
      </c>
      <c r="E1388" s="12">
        <f>IF(A1388="","",$B$10*TAN(RADIANS(A1388)))</f>
        <v/>
      </c>
    </row>
    <row r="1389">
      <c r="A1389" s="11" t="n"/>
      <c r="B1389" s="11" t="n"/>
      <c r="C1389" s="12">
        <f>IF(A1389="","",$B$9*TAN(RADIANS(A1389)))</f>
        <v/>
      </c>
      <c r="D1389" s="12">
        <f>IF(C1389="","",C1389*(1+B1389/100))</f>
        <v/>
      </c>
      <c r="E1389" s="12">
        <f>IF(A1389="","",$B$10*TAN(RADIANS(A1389)))</f>
        <v/>
      </c>
    </row>
    <row r="1390">
      <c r="A1390" s="11" t="n"/>
      <c r="B1390" s="11" t="n"/>
      <c r="C1390" s="12">
        <f>IF(A1390="","",$B$9*TAN(RADIANS(A1390)))</f>
        <v/>
      </c>
      <c r="D1390" s="12">
        <f>IF(C1390="","",C1390*(1+B1390/100))</f>
        <v/>
      </c>
      <c r="E1390" s="12">
        <f>IF(A1390="","",$B$10*TAN(RADIANS(A1390)))</f>
        <v/>
      </c>
    </row>
    <row r="1391">
      <c r="A1391" s="11" t="n"/>
      <c r="B1391" s="11" t="n"/>
      <c r="C1391" s="12">
        <f>IF(A1391="","",$B$9*TAN(RADIANS(A1391)))</f>
        <v/>
      </c>
      <c r="D1391" s="12">
        <f>IF(C1391="","",C1391*(1+B1391/100))</f>
        <v/>
      </c>
      <c r="E1391" s="12">
        <f>IF(A1391="","",$B$10*TAN(RADIANS(A1391)))</f>
        <v/>
      </c>
    </row>
    <row r="1392">
      <c r="A1392" s="11" t="n"/>
      <c r="B1392" s="11" t="n"/>
      <c r="C1392" s="12">
        <f>IF(A1392="","",$B$9*TAN(RADIANS(A1392)))</f>
        <v/>
      </c>
      <c r="D1392" s="12">
        <f>IF(C1392="","",C1392*(1+B1392/100))</f>
        <v/>
      </c>
      <c r="E1392" s="12">
        <f>IF(A1392="","",$B$10*TAN(RADIANS(A1392)))</f>
        <v/>
      </c>
    </row>
    <row r="1393">
      <c r="A1393" s="11" t="n"/>
      <c r="B1393" s="11" t="n"/>
      <c r="C1393" s="12">
        <f>IF(A1393="","",$B$9*TAN(RADIANS(A1393)))</f>
        <v/>
      </c>
      <c r="D1393" s="12">
        <f>IF(C1393="","",C1393*(1+B1393/100))</f>
        <v/>
      </c>
      <c r="E1393" s="12">
        <f>IF(A1393="","",$B$10*TAN(RADIANS(A1393)))</f>
        <v/>
      </c>
    </row>
    <row r="1394">
      <c r="A1394" s="11" t="n"/>
      <c r="B1394" s="11" t="n"/>
      <c r="C1394" s="12">
        <f>IF(A1394="","",$B$9*TAN(RADIANS(A1394)))</f>
        <v/>
      </c>
      <c r="D1394" s="12">
        <f>IF(C1394="","",C1394*(1+B1394/100))</f>
        <v/>
      </c>
      <c r="E1394" s="12">
        <f>IF(A1394="","",$B$10*TAN(RADIANS(A1394)))</f>
        <v/>
      </c>
    </row>
    <row r="1395">
      <c r="A1395" s="11" t="n"/>
      <c r="B1395" s="11" t="n"/>
      <c r="C1395" s="12">
        <f>IF(A1395="","",$B$9*TAN(RADIANS(A1395)))</f>
        <v/>
      </c>
      <c r="D1395" s="12">
        <f>IF(C1395="","",C1395*(1+B1395/100))</f>
        <v/>
      </c>
      <c r="E1395" s="12">
        <f>IF(A1395="","",$B$10*TAN(RADIANS(A1395)))</f>
        <v/>
      </c>
    </row>
    <row r="1396">
      <c r="A1396" s="11" t="n"/>
      <c r="B1396" s="11" t="n"/>
      <c r="C1396" s="12">
        <f>IF(A1396="","",$B$9*TAN(RADIANS(A1396)))</f>
        <v/>
      </c>
      <c r="D1396" s="12">
        <f>IF(C1396="","",C1396*(1+B1396/100))</f>
        <v/>
      </c>
      <c r="E1396" s="12">
        <f>IF(A1396="","",$B$10*TAN(RADIANS(A1396)))</f>
        <v/>
      </c>
    </row>
    <row r="1397">
      <c r="A1397" s="11" t="n"/>
      <c r="B1397" s="11" t="n"/>
      <c r="C1397" s="12">
        <f>IF(A1397="","",$B$9*TAN(RADIANS(A1397)))</f>
        <v/>
      </c>
      <c r="D1397" s="12">
        <f>IF(C1397="","",C1397*(1+B1397/100))</f>
        <v/>
      </c>
      <c r="E1397" s="12">
        <f>IF(A1397="","",$B$10*TAN(RADIANS(A1397)))</f>
        <v/>
      </c>
    </row>
    <row r="1398">
      <c r="A1398" s="11" t="n"/>
      <c r="B1398" s="11" t="n"/>
      <c r="C1398" s="12">
        <f>IF(A1398="","",$B$9*TAN(RADIANS(A1398)))</f>
        <v/>
      </c>
      <c r="D1398" s="12">
        <f>IF(C1398="","",C1398*(1+B1398/100))</f>
        <v/>
      </c>
      <c r="E1398" s="12">
        <f>IF(A1398="","",$B$10*TAN(RADIANS(A1398)))</f>
        <v/>
      </c>
    </row>
    <row r="1399">
      <c r="A1399" s="11" t="n"/>
      <c r="B1399" s="11" t="n"/>
      <c r="C1399" s="12">
        <f>IF(A1399="","",$B$9*TAN(RADIANS(A1399)))</f>
        <v/>
      </c>
      <c r="D1399" s="12">
        <f>IF(C1399="","",C1399*(1+B1399/100))</f>
        <v/>
      </c>
      <c r="E1399" s="12">
        <f>IF(A1399="","",$B$10*TAN(RADIANS(A1399)))</f>
        <v/>
      </c>
    </row>
    <row r="1400">
      <c r="A1400" s="11" t="n"/>
      <c r="B1400" s="11" t="n"/>
      <c r="C1400" s="12">
        <f>IF(A1400="","",$B$9*TAN(RADIANS(A1400)))</f>
        <v/>
      </c>
      <c r="D1400" s="12">
        <f>IF(C1400="","",C1400*(1+B1400/100))</f>
        <v/>
      </c>
      <c r="E1400" s="12">
        <f>IF(A1400="","",$B$10*TAN(RADIANS(A1400)))</f>
        <v/>
      </c>
    </row>
    <row r="1401">
      <c r="A1401" s="11" t="n"/>
      <c r="B1401" s="11" t="n"/>
      <c r="C1401" s="12">
        <f>IF(A1401="","",$B$9*TAN(RADIANS(A1401)))</f>
        <v/>
      </c>
      <c r="D1401" s="12">
        <f>IF(C1401="","",C1401*(1+B1401/100))</f>
        <v/>
      </c>
      <c r="E1401" s="12">
        <f>IF(A1401="","",$B$10*TAN(RADIANS(A1401)))</f>
        <v/>
      </c>
    </row>
    <row r="1402">
      <c r="A1402" s="11" t="n"/>
      <c r="B1402" s="11" t="n"/>
      <c r="C1402" s="12">
        <f>IF(A1402="","",$B$9*TAN(RADIANS(A1402)))</f>
        <v/>
      </c>
      <c r="D1402" s="12">
        <f>IF(C1402="","",C1402*(1+B1402/100))</f>
        <v/>
      </c>
      <c r="E1402" s="12">
        <f>IF(A1402="","",$B$10*TAN(RADIANS(A1402)))</f>
        <v/>
      </c>
    </row>
    <row r="1403">
      <c r="A1403" s="11" t="n"/>
      <c r="B1403" s="11" t="n"/>
      <c r="C1403" s="12">
        <f>IF(A1403="","",$B$9*TAN(RADIANS(A1403)))</f>
        <v/>
      </c>
      <c r="D1403" s="12">
        <f>IF(C1403="","",C1403*(1+B1403/100))</f>
        <v/>
      </c>
      <c r="E1403" s="12">
        <f>IF(A1403="","",$B$10*TAN(RADIANS(A1403)))</f>
        <v/>
      </c>
    </row>
    <row r="1404">
      <c r="A1404" s="11" t="n"/>
      <c r="B1404" s="11" t="n"/>
      <c r="C1404" s="12">
        <f>IF(A1404="","",$B$9*TAN(RADIANS(A1404)))</f>
        <v/>
      </c>
      <c r="D1404" s="12">
        <f>IF(C1404="","",C1404*(1+B1404/100))</f>
        <v/>
      </c>
      <c r="E1404" s="12">
        <f>IF(A1404="","",$B$10*TAN(RADIANS(A1404)))</f>
        <v/>
      </c>
    </row>
    <row r="1405">
      <c r="A1405" s="11" t="n"/>
      <c r="B1405" s="11" t="n"/>
      <c r="C1405" s="12">
        <f>IF(A1405="","",$B$9*TAN(RADIANS(A1405)))</f>
        <v/>
      </c>
      <c r="D1405" s="12">
        <f>IF(C1405="","",C1405*(1+B1405/100))</f>
        <v/>
      </c>
      <c r="E1405" s="12">
        <f>IF(A1405="","",$B$10*TAN(RADIANS(A1405)))</f>
        <v/>
      </c>
    </row>
    <row r="1406">
      <c r="A1406" s="11" t="n"/>
      <c r="B1406" s="11" t="n"/>
      <c r="C1406" s="12">
        <f>IF(A1406="","",$B$9*TAN(RADIANS(A1406)))</f>
        <v/>
      </c>
      <c r="D1406" s="12">
        <f>IF(C1406="","",C1406*(1+B1406/100))</f>
        <v/>
      </c>
      <c r="E1406" s="12">
        <f>IF(A1406="","",$B$10*TAN(RADIANS(A1406)))</f>
        <v/>
      </c>
    </row>
    <row r="1407">
      <c r="A1407" s="11" t="n"/>
      <c r="B1407" s="11" t="n"/>
      <c r="C1407" s="12">
        <f>IF(A1407="","",$B$9*TAN(RADIANS(A1407)))</f>
        <v/>
      </c>
      <c r="D1407" s="12">
        <f>IF(C1407="","",C1407*(1+B1407/100))</f>
        <v/>
      </c>
      <c r="E1407" s="12">
        <f>IF(A1407="","",$B$10*TAN(RADIANS(A1407)))</f>
        <v/>
      </c>
    </row>
    <row r="1408">
      <c r="A1408" s="11" t="n"/>
      <c r="B1408" s="11" t="n"/>
      <c r="C1408" s="12">
        <f>IF(A1408="","",$B$9*TAN(RADIANS(A1408)))</f>
        <v/>
      </c>
      <c r="D1408" s="12">
        <f>IF(C1408="","",C1408*(1+B1408/100))</f>
        <v/>
      </c>
      <c r="E1408" s="12">
        <f>IF(A1408="","",$B$10*TAN(RADIANS(A1408)))</f>
        <v/>
      </c>
    </row>
    <row r="1409">
      <c r="A1409" s="11" t="n"/>
      <c r="B1409" s="11" t="n"/>
      <c r="C1409" s="12">
        <f>IF(A1409="","",$B$9*TAN(RADIANS(A1409)))</f>
        <v/>
      </c>
      <c r="D1409" s="12">
        <f>IF(C1409="","",C1409*(1+B1409/100))</f>
        <v/>
      </c>
      <c r="E1409" s="12">
        <f>IF(A1409="","",$B$10*TAN(RADIANS(A1409)))</f>
        <v/>
      </c>
    </row>
    <row r="1410">
      <c r="A1410" s="11" t="n"/>
      <c r="B1410" s="11" t="n"/>
      <c r="C1410" s="12">
        <f>IF(A1410="","",$B$9*TAN(RADIANS(A1410)))</f>
        <v/>
      </c>
      <c r="D1410" s="12">
        <f>IF(C1410="","",C1410*(1+B1410/100))</f>
        <v/>
      </c>
      <c r="E1410" s="12">
        <f>IF(A1410="","",$B$10*TAN(RADIANS(A1410)))</f>
        <v/>
      </c>
    </row>
    <row r="1411">
      <c r="A1411" s="11" t="n"/>
      <c r="B1411" s="11" t="n"/>
      <c r="C1411" s="12">
        <f>IF(A1411="","",$B$9*TAN(RADIANS(A1411)))</f>
        <v/>
      </c>
      <c r="D1411" s="12">
        <f>IF(C1411="","",C1411*(1+B1411/100))</f>
        <v/>
      </c>
      <c r="E1411" s="12">
        <f>IF(A1411="","",$B$10*TAN(RADIANS(A1411)))</f>
        <v/>
      </c>
    </row>
    <row r="1412">
      <c r="A1412" s="11" t="n"/>
      <c r="B1412" s="11" t="n"/>
      <c r="C1412" s="12">
        <f>IF(A1412="","",$B$9*TAN(RADIANS(A1412)))</f>
        <v/>
      </c>
      <c r="D1412" s="12">
        <f>IF(C1412="","",C1412*(1+B1412/100))</f>
        <v/>
      </c>
      <c r="E1412" s="12">
        <f>IF(A1412="","",$B$10*TAN(RADIANS(A1412)))</f>
        <v/>
      </c>
    </row>
    <row r="1413">
      <c r="A1413" s="11" t="n"/>
      <c r="B1413" s="11" t="n"/>
      <c r="C1413" s="12">
        <f>IF(A1413="","",$B$9*TAN(RADIANS(A1413)))</f>
        <v/>
      </c>
      <c r="D1413" s="12">
        <f>IF(C1413="","",C1413*(1+B1413/100))</f>
        <v/>
      </c>
      <c r="E1413" s="12">
        <f>IF(A1413="","",$B$10*TAN(RADIANS(A1413)))</f>
        <v/>
      </c>
    </row>
    <row r="1414">
      <c r="A1414" s="11" t="n"/>
      <c r="B1414" s="11" t="n"/>
      <c r="C1414" s="12">
        <f>IF(A1414="","",$B$9*TAN(RADIANS(A1414)))</f>
        <v/>
      </c>
      <c r="D1414" s="12">
        <f>IF(C1414="","",C1414*(1+B1414/100))</f>
        <v/>
      </c>
      <c r="E1414" s="12">
        <f>IF(A1414="","",$B$10*TAN(RADIANS(A1414)))</f>
        <v/>
      </c>
    </row>
    <row r="1415">
      <c r="A1415" s="11" t="n"/>
      <c r="B1415" s="11" t="n"/>
      <c r="C1415" s="12">
        <f>IF(A1415="","",$B$9*TAN(RADIANS(A1415)))</f>
        <v/>
      </c>
      <c r="D1415" s="12">
        <f>IF(C1415="","",C1415*(1+B1415/100))</f>
        <v/>
      </c>
      <c r="E1415" s="12">
        <f>IF(A1415="","",$B$10*TAN(RADIANS(A1415)))</f>
        <v/>
      </c>
    </row>
    <row r="1416">
      <c r="A1416" s="11" t="n"/>
      <c r="B1416" s="11" t="n"/>
      <c r="C1416" s="12">
        <f>IF(A1416="","",$B$9*TAN(RADIANS(A1416)))</f>
        <v/>
      </c>
      <c r="D1416" s="12">
        <f>IF(C1416="","",C1416*(1+B1416/100))</f>
        <v/>
      </c>
      <c r="E1416" s="12">
        <f>IF(A1416="","",$B$10*TAN(RADIANS(A1416)))</f>
        <v/>
      </c>
    </row>
    <row r="1417">
      <c r="A1417" s="11" t="n"/>
      <c r="B1417" s="11" t="n"/>
      <c r="C1417" s="12">
        <f>IF(A1417="","",$B$9*TAN(RADIANS(A1417)))</f>
        <v/>
      </c>
      <c r="D1417" s="12">
        <f>IF(C1417="","",C1417*(1+B1417/100))</f>
        <v/>
      </c>
      <c r="E1417" s="12">
        <f>IF(A1417="","",$B$10*TAN(RADIANS(A1417)))</f>
        <v/>
      </c>
    </row>
    <row r="1418">
      <c r="A1418" s="11" t="n"/>
      <c r="B1418" s="11" t="n"/>
      <c r="C1418" s="12">
        <f>IF(A1418="","",$B$9*TAN(RADIANS(A1418)))</f>
        <v/>
      </c>
      <c r="D1418" s="12">
        <f>IF(C1418="","",C1418*(1+B1418/100))</f>
        <v/>
      </c>
      <c r="E1418" s="12">
        <f>IF(A1418="","",$B$10*TAN(RADIANS(A1418)))</f>
        <v/>
      </c>
    </row>
    <row r="1419">
      <c r="A1419" s="11" t="n"/>
      <c r="B1419" s="11" t="n"/>
      <c r="C1419" s="12">
        <f>IF(A1419="","",$B$9*TAN(RADIANS(A1419)))</f>
        <v/>
      </c>
      <c r="D1419" s="12">
        <f>IF(C1419="","",C1419*(1+B1419/100))</f>
        <v/>
      </c>
      <c r="E1419" s="12">
        <f>IF(A1419="","",$B$10*TAN(RADIANS(A1419)))</f>
        <v/>
      </c>
    </row>
    <row r="1420">
      <c r="A1420" s="11" t="n"/>
      <c r="B1420" s="11" t="n"/>
      <c r="C1420" s="12">
        <f>IF(A1420="","",$B$9*TAN(RADIANS(A1420)))</f>
        <v/>
      </c>
      <c r="D1420" s="12">
        <f>IF(C1420="","",C1420*(1+B1420/100))</f>
        <v/>
      </c>
      <c r="E1420" s="12">
        <f>IF(A1420="","",$B$10*TAN(RADIANS(A1420)))</f>
        <v/>
      </c>
    </row>
    <row r="1421">
      <c r="A1421" s="11" t="n"/>
      <c r="B1421" s="11" t="n"/>
      <c r="C1421" s="12">
        <f>IF(A1421="","",$B$9*TAN(RADIANS(A1421)))</f>
        <v/>
      </c>
      <c r="D1421" s="12">
        <f>IF(C1421="","",C1421*(1+B1421/100))</f>
        <v/>
      </c>
      <c r="E1421" s="12">
        <f>IF(A1421="","",$B$10*TAN(RADIANS(A1421)))</f>
        <v/>
      </c>
    </row>
    <row r="1422">
      <c r="A1422" s="11" t="n"/>
      <c r="B1422" s="11" t="n"/>
      <c r="C1422" s="12">
        <f>IF(A1422="","",$B$9*TAN(RADIANS(A1422)))</f>
        <v/>
      </c>
      <c r="D1422" s="12">
        <f>IF(C1422="","",C1422*(1+B1422/100))</f>
        <v/>
      </c>
      <c r="E1422" s="12">
        <f>IF(A1422="","",$B$10*TAN(RADIANS(A1422)))</f>
        <v/>
      </c>
    </row>
    <row r="1423">
      <c r="A1423" s="11" t="n"/>
      <c r="B1423" s="11" t="n"/>
      <c r="C1423" s="12">
        <f>IF(A1423="","",$B$9*TAN(RADIANS(A1423)))</f>
        <v/>
      </c>
      <c r="D1423" s="12">
        <f>IF(C1423="","",C1423*(1+B1423/100))</f>
        <v/>
      </c>
      <c r="E1423" s="12">
        <f>IF(A1423="","",$B$10*TAN(RADIANS(A1423)))</f>
        <v/>
      </c>
    </row>
    <row r="1424">
      <c r="A1424" s="11" t="n"/>
      <c r="B1424" s="11" t="n"/>
      <c r="C1424" s="12">
        <f>IF(A1424="","",$B$9*TAN(RADIANS(A1424)))</f>
        <v/>
      </c>
      <c r="D1424" s="12">
        <f>IF(C1424="","",C1424*(1+B1424/100))</f>
        <v/>
      </c>
      <c r="E1424" s="12">
        <f>IF(A1424="","",$B$10*TAN(RADIANS(A1424)))</f>
        <v/>
      </c>
    </row>
    <row r="1425">
      <c r="A1425" s="11" t="n"/>
      <c r="B1425" s="11" t="n"/>
      <c r="C1425" s="12">
        <f>IF(A1425="","",$B$9*TAN(RADIANS(A1425)))</f>
        <v/>
      </c>
      <c r="D1425" s="12">
        <f>IF(C1425="","",C1425*(1+B1425/100))</f>
        <v/>
      </c>
      <c r="E1425" s="12">
        <f>IF(A1425="","",$B$10*TAN(RADIANS(A1425)))</f>
        <v/>
      </c>
    </row>
    <row r="1426">
      <c r="A1426" s="11" t="n"/>
      <c r="B1426" s="11" t="n"/>
      <c r="C1426" s="12">
        <f>IF(A1426="","",$B$9*TAN(RADIANS(A1426)))</f>
        <v/>
      </c>
      <c r="D1426" s="12">
        <f>IF(C1426="","",C1426*(1+B1426/100))</f>
        <v/>
      </c>
      <c r="E1426" s="12">
        <f>IF(A1426="","",$B$10*TAN(RADIANS(A1426)))</f>
        <v/>
      </c>
    </row>
    <row r="1427">
      <c r="A1427" s="11" t="n"/>
      <c r="B1427" s="11" t="n"/>
      <c r="C1427" s="12">
        <f>IF(A1427="","",$B$9*TAN(RADIANS(A1427)))</f>
        <v/>
      </c>
      <c r="D1427" s="12">
        <f>IF(C1427="","",C1427*(1+B1427/100))</f>
        <v/>
      </c>
      <c r="E1427" s="12">
        <f>IF(A1427="","",$B$10*TAN(RADIANS(A1427)))</f>
        <v/>
      </c>
    </row>
    <row r="1428">
      <c r="A1428" s="11" t="n"/>
      <c r="B1428" s="11" t="n"/>
      <c r="C1428" s="12">
        <f>IF(A1428="","",$B$9*TAN(RADIANS(A1428)))</f>
        <v/>
      </c>
      <c r="D1428" s="12">
        <f>IF(C1428="","",C1428*(1+B1428/100))</f>
        <v/>
      </c>
      <c r="E1428" s="12">
        <f>IF(A1428="","",$B$10*TAN(RADIANS(A1428)))</f>
        <v/>
      </c>
    </row>
    <row r="1429">
      <c r="A1429" s="11" t="n"/>
      <c r="B1429" s="11" t="n"/>
      <c r="C1429" s="12">
        <f>IF(A1429="","",$B$9*TAN(RADIANS(A1429)))</f>
        <v/>
      </c>
      <c r="D1429" s="12">
        <f>IF(C1429="","",C1429*(1+B1429/100))</f>
        <v/>
      </c>
      <c r="E1429" s="12">
        <f>IF(A1429="","",$B$10*TAN(RADIANS(A1429)))</f>
        <v/>
      </c>
    </row>
    <row r="1430">
      <c r="A1430" s="11" t="n"/>
      <c r="B1430" s="11" t="n"/>
      <c r="C1430" s="12">
        <f>IF(A1430="","",$B$9*TAN(RADIANS(A1430)))</f>
        <v/>
      </c>
      <c r="D1430" s="12">
        <f>IF(C1430="","",C1430*(1+B1430/100))</f>
        <v/>
      </c>
      <c r="E1430" s="12">
        <f>IF(A1430="","",$B$10*TAN(RADIANS(A1430)))</f>
        <v/>
      </c>
    </row>
    <row r="1431">
      <c r="A1431" s="11" t="n"/>
      <c r="B1431" s="11" t="n"/>
      <c r="C1431" s="12">
        <f>IF(A1431="","",$B$9*TAN(RADIANS(A1431)))</f>
        <v/>
      </c>
      <c r="D1431" s="12">
        <f>IF(C1431="","",C1431*(1+B1431/100))</f>
        <v/>
      </c>
      <c r="E1431" s="12">
        <f>IF(A1431="","",$B$10*TAN(RADIANS(A1431)))</f>
        <v/>
      </c>
    </row>
    <row r="1432">
      <c r="A1432" s="11" t="n"/>
      <c r="B1432" s="11" t="n"/>
      <c r="C1432" s="12">
        <f>IF(A1432="","",$B$9*TAN(RADIANS(A1432)))</f>
        <v/>
      </c>
      <c r="D1432" s="12">
        <f>IF(C1432="","",C1432*(1+B1432/100))</f>
        <v/>
      </c>
      <c r="E1432" s="12">
        <f>IF(A1432="","",$B$10*TAN(RADIANS(A1432)))</f>
        <v/>
      </c>
    </row>
    <row r="1433">
      <c r="A1433" s="11" t="n"/>
      <c r="B1433" s="11" t="n"/>
      <c r="C1433" s="12">
        <f>IF(A1433="","",$B$9*TAN(RADIANS(A1433)))</f>
        <v/>
      </c>
      <c r="D1433" s="12">
        <f>IF(C1433="","",C1433*(1+B1433/100))</f>
        <v/>
      </c>
      <c r="E1433" s="12">
        <f>IF(A1433="","",$B$10*TAN(RADIANS(A1433)))</f>
        <v/>
      </c>
    </row>
    <row r="1434">
      <c r="A1434" s="11" t="n"/>
      <c r="B1434" s="11" t="n"/>
      <c r="C1434" s="12">
        <f>IF(A1434="","",$B$9*TAN(RADIANS(A1434)))</f>
        <v/>
      </c>
      <c r="D1434" s="12">
        <f>IF(C1434="","",C1434*(1+B1434/100))</f>
        <v/>
      </c>
      <c r="E1434" s="12">
        <f>IF(A1434="","",$B$10*TAN(RADIANS(A1434)))</f>
        <v/>
      </c>
    </row>
    <row r="1435">
      <c r="A1435" s="11" t="n"/>
      <c r="B1435" s="11" t="n"/>
      <c r="C1435" s="12">
        <f>IF(A1435="","",$B$9*TAN(RADIANS(A1435)))</f>
        <v/>
      </c>
      <c r="D1435" s="12">
        <f>IF(C1435="","",C1435*(1+B1435/100))</f>
        <v/>
      </c>
      <c r="E1435" s="12">
        <f>IF(A1435="","",$B$10*TAN(RADIANS(A1435)))</f>
        <v/>
      </c>
    </row>
    <row r="1436">
      <c r="A1436" s="11" t="n"/>
      <c r="B1436" s="11" t="n"/>
      <c r="C1436" s="12">
        <f>IF(A1436="","",$B$9*TAN(RADIANS(A1436)))</f>
        <v/>
      </c>
      <c r="D1436" s="12">
        <f>IF(C1436="","",C1436*(1+B1436/100))</f>
        <v/>
      </c>
      <c r="E1436" s="12">
        <f>IF(A1436="","",$B$10*TAN(RADIANS(A1436)))</f>
        <v/>
      </c>
    </row>
    <row r="1437">
      <c r="A1437" s="11" t="n"/>
      <c r="B1437" s="11" t="n"/>
      <c r="C1437" s="12">
        <f>IF(A1437="","",$B$9*TAN(RADIANS(A1437)))</f>
        <v/>
      </c>
      <c r="D1437" s="12">
        <f>IF(C1437="","",C1437*(1+B1437/100))</f>
        <v/>
      </c>
      <c r="E1437" s="12">
        <f>IF(A1437="","",$B$10*TAN(RADIANS(A1437)))</f>
        <v/>
      </c>
    </row>
    <row r="1438">
      <c r="A1438" s="11" t="n"/>
      <c r="B1438" s="11" t="n"/>
      <c r="C1438" s="12">
        <f>IF(A1438="","",$B$9*TAN(RADIANS(A1438)))</f>
        <v/>
      </c>
      <c r="D1438" s="12">
        <f>IF(C1438="","",C1438*(1+B1438/100))</f>
        <v/>
      </c>
      <c r="E1438" s="12">
        <f>IF(A1438="","",$B$10*TAN(RADIANS(A1438)))</f>
        <v/>
      </c>
    </row>
    <row r="1439">
      <c r="A1439" s="11" t="n"/>
      <c r="B1439" s="11" t="n"/>
      <c r="C1439" s="12">
        <f>IF(A1439="","",$B$9*TAN(RADIANS(A1439)))</f>
        <v/>
      </c>
      <c r="D1439" s="12">
        <f>IF(C1439="","",C1439*(1+B1439/100))</f>
        <v/>
      </c>
      <c r="E1439" s="12">
        <f>IF(A1439="","",$B$10*TAN(RADIANS(A1439)))</f>
        <v/>
      </c>
    </row>
    <row r="1440">
      <c r="A1440" s="11" t="n"/>
      <c r="B1440" s="11" t="n"/>
      <c r="C1440" s="12">
        <f>IF(A1440="","",$B$9*TAN(RADIANS(A1440)))</f>
        <v/>
      </c>
      <c r="D1440" s="12">
        <f>IF(C1440="","",C1440*(1+B1440/100))</f>
        <v/>
      </c>
      <c r="E1440" s="12">
        <f>IF(A1440="","",$B$10*TAN(RADIANS(A1440)))</f>
        <v/>
      </c>
    </row>
    <row r="1441">
      <c r="A1441" s="11" t="n"/>
      <c r="B1441" s="11" t="n"/>
      <c r="C1441" s="12">
        <f>IF(A1441="","",$B$9*TAN(RADIANS(A1441)))</f>
        <v/>
      </c>
      <c r="D1441" s="12">
        <f>IF(C1441="","",C1441*(1+B1441/100))</f>
        <v/>
      </c>
      <c r="E1441" s="12">
        <f>IF(A1441="","",$B$10*TAN(RADIANS(A1441)))</f>
        <v/>
      </c>
    </row>
    <row r="1442">
      <c r="A1442" s="11" t="n"/>
      <c r="B1442" s="11" t="n"/>
      <c r="C1442" s="12">
        <f>IF(A1442="","",$B$9*TAN(RADIANS(A1442)))</f>
        <v/>
      </c>
      <c r="D1442" s="12">
        <f>IF(C1442="","",C1442*(1+B1442/100))</f>
        <v/>
      </c>
      <c r="E1442" s="12">
        <f>IF(A1442="","",$B$10*TAN(RADIANS(A1442)))</f>
        <v/>
      </c>
    </row>
    <row r="1443">
      <c r="A1443" s="11" t="n"/>
      <c r="B1443" s="11" t="n"/>
      <c r="C1443" s="12">
        <f>IF(A1443="","",$B$9*TAN(RADIANS(A1443)))</f>
        <v/>
      </c>
      <c r="D1443" s="12">
        <f>IF(C1443="","",C1443*(1+B1443/100))</f>
        <v/>
      </c>
      <c r="E1443" s="12">
        <f>IF(A1443="","",$B$10*TAN(RADIANS(A1443)))</f>
        <v/>
      </c>
    </row>
    <row r="1444">
      <c r="A1444" s="11" t="n"/>
      <c r="B1444" s="11" t="n"/>
      <c r="C1444" s="12">
        <f>IF(A1444="","",$B$9*TAN(RADIANS(A1444)))</f>
        <v/>
      </c>
      <c r="D1444" s="12">
        <f>IF(C1444="","",C1444*(1+B1444/100))</f>
        <v/>
      </c>
      <c r="E1444" s="12">
        <f>IF(A1444="","",$B$10*TAN(RADIANS(A1444)))</f>
        <v/>
      </c>
    </row>
    <row r="1445">
      <c r="A1445" s="11" t="n"/>
      <c r="B1445" s="11" t="n"/>
      <c r="C1445" s="12">
        <f>IF(A1445="","",$B$9*TAN(RADIANS(A1445)))</f>
        <v/>
      </c>
      <c r="D1445" s="12">
        <f>IF(C1445="","",C1445*(1+B1445/100))</f>
        <v/>
      </c>
      <c r="E1445" s="12">
        <f>IF(A1445="","",$B$10*TAN(RADIANS(A1445)))</f>
        <v/>
      </c>
    </row>
    <row r="1446">
      <c r="A1446" s="11" t="n"/>
      <c r="B1446" s="11" t="n"/>
      <c r="C1446" s="12">
        <f>IF(A1446="","",$B$9*TAN(RADIANS(A1446)))</f>
        <v/>
      </c>
      <c r="D1446" s="12">
        <f>IF(C1446="","",C1446*(1+B1446/100))</f>
        <v/>
      </c>
      <c r="E1446" s="12">
        <f>IF(A1446="","",$B$10*TAN(RADIANS(A1446)))</f>
        <v/>
      </c>
    </row>
    <row r="1447">
      <c r="A1447" s="11" t="n"/>
      <c r="B1447" s="11" t="n"/>
      <c r="C1447" s="12">
        <f>IF(A1447="","",$B$9*TAN(RADIANS(A1447)))</f>
        <v/>
      </c>
      <c r="D1447" s="12">
        <f>IF(C1447="","",C1447*(1+B1447/100))</f>
        <v/>
      </c>
      <c r="E1447" s="12">
        <f>IF(A1447="","",$B$10*TAN(RADIANS(A1447)))</f>
        <v/>
      </c>
    </row>
    <row r="1448">
      <c r="A1448" s="11" t="n"/>
      <c r="B1448" s="11" t="n"/>
      <c r="C1448" s="12">
        <f>IF(A1448="","",$B$9*TAN(RADIANS(A1448)))</f>
        <v/>
      </c>
      <c r="D1448" s="12">
        <f>IF(C1448="","",C1448*(1+B1448/100))</f>
        <v/>
      </c>
      <c r="E1448" s="12">
        <f>IF(A1448="","",$B$10*TAN(RADIANS(A1448)))</f>
        <v/>
      </c>
    </row>
    <row r="1449">
      <c r="A1449" s="11" t="n"/>
      <c r="B1449" s="11" t="n"/>
      <c r="C1449" s="12">
        <f>IF(A1449="","",$B$9*TAN(RADIANS(A1449)))</f>
        <v/>
      </c>
      <c r="D1449" s="12">
        <f>IF(C1449="","",C1449*(1+B1449/100))</f>
        <v/>
      </c>
      <c r="E1449" s="12">
        <f>IF(A1449="","",$B$10*TAN(RADIANS(A1449)))</f>
        <v/>
      </c>
    </row>
    <row r="1450">
      <c r="A1450" s="11" t="n"/>
      <c r="B1450" s="11" t="n"/>
      <c r="C1450" s="12">
        <f>IF(A1450="","",$B$9*TAN(RADIANS(A1450)))</f>
        <v/>
      </c>
      <c r="D1450" s="12">
        <f>IF(C1450="","",C1450*(1+B1450/100))</f>
        <v/>
      </c>
      <c r="E1450" s="12">
        <f>IF(A1450="","",$B$10*TAN(RADIANS(A1450)))</f>
        <v/>
      </c>
    </row>
    <row r="1451">
      <c r="A1451" s="11" t="n"/>
      <c r="B1451" s="11" t="n"/>
      <c r="C1451" s="12">
        <f>IF(A1451="","",$B$9*TAN(RADIANS(A1451)))</f>
        <v/>
      </c>
      <c r="D1451" s="12">
        <f>IF(C1451="","",C1451*(1+B1451/100))</f>
        <v/>
      </c>
      <c r="E1451" s="12">
        <f>IF(A1451="","",$B$10*TAN(RADIANS(A1451)))</f>
        <v/>
      </c>
    </row>
    <row r="1452">
      <c r="A1452" s="11" t="n"/>
      <c r="B1452" s="11" t="n"/>
      <c r="C1452" s="12">
        <f>IF(A1452="","",$B$9*TAN(RADIANS(A1452)))</f>
        <v/>
      </c>
      <c r="D1452" s="12">
        <f>IF(C1452="","",C1452*(1+B1452/100))</f>
        <v/>
      </c>
      <c r="E1452" s="12">
        <f>IF(A1452="","",$B$10*TAN(RADIANS(A1452)))</f>
        <v/>
      </c>
    </row>
    <row r="1453">
      <c r="A1453" s="11" t="n"/>
      <c r="B1453" s="11" t="n"/>
      <c r="C1453" s="12">
        <f>IF(A1453="","",$B$9*TAN(RADIANS(A1453)))</f>
        <v/>
      </c>
      <c r="D1453" s="12">
        <f>IF(C1453="","",C1453*(1+B1453/100))</f>
        <v/>
      </c>
      <c r="E1453" s="12">
        <f>IF(A1453="","",$B$10*TAN(RADIANS(A1453)))</f>
        <v/>
      </c>
    </row>
    <row r="1454">
      <c r="A1454" s="11" t="n"/>
      <c r="B1454" s="11" t="n"/>
      <c r="C1454" s="12">
        <f>IF(A1454="","",$B$9*TAN(RADIANS(A1454)))</f>
        <v/>
      </c>
      <c r="D1454" s="12">
        <f>IF(C1454="","",C1454*(1+B1454/100))</f>
        <v/>
      </c>
      <c r="E1454" s="12">
        <f>IF(A1454="","",$B$10*TAN(RADIANS(A1454)))</f>
        <v/>
      </c>
    </row>
    <row r="1455">
      <c r="A1455" s="11" t="n"/>
      <c r="B1455" s="11" t="n"/>
      <c r="C1455" s="12">
        <f>IF(A1455="","",$B$9*TAN(RADIANS(A1455)))</f>
        <v/>
      </c>
      <c r="D1455" s="12">
        <f>IF(C1455="","",C1455*(1+B1455/100))</f>
        <v/>
      </c>
      <c r="E1455" s="12">
        <f>IF(A1455="","",$B$10*TAN(RADIANS(A1455)))</f>
        <v/>
      </c>
    </row>
    <row r="1456">
      <c r="A1456" s="11" t="n"/>
      <c r="B1456" s="11" t="n"/>
      <c r="C1456" s="12">
        <f>IF(A1456="","",$B$9*TAN(RADIANS(A1456)))</f>
        <v/>
      </c>
      <c r="D1456" s="12">
        <f>IF(C1456="","",C1456*(1+B1456/100))</f>
        <v/>
      </c>
      <c r="E1456" s="12">
        <f>IF(A1456="","",$B$10*TAN(RADIANS(A1456)))</f>
        <v/>
      </c>
    </row>
    <row r="1457">
      <c r="A1457" s="11" t="n"/>
      <c r="B1457" s="11" t="n"/>
      <c r="C1457" s="12">
        <f>IF(A1457="","",$B$9*TAN(RADIANS(A1457)))</f>
        <v/>
      </c>
      <c r="D1457" s="12">
        <f>IF(C1457="","",C1457*(1+B1457/100))</f>
        <v/>
      </c>
      <c r="E1457" s="12">
        <f>IF(A1457="","",$B$10*TAN(RADIANS(A1457)))</f>
        <v/>
      </c>
    </row>
    <row r="1458">
      <c r="A1458" s="11" t="n"/>
      <c r="B1458" s="11" t="n"/>
      <c r="C1458" s="12">
        <f>IF(A1458="","",$B$9*TAN(RADIANS(A1458)))</f>
        <v/>
      </c>
      <c r="D1458" s="12">
        <f>IF(C1458="","",C1458*(1+B1458/100))</f>
        <v/>
      </c>
      <c r="E1458" s="12">
        <f>IF(A1458="","",$B$10*TAN(RADIANS(A1458)))</f>
        <v/>
      </c>
    </row>
    <row r="1459">
      <c r="A1459" s="11" t="n"/>
      <c r="B1459" s="11" t="n"/>
      <c r="C1459" s="12">
        <f>IF(A1459="","",$B$9*TAN(RADIANS(A1459)))</f>
        <v/>
      </c>
      <c r="D1459" s="12">
        <f>IF(C1459="","",C1459*(1+B1459/100))</f>
        <v/>
      </c>
      <c r="E1459" s="12">
        <f>IF(A1459="","",$B$10*TAN(RADIANS(A1459)))</f>
        <v/>
      </c>
    </row>
    <row r="1460">
      <c r="A1460" s="11" t="n"/>
      <c r="B1460" s="11" t="n"/>
      <c r="C1460" s="12">
        <f>IF(A1460="","",$B$9*TAN(RADIANS(A1460)))</f>
        <v/>
      </c>
      <c r="D1460" s="12">
        <f>IF(C1460="","",C1460*(1+B1460/100))</f>
        <v/>
      </c>
      <c r="E1460" s="12">
        <f>IF(A1460="","",$B$10*TAN(RADIANS(A1460)))</f>
        <v/>
      </c>
    </row>
    <row r="1461">
      <c r="A1461" s="11" t="n"/>
      <c r="B1461" s="11" t="n"/>
      <c r="C1461" s="12">
        <f>IF(A1461="","",$B$9*TAN(RADIANS(A1461)))</f>
        <v/>
      </c>
      <c r="D1461" s="12">
        <f>IF(C1461="","",C1461*(1+B1461/100))</f>
        <v/>
      </c>
      <c r="E1461" s="12">
        <f>IF(A1461="","",$B$10*TAN(RADIANS(A1461)))</f>
        <v/>
      </c>
    </row>
    <row r="1462">
      <c r="A1462" s="11" t="n"/>
      <c r="B1462" s="11" t="n"/>
      <c r="C1462" s="12">
        <f>IF(A1462="","",$B$9*TAN(RADIANS(A1462)))</f>
        <v/>
      </c>
      <c r="D1462" s="12">
        <f>IF(C1462="","",C1462*(1+B1462/100))</f>
        <v/>
      </c>
      <c r="E1462" s="12">
        <f>IF(A1462="","",$B$10*TAN(RADIANS(A1462)))</f>
        <v/>
      </c>
    </row>
    <row r="1463">
      <c r="A1463" s="11" t="n"/>
      <c r="B1463" s="11" t="n"/>
      <c r="C1463" s="12">
        <f>IF(A1463="","",$B$9*TAN(RADIANS(A1463)))</f>
        <v/>
      </c>
      <c r="D1463" s="12">
        <f>IF(C1463="","",C1463*(1+B1463/100))</f>
        <v/>
      </c>
      <c r="E1463" s="12">
        <f>IF(A1463="","",$B$10*TAN(RADIANS(A1463)))</f>
        <v/>
      </c>
    </row>
    <row r="1464">
      <c r="A1464" s="11" t="n"/>
      <c r="B1464" s="11" t="n"/>
      <c r="C1464" s="12">
        <f>IF(A1464="","",$B$9*TAN(RADIANS(A1464)))</f>
        <v/>
      </c>
      <c r="D1464" s="12">
        <f>IF(C1464="","",C1464*(1+B1464/100))</f>
        <v/>
      </c>
      <c r="E1464" s="12">
        <f>IF(A1464="","",$B$10*TAN(RADIANS(A1464)))</f>
        <v/>
      </c>
    </row>
    <row r="1465">
      <c r="A1465" s="11" t="n"/>
      <c r="B1465" s="11" t="n"/>
      <c r="C1465" s="12">
        <f>IF(A1465="","",$B$9*TAN(RADIANS(A1465)))</f>
        <v/>
      </c>
      <c r="D1465" s="12">
        <f>IF(C1465="","",C1465*(1+B1465/100))</f>
        <v/>
      </c>
      <c r="E1465" s="12">
        <f>IF(A1465="","",$B$10*TAN(RADIANS(A1465)))</f>
        <v/>
      </c>
    </row>
    <row r="1466">
      <c r="A1466" s="11" t="n"/>
      <c r="B1466" s="11" t="n"/>
      <c r="C1466" s="12">
        <f>IF(A1466="","",$B$9*TAN(RADIANS(A1466)))</f>
        <v/>
      </c>
      <c r="D1466" s="12">
        <f>IF(C1466="","",C1466*(1+B1466/100))</f>
        <v/>
      </c>
      <c r="E1466" s="12">
        <f>IF(A1466="","",$B$10*TAN(RADIANS(A1466)))</f>
        <v/>
      </c>
    </row>
    <row r="1467">
      <c r="A1467" s="11" t="n"/>
      <c r="B1467" s="11" t="n"/>
      <c r="C1467" s="12">
        <f>IF(A1467="","",$B$9*TAN(RADIANS(A1467)))</f>
        <v/>
      </c>
      <c r="D1467" s="12">
        <f>IF(C1467="","",C1467*(1+B1467/100))</f>
        <v/>
      </c>
      <c r="E1467" s="12">
        <f>IF(A1467="","",$B$10*TAN(RADIANS(A1467)))</f>
        <v/>
      </c>
    </row>
    <row r="1468">
      <c r="A1468" s="11" t="n"/>
      <c r="B1468" s="11" t="n"/>
      <c r="C1468" s="12">
        <f>IF(A1468="","",$B$9*TAN(RADIANS(A1468)))</f>
        <v/>
      </c>
      <c r="D1468" s="12">
        <f>IF(C1468="","",C1468*(1+B1468/100))</f>
        <v/>
      </c>
      <c r="E1468" s="12">
        <f>IF(A1468="","",$B$10*TAN(RADIANS(A1468)))</f>
        <v/>
      </c>
    </row>
    <row r="1469">
      <c r="A1469" s="11" t="n"/>
      <c r="B1469" s="11" t="n"/>
      <c r="C1469" s="12">
        <f>IF(A1469="","",$B$9*TAN(RADIANS(A1469)))</f>
        <v/>
      </c>
      <c r="D1469" s="12">
        <f>IF(C1469="","",C1469*(1+B1469/100))</f>
        <v/>
      </c>
      <c r="E1469" s="12">
        <f>IF(A1469="","",$B$10*TAN(RADIANS(A1469)))</f>
        <v/>
      </c>
    </row>
    <row r="1470">
      <c r="A1470" s="11" t="n"/>
      <c r="B1470" s="11" t="n"/>
      <c r="C1470" s="12">
        <f>IF(A1470="","",$B$9*TAN(RADIANS(A1470)))</f>
        <v/>
      </c>
      <c r="D1470" s="12">
        <f>IF(C1470="","",C1470*(1+B1470/100))</f>
        <v/>
      </c>
      <c r="E1470" s="12">
        <f>IF(A1470="","",$B$10*TAN(RADIANS(A1470)))</f>
        <v/>
      </c>
    </row>
    <row r="1471">
      <c r="A1471" s="11" t="n"/>
      <c r="B1471" s="11" t="n"/>
      <c r="C1471" s="12">
        <f>IF(A1471="","",$B$9*TAN(RADIANS(A1471)))</f>
        <v/>
      </c>
      <c r="D1471" s="12">
        <f>IF(C1471="","",C1471*(1+B1471/100))</f>
        <v/>
      </c>
      <c r="E1471" s="12">
        <f>IF(A1471="","",$B$10*TAN(RADIANS(A1471)))</f>
        <v/>
      </c>
    </row>
    <row r="1472">
      <c r="A1472" s="11" t="n"/>
      <c r="B1472" s="11" t="n"/>
      <c r="C1472" s="12">
        <f>IF(A1472="","",$B$9*TAN(RADIANS(A1472)))</f>
        <v/>
      </c>
      <c r="D1472" s="12">
        <f>IF(C1472="","",C1472*(1+B1472/100))</f>
        <v/>
      </c>
      <c r="E1472" s="12">
        <f>IF(A1472="","",$B$10*TAN(RADIANS(A1472)))</f>
        <v/>
      </c>
    </row>
    <row r="1473">
      <c r="A1473" s="11" t="n"/>
      <c r="B1473" s="11" t="n"/>
      <c r="C1473" s="12">
        <f>IF(A1473="","",$B$9*TAN(RADIANS(A1473)))</f>
        <v/>
      </c>
      <c r="D1473" s="12">
        <f>IF(C1473="","",C1473*(1+B1473/100))</f>
        <v/>
      </c>
      <c r="E1473" s="12">
        <f>IF(A1473="","",$B$10*TAN(RADIANS(A1473)))</f>
        <v/>
      </c>
    </row>
    <row r="1474">
      <c r="A1474" s="11" t="n"/>
      <c r="B1474" s="11" t="n"/>
      <c r="C1474" s="12">
        <f>IF(A1474="","",$B$9*TAN(RADIANS(A1474)))</f>
        <v/>
      </c>
      <c r="D1474" s="12">
        <f>IF(C1474="","",C1474*(1+B1474/100))</f>
        <v/>
      </c>
      <c r="E1474" s="12">
        <f>IF(A1474="","",$B$10*TAN(RADIANS(A1474)))</f>
        <v/>
      </c>
    </row>
    <row r="1475">
      <c r="A1475" s="11" t="n"/>
      <c r="B1475" s="11" t="n"/>
      <c r="C1475" s="12">
        <f>IF(A1475="","",$B$9*TAN(RADIANS(A1475)))</f>
        <v/>
      </c>
      <c r="D1475" s="12">
        <f>IF(C1475="","",C1475*(1+B1475/100))</f>
        <v/>
      </c>
      <c r="E1475" s="12">
        <f>IF(A1475="","",$B$10*TAN(RADIANS(A1475)))</f>
        <v/>
      </c>
    </row>
    <row r="1476">
      <c r="A1476" s="11" t="n"/>
      <c r="B1476" s="11" t="n"/>
      <c r="C1476" s="12">
        <f>IF(A1476="","",$B$9*TAN(RADIANS(A1476)))</f>
        <v/>
      </c>
      <c r="D1476" s="12">
        <f>IF(C1476="","",C1476*(1+B1476/100))</f>
        <v/>
      </c>
      <c r="E1476" s="12">
        <f>IF(A1476="","",$B$10*TAN(RADIANS(A1476)))</f>
        <v/>
      </c>
    </row>
    <row r="1477">
      <c r="A1477" s="11" t="n"/>
      <c r="B1477" s="11" t="n"/>
      <c r="C1477" s="12">
        <f>IF(A1477="","",$B$9*TAN(RADIANS(A1477)))</f>
        <v/>
      </c>
      <c r="D1477" s="12">
        <f>IF(C1477="","",C1477*(1+B1477/100))</f>
        <v/>
      </c>
      <c r="E1477" s="12">
        <f>IF(A1477="","",$B$10*TAN(RADIANS(A1477)))</f>
        <v/>
      </c>
    </row>
    <row r="1478">
      <c r="A1478" s="11" t="n"/>
      <c r="B1478" s="11" t="n"/>
      <c r="C1478" s="12">
        <f>IF(A1478="","",$B$9*TAN(RADIANS(A1478)))</f>
        <v/>
      </c>
      <c r="D1478" s="12">
        <f>IF(C1478="","",C1478*(1+B1478/100))</f>
        <v/>
      </c>
      <c r="E1478" s="12">
        <f>IF(A1478="","",$B$10*TAN(RADIANS(A1478)))</f>
        <v/>
      </c>
    </row>
    <row r="1479">
      <c r="A1479" s="11" t="n"/>
      <c r="B1479" s="11" t="n"/>
      <c r="C1479" s="12">
        <f>IF(A1479="","",$B$9*TAN(RADIANS(A1479)))</f>
        <v/>
      </c>
      <c r="D1479" s="12">
        <f>IF(C1479="","",C1479*(1+B1479/100))</f>
        <v/>
      </c>
      <c r="E1479" s="12">
        <f>IF(A1479="","",$B$10*TAN(RADIANS(A1479)))</f>
        <v/>
      </c>
    </row>
    <row r="1480">
      <c r="A1480" s="11" t="n"/>
      <c r="B1480" s="11" t="n"/>
      <c r="C1480" s="12">
        <f>IF(A1480="","",$B$9*TAN(RADIANS(A1480)))</f>
        <v/>
      </c>
      <c r="D1480" s="12">
        <f>IF(C1480="","",C1480*(1+B1480/100))</f>
        <v/>
      </c>
      <c r="E1480" s="12">
        <f>IF(A1480="","",$B$10*TAN(RADIANS(A1480)))</f>
        <v/>
      </c>
    </row>
    <row r="1481">
      <c r="A1481" s="11" t="n"/>
      <c r="B1481" s="11" t="n"/>
      <c r="C1481" s="12">
        <f>IF(A1481="","",$B$9*TAN(RADIANS(A1481)))</f>
        <v/>
      </c>
      <c r="D1481" s="12">
        <f>IF(C1481="","",C1481*(1+B1481/100))</f>
        <v/>
      </c>
      <c r="E1481" s="12">
        <f>IF(A1481="","",$B$10*TAN(RADIANS(A1481)))</f>
        <v/>
      </c>
    </row>
    <row r="1482">
      <c r="A1482" s="11" t="n"/>
      <c r="B1482" s="11" t="n"/>
      <c r="C1482" s="12">
        <f>IF(A1482="","",$B$9*TAN(RADIANS(A1482)))</f>
        <v/>
      </c>
      <c r="D1482" s="12">
        <f>IF(C1482="","",C1482*(1+B1482/100))</f>
        <v/>
      </c>
      <c r="E1482" s="12">
        <f>IF(A1482="","",$B$10*TAN(RADIANS(A1482)))</f>
        <v/>
      </c>
    </row>
    <row r="1483">
      <c r="A1483" s="11" t="n"/>
      <c r="B1483" s="11" t="n"/>
      <c r="C1483" s="12">
        <f>IF(A1483="","",$B$9*TAN(RADIANS(A1483)))</f>
        <v/>
      </c>
      <c r="D1483" s="12">
        <f>IF(C1483="","",C1483*(1+B1483/100))</f>
        <v/>
      </c>
      <c r="E1483" s="12">
        <f>IF(A1483="","",$B$10*TAN(RADIANS(A1483)))</f>
        <v/>
      </c>
    </row>
    <row r="1484">
      <c r="A1484" s="11" t="n"/>
      <c r="B1484" s="11" t="n"/>
      <c r="C1484" s="12">
        <f>IF(A1484="","",$B$9*TAN(RADIANS(A1484)))</f>
        <v/>
      </c>
      <c r="D1484" s="12">
        <f>IF(C1484="","",C1484*(1+B1484/100))</f>
        <v/>
      </c>
      <c r="E1484" s="12">
        <f>IF(A1484="","",$B$10*TAN(RADIANS(A1484)))</f>
        <v/>
      </c>
    </row>
    <row r="1485">
      <c r="A1485" s="11" t="n"/>
      <c r="B1485" s="11" t="n"/>
      <c r="C1485" s="12">
        <f>IF(A1485="","",$B$9*TAN(RADIANS(A1485)))</f>
        <v/>
      </c>
      <c r="D1485" s="12">
        <f>IF(C1485="","",C1485*(1+B1485/100))</f>
        <v/>
      </c>
      <c r="E1485" s="12">
        <f>IF(A1485="","",$B$10*TAN(RADIANS(A1485)))</f>
        <v/>
      </c>
    </row>
    <row r="1486">
      <c r="A1486" s="11" t="n"/>
      <c r="B1486" s="11" t="n"/>
      <c r="C1486" s="12">
        <f>IF(A1486="","",$B$9*TAN(RADIANS(A1486)))</f>
        <v/>
      </c>
      <c r="D1486" s="12">
        <f>IF(C1486="","",C1486*(1+B1486/100))</f>
        <v/>
      </c>
      <c r="E1486" s="12">
        <f>IF(A1486="","",$B$10*TAN(RADIANS(A1486)))</f>
        <v/>
      </c>
    </row>
    <row r="1487">
      <c r="A1487" s="11" t="n"/>
      <c r="B1487" s="11" t="n"/>
      <c r="C1487" s="12">
        <f>IF(A1487="","",$B$9*TAN(RADIANS(A1487)))</f>
        <v/>
      </c>
      <c r="D1487" s="12">
        <f>IF(C1487="","",C1487*(1+B1487/100))</f>
        <v/>
      </c>
      <c r="E1487" s="12">
        <f>IF(A1487="","",$B$10*TAN(RADIANS(A1487)))</f>
        <v/>
      </c>
    </row>
    <row r="1488">
      <c r="A1488" s="11" t="n"/>
      <c r="B1488" s="11" t="n"/>
      <c r="C1488" s="12">
        <f>IF(A1488="","",$B$9*TAN(RADIANS(A1488)))</f>
        <v/>
      </c>
      <c r="D1488" s="12">
        <f>IF(C1488="","",C1488*(1+B1488/100))</f>
        <v/>
      </c>
      <c r="E1488" s="12">
        <f>IF(A1488="","",$B$10*TAN(RADIANS(A1488)))</f>
        <v/>
      </c>
    </row>
    <row r="1489">
      <c r="A1489" s="11" t="n"/>
      <c r="B1489" s="11" t="n"/>
      <c r="C1489" s="12">
        <f>IF(A1489="","",$B$9*TAN(RADIANS(A1489)))</f>
        <v/>
      </c>
      <c r="D1489" s="12">
        <f>IF(C1489="","",C1489*(1+B1489/100))</f>
        <v/>
      </c>
      <c r="E1489" s="12">
        <f>IF(A1489="","",$B$10*TAN(RADIANS(A1489)))</f>
        <v/>
      </c>
    </row>
    <row r="1490">
      <c r="A1490" s="11" t="n"/>
      <c r="B1490" s="11" t="n"/>
      <c r="C1490" s="12">
        <f>IF(A1490="","",$B$9*TAN(RADIANS(A1490)))</f>
        <v/>
      </c>
      <c r="D1490" s="12">
        <f>IF(C1490="","",C1490*(1+B1490/100))</f>
        <v/>
      </c>
      <c r="E1490" s="12">
        <f>IF(A1490="","",$B$10*TAN(RADIANS(A1490)))</f>
        <v/>
      </c>
    </row>
    <row r="1491">
      <c r="A1491" s="11" t="n"/>
      <c r="B1491" s="11" t="n"/>
      <c r="C1491" s="12">
        <f>IF(A1491="","",$B$9*TAN(RADIANS(A1491)))</f>
        <v/>
      </c>
      <c r="D1491" s="12">
        <f>IF(C1491="","",C1491*(1+B1491/100))</f>
        <v/>
      </c>
      <c r="E1491" s="12">
        <f>IF(A1491="","",$B$10*TAN(RADIANS(A1491)))</f>
        <v/>
      </c>
    </row>
    <row r="1492">
      <c r="A1492" s="11" t="n"/>
      <c r="B1492" s="11" t="n"/>
      <c r="C1492" s="12">
        <f>IF(A1492="","",$B$9*TAN(RADIANS(A1492)))</f>
        <v/>
      </c>
      <c r="D1492" s="12">
        <f>IF(C1492="","",C1492*(1+B1492/100))</f>
        <v/>
      </c>
      <c r="E1492" s="12">
        <f>IF(A1492="","",$B$10*TAN(RADIANS(A1492)))</f>
        <v/>
      </c>
    </row>
    <row r="1493">
      <c r="A1493" s="11" t="n"/>
      <c r="B1493" s="11" t="n"/>
      <c r="C1493" s="12">
        <f>IF(A1493="","",$B$9*TAN(RADIANS(A1493)))</f>
        <v/>
      </c>
      <c r="D1493" s="12">
        <f>IF(C1493="","",C1493*(1+B1493/100))</f>
        <v/>
      </c>
      <c r="E1493" s="12">
        <f>IF(A1493="","",$B$10*TAN(RADIANS(A1493)))</f>
        <v/>
      </c>
    </row>
    <row r="1494">
      <c r="A1494" s="11" t="n"/>
      <c r="B1494" s="11" t="n"/>
      <c r="C1494" s="12">
        <f>IF(A1494="","",$B$9*TAN(RADIANS(A1494)))</f>
        <v/>
      </c>
      <c r="D1494" s="12">
        <f>IF(C1494="","",C1494*(1+B1494/100))</f>
        <v/>
      </c>
      <c r="E1494" s="12">
        <f>IF(A1494="","",$B$10*TAN(RADIANS(A1494)))</f>
        <v/>
      </c>
    </row>
    <row r="1495">
      <c r="A1495" s="11" t="n"/>
      <c r="B1495" s="11" t="n"/>
      <c r="C1495" s="12">
        <f>IF(A1495="","",$B$9*TAN(RADIANS(A1495)))</f>
        <v/>
      </c>
      <c r="D1495" s="12">
        <f>IF(C1495="","",C1495*(1+B1495/100))</f>
        <v/>
      </c>
      <c r="E1495" s="12">
        <f>IF(A1495="","",$B$10*TAN(RADIANS(A1495)))</f>
        <v/>
      </c>
    </row>
    <row r="1496">
      <c r="A1496" s="11" t="n"/>
      <c r="B1496" s="11" t="n"/>
      <c r="C1496" s="12">
        <f>IF(A1496="","",$B$9*TAN(RADIANS(A1496)))</f>
        <v/>
      </c>
      <c r="D1496" s="12">
        <f>IF(C1496="","",C1496*(1+B1496/100))</f>
        <v/>
      </c>
      <c r="E1496" s="12">
        <f>IF(A1496="","",$B$10*TAN(RADIANS(A1496)))</f>
        <v/>
      </c>
    </row>
    <row r="1497">
      <c r="A1497" s="11" t="n"/>
      <c r="B1497" s="11" t="n"/>
      <c r="C1497" s="12">
        <f>IF(A1497="","",$B$9*TAN(RADIANS(A1497)))</f>
        <v/>
      </c>
      <c r="D1497" s="12">
        <f>IF(C1497="","",C1497*(1+B1497/100))</f>
        <v/>
      </c>
      <c r="E1497" s="12">
        <f>IF(A1497="","",$B$10*TAN(RADIANS(A1497)))</f>
        <v/>
      </c>
    </row>
    <row r="1498">
      <c r="A1498" s="11" t="n"/>
      <c r="B1498" s="11" t="n"/>
      <c r="C1498" s="12">
        <f>IF(A1498="","",$B$9*TAN(RADIANS(A1498)))</f>
        <v/>
      </c>
      <c r="D1498" s="12">
        <f>IF(C1498="","",C1498*(1+B1498/100))</f>
        <v/>
      </c>
      <c r="E1498" s="12">
        <f>IF(A1498="","",$B$10*TAN(RADIANS(A1498)))</f>
        <v/>
      </c>
    </row>
    <row r="1499">
      <c r="A1499" s="11" t="n"/>
      <c r="B1499" s="11" t="n"/>
      <c r="C1499" s="12">
        <f>IF(A1499="","",$B$9*TAN(RADIANS(A1499)))</f>
        <v/>
      </c>
      <c r="D1499" s="12">
        <f>IF(C1499="","",C1499*(1+B1499/100))</f>
        <v/>
      </c>
      <c r="E1499" s="12">
        <f>IF(A1499="","",$B$10*TAN(RADIANS(A1499)))</f>
        <v/>
      </c>
    </row>
    <row r="1500">
      <c r="A1500" s="11" t="n"/>
      <c r="B1500" s="11" t="n"/>
      <c r="C1500" s="12">
        <f>IF(A1500="","",$B$9*TAN(RADIANS(A1500)))</f>
        <v/>
      </c>
      <c r="D1500" s="12">
        <f>IF(C1500="","",C1500*(1+B1500/100))</f>
        <v/>
      </c>
      <c r="E1500" s="12">
        <f>IF(A1500="","",$B$10*TAN(RADIANS(A1500)))</f>
        <v/>
      </c>
    </row>
    <row r="1501">
      <c r="A1501" s="11" t="n"/>
      <c r="B1501" s="11" t="n"/>
      <c r="C1501" s="12">
        <f>IF(A1501="","",$B$9*TAN(RADIANS(A1501)))</f>
        <v/>
      </c>
      <c r="D1501" s="12">
        <f>IF(C1501="","",C1501*(1+B1501/100))</f>
        <v/>
      </c>
      <c r="E1501" s="12">
        <f>IF(A1501="","",$B$10*TAN(RADIANS(A1501)))</f>
        <v/>
      </c>
    </row>
    <row r="1502">
      <c r="A1502" s="11" t="n"/>
      <c r="B1502" s="11" t="n"/>
      <c r="C1502" s="12">
        <f>IF(A1502="","",$B$9*TAN(RADIANS(A1502)))</f>
        <v/>
      </c>
      <c r="D1502" s="12">
        <f>IF(C1502="","",C1502*(1+B1502/100))</f>
        <v/>
      </c>
      <c r="E1502" s="12">
        <f>IF(A1502="","",$B$10*TAN(RADIANS(A1502)))</f>
        <v/>
      </c>
    </row>
    <row r="1503">
      <c r="A1503" s="11" t="n"/>
      <c r="B1503" s="11" t="n"/>
      <c r="C1503" s="12">
        <f>IF(A1503="","",$B$9*TAN(RADIANS(A1503)))</f>
        <v/>
      </c>
      <c r="D1503" s="12">
        <f>IF(C1503="","",C1503*(1+B1503/100))</f>
        <v/>
      </c>
      <c r="E1503" s="12">
        <f>IF(A1503="","",$B$10*TAN(RADIANS(A1503)))</f>
        <v/>
      </c>
    </row>
    <row r="1504">
      <c r="A1504" s="11" t="n"/>
      <c r="B1504" s="11" t="n"/>
      <c r="C1504" s="12">
        <f>IF(A1504="","",$B$9*TAN(RADIANS(A1504)))</f>
        <v/>
      </c>
      <c r="D1504" s="12">
        <f>IF(C1504="","",C1504*(1+B1504/100))</f>
        <v/>
      </c>
      <c r="E1504" s="12">
        <f>IF(A1504="","",$B$10*TAN(RADIANS(A1504)))</f>
        <v/>
      </c>
    </row>
    <row r="1505">
      <c r="A1505" s="11" t="n"/>
      <c r="B1505" s="11" t="n"/>
      <c r="C1505" s="12">
        <f>IF(A1505="","",$B$9*TAN(RADIANS(A1505)))</f>
        <v/>
      </c>
      <c r="D1505" s="12">
        <f>IF(C1505="","",C1505*(1+B1505/100))</f>
        <v/>
      </c>
      <c r="E1505" s="12">
        <f>IF(A1505="","",$B$10*TAN(RADIANS(A1505)))</f>
        <v/>
      </c>
    </row>
    <row r="1506">
      <c r="A1506" s="11" t="n"/>
      <c r="B1506" s="11" t="n"/>
      <c r="C1506" s="12">
        <f>IF(A1506="","",$B$9*TAN(RADIANS(A1506)))</f>
        <v/>
      </c>
      <c r="D1506" s="12">
        <f>IF(C1506="","",C1506*(1+B1506/100))</f>
        <v/>
      </c>
      <c r="E1506" s="12">
        <f>IF(A1506="","",$B$10*TAN(RADIANS(A1506)))</f>
        <v/>
      </c>
    </row>
    <row r="1507">
      <c r="A1507" s="11" t="n"/>
      <c r="B1507" s="11" t="n"/>
      <c r="C1507" s="12">
        <f>IF(A1507="","",$B$9*TAN(RADIANS(A1507)))</f>
        <v/>
      </c>
      <c r="D1507" s="12">
        <f>IF(C1507="","",C1507*(1+B1507/100))</f>
        <v/>
      </c>
      <c r="E1507" s="12">
        <f>IF(A1507="","",$B$10*TAN(RADIANS(A1507)))</f>
        <v/>
      </c>
    </row>
    <row r="1508">
      <c r="A1508" s="11" t="n"/>
      <c r="B1508" s="11" t="n"/>
      <c r="C1508" s="12">
        <f>IF(A1508="","",$B$9*TAN(RADIANS(A1508)))</f>
        <v/>
      </c>
      <c r="D1508" s="12">
        <f>IF(C1508="","",C1508*(1+B1508/100))</f>
        <v/>
      </c>
      <c r="E1508" s="12">
        <f>IF(A1508="","",$B$10*TAN(RADIANS(A1508)))</f>
        <v/>
      </c>
    </row>
    <row r="1509">
      <c r="A1509" s="11" t="n"/>
      <c r="B1509" s="11" t="n"/>
      <c r="C1509" s="12">
        <f>IF(A1509="","",$B$9*TAN(RADIANS(A1509)))</f>
        <v/>
      </c>
      <c r="D1509" s="12">
        <f>IF(C1509="","",C1509*(1+B1509/100))</f>
        <v/>
      </c>
      <c r="E1509" s="12">
        <f>IF(A1509="","",$B$10*TAN(RADIANS(A1509)))</f>
        <v/>
      </c>
    </row>
    <row r="1510">
      <c r="A1510" s="11" t="n"/>
      <c r="B1510" s="11" t="n"/>
      <c r="C1510" s="12">
        <f>IF(A1510="","",$B$9*TAN(RADIANS(A1510)))</f>
        <v/>
      </c>
      <c r="D1510" s="12">
        <f>IF(C1510="","",C1510*(1+B1510/100))</f>
        <v/>
      </c>
      <c r="E1510" s="12">
        <f>IF(A1510="","",$B$10*TAN(RADIANS(A1510)))</f>
        <v/>
      </c>
    </row>
    <row r="1511">
      <c r="A1511" s="11" t="n"/>
      <c r="B1511" s="11" t="n"/>
      <c r="C1511" s="12">
        <f>IF(A1511="","",$B$9*TAN(RADIANS(A1511)))</f>
        <v/>
      </c>
      <c r="D1511" s="12">
        <f>IF(C1511="","",C1511*(1+B1511/100))</f>
        <v/>
      </c>
      <c r="E1511" s="12">
        <f>IF(A1511="","",$B$10*TAN(RADIANS(A1511)))</f>
        <v/>
      </c>
    </row>
    <row r="1512">
      <c r="A1512" s="11" t="n"/>
      <c r="B1512" s="11" t="n"/>
      <c r="C1512" s="12">
        <f>IF(A1512="","",$B$9*TAN(RADIANS(A1512)))</f>
        <v/>
      </c>
      <c r="D1512" s="12">
        <f>IF(C1512="","",C1512*(1+B1512/100))</f>
        <v/>
      </c>
      <c r="E1512" s="12">
        <f>IF(A1512="","",$B$10*TAN(RADIANS(A1512)))</f>
        <v/>
      </c>
    </row>
    <row r="1513">
      <c r="A1513" s="11" t="n"/>
      <c r="B1513" s="11" t="n"/>
      <c r="C1513" s="12">
        <f>IF(A1513="","",$B$9*TAN(RADIANS(A1513)))</f>
        <v/>
      </c>
      <c r="D1513" s="12">
        <f>IF(C1513="","",C1513*(1+B1513/100))</f>
        <v/>
      </c>
      <c r="E1513" s="12">
        <f>IF(A1513="","",$B$10*TAN(RADIANS(A1513)))</f>
        <v/>
      </c>
    </row>
    <row r="1514">
      <c r="A1514" s="11" t="n"/>
      <c r="B1514" s="11" t="n"/>
      <c r="C1514" s="12">
        <f>IF(A1514="","",$B$9*TAN(RADIANS(A1514)))</f>
        <v/>
      </c>
      <c r="D1514" s="12">
        <f>IF(C1514="","",C1514*(1+B1514/100))</f>
        <v/>
      </c>
      <c r="E1514" s="12">
        <f>IF(A1514="","",$B$10*TAN(RADIANS(A1514)))</f>
        <v/>
      </c>
    </row>
    <row r="1515">
      <c r="A1515" s="11" t="n"/>
      <c r="B1515" s="11" t="n"/>
      <c r="C1515" s="12">
        <f>IF(A1515="","",$B$9*TAN(RADIANS(A1515)))</f>
        <v/>
      </c>
      <c r="D1515" s="12">
        <f>IF(C1515="","",C1515*(1+B1515/100))</f>
        <v/>
      </c>
      <c r="E1515" s="12">
        <f>IF(A1515="","",$B$10*TAN(RADIANS(A1515)))</f>
        <v/>
      </c>
    </row>
    <row r="1516">
      <c r="A1516" s="11" t="n"/>
      <c r="B1516" s="11" t="n"/>
      <c r="C1516" s="12">
        <f>IF(A1516="","",$B$9*TAN(RADIANS(A1516)))</f>
        <v/>
      </c>
      <c r="D1516" s="12">
        <f>IF(C1516="","",C1516*(1+B1516/100))</f>
        <v/>
      </c>
      <c r="E1516" s="12">
        <f>IF(A1516="","",$B$10*TAN(RADIANS(A1516)))</f>
        <v/>
      </c>
    </row>
    <row r="1517">
      <c r="A1517" s="11" t="n"/>
      <c r="B1517" s="11" t="n"/>
      <c r="C1517" s="12">
        <f>IF(A1517="","",$B$9*TAN(RADIANS(A1517)))</f>
        <v/>
      </c>
      <c r="D1517" s="12">
        <f>IF(C1517="","",C1517*(1+B1517/100))</f>
        <v/>
      </c>
      <c r="E1517" s="12">
        <f>IF(A1517="","",$B$10*TAN(RADIANS(A1517)))</f>
        <v/>
      </c>
    </row>
    <row r="1518">
      <c r="A1518" s="11" t="n"/>
      <c r="B1518" s="11" t="n"/>
      <c r="C1518" s="12">
        <f>IF(A1518="","",$B$9*TAN(RADIANS(A1518)))</f>
        <v/>
      </c>
      <c r="D1518" s="12">
        <f>IF(C1518="","",C1518*(1+B1518/100))</f>
        <v/>
      </c>
      <c r="E1518" s="12">
        <f>IF(A1518="","",$B$10*TAN(RADIANS(A1518)))</f>
        <v/>
      </c>
    </row>
    <row r="1519">
      <c r="A1519" s="11" t="n"/>
      <c r="B1519" s="11" t="n"/>
      <c r="C1519" s="12">
        <f>IF(A1519="","",$B$9*TAN(RADIANS(A1519)))</f>
        <v/>
      </c>
      <c r="D1519" s="12">
        <f>IF(C1519="","",C1519*(1+B1519/100))</f>
        <v/>
      </c>
      <c r="E1519" s="12">
        <f>IF(A1519="","",$B$10*TAN(RADIANS(A1519)))</f>
        <v/>
      </c>
    </row>
    <row r="1520">
      <c r="A1520" s="11" t="n"/>
      <c r="B1520" s="11" t="n"/>
      <c r="C1520" s="12">
        <f>IF(A1520="","",$B$9*TAN(RADIANS(A1520)))</f>
        <v/>
      </c>
      <c r="D1520" s="12">
        <f>IF(C1520="","",C1520*(1+B1520/100))</f>
        <v/>
      </c>
      <c r="E1520" s="12">
        <f>IF(A1520="","",$B$10*TAN(RADIANS(A1520)))</f>
        <v/>
      </c>
    </row>
    <row r="1521">
      <c r="A1521" s="11" t="n"/>
      <c r="B1521" s="11" t="n"/>
      <c r="C1521" s="12">
        <f>IF(A1521="","",$B$9*TAN(RADIANS(A1521)))</f>
        <v/>
      </c>
      <c r="D1521" s="12">
        <f>IF(C1521="","",C1521*(1+B1521/100))</f>
        <v/>
      </c>
      <c r="E1521" s="12">
        <f>IF(A1521="","",$B$10*TAN(RADIANS(A1521)))</f>
        <v/>
      </c>
    </row>
    <row r="1522">
      <c r="A1522" s="11" t="n"/>
      <c r="B1522" s="11" t="n"/>
      <c r="C1522" s="12">
        <f>IF(A1522="","",$B$9*TAN(RADIANS(A1522)))</f>
        <v/>
      </c>
      <c r="D1522" s="12">
        <f>IF(C1522="","",C1522*(1+B1522/100))</f>
        <v/>
      </c>
      <c r="E1522" s="12">
        <f>IF(A1522="","",$B$10*TAN(RADIANS(A1522)))</f>
        <v/>
      </c>
    </row>
    <row r="1523">
      <c r="A1523" s="11" t="n"/>
      <c r="B1523" s="11" t="n"/>
      <c r="C1523" s="12">
        <f>IF(A1523="","",$B$9*TAN(RADIANS(A1523)))</f>
        <v/>
      </c>
      <c r="D1523" s="12">
        <f>IF(C1523="","",C1523*(1+B1523/100))</f>
        <v/>
      </c>
      <c r="E1523" s="12">
        <f>IF(A1523="","",$B$10*TAN(RADIANS(A1523)))</f>
        <v/>
      </c>
    </row>
    <row r="1524">
      <c r="A1524" s="11" t="n"/>
      <c r="B1524" s="11" t="n"/>
      <c r="C1524" s="12">
        <f>IF(A1524="","",$B$9*TAN(RADIANS(A1524)))</f>
        <v/>
      </c>
      <c r="D1524" s="12">
        <f>IF(C1524="","",C1524*(1+B1524/100))</f>
        <v/>
      </c>
      <c r="E1524" s="12">
        <f>IF(A1524="","",$B$10*TAN(RADIANS(A1524)))</f>
        <v/>
      </c>
    </row>
    <row r="1525">
      <c r="A1525" s="11" t="n"/>
      <c r="B1525" s="11" t="n"/>
      <c r="C1525" s="12">
        <f>IF(A1525="","",$B$9*TAN(RADIANS(A1525)))</f>
        <v/>
      </c>
      <c r="D1525" s="12">
        <f>IF(C1525="","",C1525*(1+B1525/100))</f>
        <v/>
      </c>
      <c r="E1525" s="12">
        <f>IF(A1525="","",$B$10*TAN(RADIANS(A1525)))</f>
        <v/>
      </c>
    </row>
    <row r="1526">
      <c r="A1526" s="11" t="n"/>
      <c r="B1526" s="11" t="n"/>
      <c r="C1526" s="12">
        <f>IF(A1526="","",$B$9*TAN(RADIANS(A1526)))</f>
        <v/>
      </c>
      <c r="D1526" s="12">
        <f>IF(C1526="","",C1526*(1+B1526/100))</f>
        <v/>
      </c>
      <c r="E1526" s="12">
        <f>IF(A1526="","",$B$10*TAN(RADIANS(A1526)))</f>
        <v/>
      </c>
    </row>
    <row r="1527">
      <c r="A1527" s="11" t="n"/>
      <c r="B1527" s="11" t="n"/>
      <c r="C1527" s="12">
        <f>IF(A1527="","",$B$9*TAN(RADIANS(A1527)))</f>
        <v/>
      </c>
      <c r="D1527" s="12">
        <f>IF(C1527="","",C1527*(1+B1527/100))</f>
        <v/>
      </c>
      <c r="E1527" s="12">
        <f>IF(A1527="","",$B$10*TAN(RADIANS(A1527)))</f>
        <v/>
      </c>
    </row>
    <row r="1528">
      <c r="A1528" s="11" t="n"/>
      <c r="B1528" s="11" t="n"/>
      <c r="C1528" s="12">
        <f>IF(A1528="","",$B$9*TAN(RADIANS(A1528)))</f>
        <v/>
      </c>
      <c r="D1528" s="12">
        <f>IF(C1528="","",C1528*(1+B1528/100))</f>
        <v/>
      </c>
      <c r="E1528" s="12">
        <f>IF(A1528="","",$B$10*TAN(RADIANS(A1528)))</f>
        <v/>
      </c>
    </row>
    <row r="1529">
      <c r="A1529" s="11" t="n"/>
      <c r="B1529" s="11" t="n"/>
      <c r="C1529" s="12">
        <f>IF(A1529="","",$B$9*TAN(RADIANS(A1529)))</f>
        <v/>
      </c>
      <c r="D1529" s="12">
        <f>IF(C1529="","",C1529*(1+B1529/100))</f>
        <v/>
      </c>
      <c r="E1529" s="12">
        <f>IF(A1529="","",$B$10*TAN(RADIANS(A1529)))</f>
        <v/>
      </c>
    </row>
    <row r="1530">
      <c r="A1530" s="11" t="n"/>
      <c r="B1530" s="11" t="n"/>
      <c r="C1530" s="12">
        <f>IF(A1530="","",$B$9*TAN(RADIANS(A1530)))</f>
        <v/>
      </c>
      <c r="D1530" s="12">
        <f>IF(C1530="","",C1530*(1+B1530/100))</f>
        <v/>
      </c>
      <c r="E1530" s="12">
        <f>IF(A1530="","",$B$10*TAN(RADIANS(A1530)))</f>
        <v/>
      </c>
    </row>
    <row r="1531">
      <c r="A1531" s="11" t="n"/>
      <c r="B1531" s="11" t="n"/>
      <c r="C1531" s="12">
        <f>IF(A1531="","",$B$9*TAN(RADIANS(A1531)))</f>
        <v/>
      </c>
      <c r="D1531" s="12">
        <f>IF(C1531="","",C1531*(1+B1531/100))</f>
        <v/>
      </c>
      <c r="E1531" s="12">
        <f>IF(A1531="","",$B$10*TAN(RADIANS(A1531)))</f>
        <v/>
      </c>
    </row>
    <row r="1532">
      <c r="A1532" s="11" t="n"/>
      <c r="B1532" s="11" t="n"/>
      <c r="C1532" s="12">
        <f>IF(A1532="","",$B$9*TAN(RADIANS(A1532)))</f>
        <v/>
      </c>
      <c r="D1532" s="12">
        <f>IF(C1532="","",C1532*(1+B1532/100))</f>
        <v/>
      </c>
      <c r="E1532" s="12">
        <f>IF(A1532="","",$B$10*TAN(RADIANS(A1532)))</f>
        <v/>
      </c>
    </row>
    <row r="1533">
      <c r="A1533" s="11" t="n"/>
      <c r="B1533" s="11" t="n"/>
      <c r="C1533" s="12">
        <f>IF(A1533="","",$B$9*TAN(RADIANS(A1533)))</f>
        <v/>
      </c>
      <c r="D1533" s="12">
        <f>IF(C1533="","",C1533*(1+B1533/100))</f>
        <v/>
      </c>
      <c r="E1533" s="12">
        <f>IF(A1533="","",$B$10*TAN(RADIANS(A1533)))</f>
        <v/>
      </c>
    </row>
    <row r="1534">
      <c r="A1534" s="11" t="n"/>
      <c r="B1534" s="11" t="n"/>
      <c r="C1534" s="12">
        <f>IF(A1534="","",$B$9*TAN(RADIANS(A1534)))</f>
        <v/>
      </c>
      <c r="D1534" s="12">
        <f>IF(C1534="","",C1534*(1+B1534/100))</f>
        <v/>
      </c>
      <c r="E1534" s="12">
        <f>IF(A1534="","",$B$10*TAN(RADIANS(A1534)))</f>
        <v/>
      </c>
    </row>
    <row r="1535">
      <c r="A1535" s="11" t="n"/>
      <c r="B1535" s="11" t="n"/>
      <c r="C1535" s="12">
        <f>IF(A1535="","",$B$9*TAN(RADIANS(A1535)))</f>
        <v/>
      </c>
      <c r="D1535" s="12">
        <f>IF(C1535="","",C1535*(1+B1535/100))</f>
        <v/>
      </c>
      <c r="E1535" s="12">
        <f>IF(A1535="","",$B$10*TAN(RADIANS(A1535)))</f>
        <v/>
      </c>
    </row>
    <row r="1536">
      <c r="A1536" s="11" t="n"/>
      <c r="B1536" s="11" t="n"/>
      <c r="C1536" s="12">
        <f>IF(A1536="","",$B$9*TAN(RADIANS(A1536)))</f>
        <v/>
      </c>
      <c r="D1536" s="12">
        <f>IF(C1536="","",C1536*(1+B1536/100))</f>
        <v/>
      </c>
      <c r="E1536" s="12">
        <f>IF(A1536="","",$B$10*TAN(RADIANS(A1536)))</f>
        <v/>
      </c>
    </row>
    <row r="1537">
      <c r="A1537" s="11" t="n"/>
      <c r="B1537" s="11" t="n"/>
      <c r="C1537" s="12">
        <f>IF(A1537="","",$B$9*TAN(RADIANS(A1537)))</f>
        <v/>
      </c>
      <c r="D1537" s="12">
        <f>IF(C1537="","",C1537*(1+B1537/100))</f>
        <v/>
      </c>
      <c r="E1537" s="12">
        <f>IF(A1537="","",$B$10*TAN(RADIANS(A1537)))</f>
        <v/>
      </c>
    </row>
    <row r="1538">
      <c r="A1538" s="11" t="n"/>
      <c r="B1538" s="11" t="n"/>
      <c r="C1538" s="12">
        <f>IF(A1538="","",$B$9*TAN(RADIANS(A1538)))</f>
        <v/>
      </c>
      <c r="D1538" s="12">
        <f>IF(C1538="","",C1538*(1+B1538/100))</f>
        <v/>
      </c>
      <c r="E1538" s="12">
        <f>IF(A1538="","",$B$10*TAN(RADIANS(A1538)))</f>
        <v/>
      </c>
    </row>
    <row r="1539">
      <c r="A1539" s="11" t="n"/>
      <c r="B1539" s="11" t="n"/>
      <c r="C1539" s="12">
        <f>IF(A1539="","",$B$9*TAN(RADIANS(A1539)))</f>
        <v/>
      </c>
      <c r="D1539" s="12">
        <f>IF(C1539="","",C1539*(1+B1539/100))</f>
        <v/>
      </c>
      <c r="E1539" s="12">
        <f>IF(A1539="","",$B$10*TAN(RADIANS(A1539)))</f>
        <v/>
      </c>
    </row>
    <row r="1540">
      <c r="A1540" s="11" t="n"/>
      <c r="B1540" s="11" t="n"/>
      <c r="C1540" s="12">
        <f>IF(A1540="","",$B$9*TAN(RADIANS(A1540)))</f>
        <v/>
      </c>
      <c r="D1540" s="12">
        <f>IF(C1540="","",C1540*(1+B1540/100))</f>
        <v/>
      </c>
      <c r="E1540" s="12">
        <f>IF(A1540="","",$B$10*TAN(RADIANS(A1540)))</f>
        <v/>
      </c>
    </row>
    <row r="1541">
      <c r="A1541" s="11" t="n"/>
      <c r="B1541" s="11" t="n"/>
      <c r="C1541" s="12">
        <f>IF(A1541="","",$B$9*TAN(RADIANS(A1541)))</f>
        <v/>
      </c>
      <c r="D1541" s="12">
        <f>IF(C1541="","",C1541*(1+B1541/100))</f>
        <v/>
      </c>
      <c r="E1541" s="12">
        <f>IF(A1541="","",$B$10*TAN(RADIANS(A1541)))</f>
        <v/>
      </c>
    </row>
    <row r="1542">
      <c r="A1542" s="11" t="n"/>
      <c r="B1542" s="11" t="n"/>
      <c r="C1542" s="12">
        <f>IF(A1542="","",$B$9*TAN(RADIANS(A1542)))</f>
        <v/>
      </c>
      <c r="D1542" s="12">
        <f>IF(C1542="","",C1542*(1+B1542/100))</f>
        <v/>
      </c>
      <c r="E1542" s="12">
        <f>IF(A1542="","",$B$10*TAN(RADIANS(A1542)))</f>
        <v/>
      </c>
    </row>
    <row r="1543">
      <c r="A1543" s="11" t="n"/>
      <c r="B1543" s="11" t="n"/>
      <c r="C1543" s="12">
        <f>IF(A1543="","",$B$9*TAN(RADIANS(A1543)))</f>
        <v/>
      </c>
      <c r="D1543" s="12">
        <f>IF(C1543="","",C1543*(1+B1543/100))</f>
        <v/>
      </c>
      <c r="E1543" s="12">
        <f>IF(A1543="","",$B$10*TAN(RADIANS(A1543)))</f>
        <v/>
      </c>
    </row>
    <row r="1544">
      <c r="A1544" s="11" t="n"/>
      <c r="B1544" s="11" t="n"/>
      <c r="C1544" s="12">
        <f>IF(A1544="","",$B$9*TAN(RADIANS(A1544)))</f>
        <v/>
      </c>
      <c r="D1544" s="12">
        <f>IF(C1544="","",C1544*(1+B1544/100))</f>
        <v/>
      </c>
      <c r="E1544" s="12">
        <f>IF(A1544="","",$B$10*TAN(RADIANS(A1544)))</f>
        <v/>
      </c>
    </row>
    <row r="1545">
      <c r="A1545" s="11" t="n"/>
      <c r="B1545" s="11" t="n"/>
      <c r="C1545" s="12">
        <f>IF(A1545="","",$B$9*TAN(RADIANS(A1545)))</f>
        <v/>
      </c>
      <c r="D1545" s="12">
        <f>IF(C1545="","",C1545*(1+B1545/100))</f>
        <v/>
      </c>
      <c r="E1545" s="12">
        <f>IF(A1545="","",$B$10*TAN(RADIANS(A1545)))</f>
        <v/>
      </c>
    </row>
    <row r="1546">
      <c r="A1546" s="11" t="n"/>
      <c r="B1546" s="11" t="n"/>
      <c r="C1546" s="12">
        <f>IF(A1546="","",$B$9*TAN(RADIANS(A1546)))</f>
        <v/>
      </c>
      <c r="D1546" s="12">
        <f>IF(C1546="","",C1546*(1+B1546/100))</f>
        <v/>
      </c>
      <c r="E1546" s="12">
        <f>IF(A1546="","",$B$10*TAN(RADIANS(A1546)))</f>
        <v/>
      </c>
    </row>
    <row r="1547">
      <c r="A1547" s="11" t="n"/>
      <c r="B1547" s="11" t="n"/>
      <c r="C1547" s="12">
        <f>IF(A1547="","",$B$9*TAN(RADIANS(A1547)))</f>
        <v/>
      </c>
      <c r="D1547" s="12">
        <f>IF(C1547="","",C1547*(1+B1547/100))</f>
        <v/>
      </c>
      <c r="E1547" s="12">
        <f>IF(A1547="","",$B$10*TAN(RADIANS(A1547)))</f>
        <v/>
      </c>
    </row>
    <row r="1548">
      <c r="A1548" s="11" t="n"/>
      <c r="B1548" s="11" t="n"/>
      <c r="C1548" s="12">
        <f>IF(A1548="","",$B$9*TAN(RADIANS(A1548)))</f>
        <v/>
      </c>
      <c r="D1548" s="12">
        <f>IF(C1548="","",C1548*(1+B1548/100))</f>
        <v/>
      </c>
      <c r="E1548" s="12">
        <f>IF(A1548="","",$B$10*TAN(RADIANS(A1548)))</f>
        <v/>
      </c>
    </row>
    <row r="1549">
      <c r="A1549" s="11" t="n"/>
      <c r="B1549" s="11" t="n"/>
      <c r="C1549" s="12">
        <f>IF(A1549="","",$B$9*TAN(RADIANS(A1549)))</f>
        <v/>
      </c>
      <c r="D1549" s="12">
        <f>IF(C1549="","",C1549*(1+B1549/100))</f>
        <v/>
      </c>
      <c r="E1549" s="12">
        <f>IF(A1549="","",$B$10*TAN(RADIANS(A1549)))</f>
        <v/>
      </c>
    </row>
    <row r="1550">
      <c r="A1550" s="11" t="n"/>
      <c r="B1550" s="11" t="n"/>
      <c r="C1550" s="12">
        <f>IF(A1550="","",$B$9*TAN(RADIANS(A1550)))</f>
        <v/>
      </c>
      <c r="D1550" s="12">
        <f>IF(C1550="","",C1550*(1+B1550/100))</f>
        <v/>
      </c>
      <c r="E1550" s="12">
        <f>IF(A1550="","",$B$10*TAN(RADIANS(A1550)))</f>
        <v/>
      </c>
    </row>
    <row r="1551">
      <c r="A1551" s="11" t="n"/>
      <c r="B1551" s="11" t="n"/>
      <c r="C1551" s="12">
        <f>IF(A1551="","",$B$9*TAN(RADIANS(A1551)))</f>
        <v/>
      </c>
      <c r="D1551" s="12">
        <f>IF(C1551="","",C1551*(1+B1551/100))</f>
        <v/>
      </c>
      <c r="E1551" s="12">
        <f>IF(A1551="","",$B$10*TAN(RADIANS(A1551)))</f>
        <v/>
      </c>
    </row>
    <row r="1552">
      <c r="A1552" s="11" t="n"/>
      <c r="B1552" s="11" t="n"/>
      <c r="C1552" s="12">
        <f>IF(A1552="","",$B$9*TAN(RADIANS(A1552)))</f>
        <v/>
      </c>
      <c r="D1552" s="12">
        <f>IF(C1552="","",C1552*(1+B1552/100))</f>
        <v/>
      </c>
      <c r="E1552" s="12">
        <f>IF(A1552="","",$B$10*TAN(RADIANS(A1552)))</f>
        <v/>
      </c>
    </row>
    <row r="1553">
      <c r="A1553" s="11" t="n"/>
      <c r="B1553" s="11" t="n"/>
      <c r="C1553" s="12">
        <f>IF(A1553="","",$B$9*TAN(RADIANS(A1553)))</f>
        <v/>
      </c>
      <c r="D1553" s="12">
        <f>IF(C1553="","",C1553*(1+B1553/100))</f>
        <v/>
      </c>
      <c r="E1553" s="12">
        <f>IF(A1553="","",$B$10*TAN(RADIANS(A1553)))</f>
        <v/>
      </c>
    </row>
    <row r="1554">
      <c r="A1554" s="11" t="n"/>
      <c r="B1554" s="11" t="n"/>
      <c r="C1554" s="12">
        <f>IF(A1554="","",$B$9*TAN(RADIANS(A1554)))</f>
        <v/>
      </c>
      <c r="D1554" s="12">
        <f>IF(C1554="","",C1554*(1+B1554/100))</f>
        <v/>
      </c>
      <c r="E1554" s="12">
        <f>IF(A1554="","",$B$10*TAN(RADIANS(A1554)))</f>
        <v/>
      </c>
    </row>
    <row r="1555">
      <c r="A1555" s="11" t="n"/>
      <c r="B1555" s="11" t="n"/>
      <c r="C1555" s="12">
        <f>IF(A1555="","",$B$9*TAN(RADIANS(A1555)))</f>
        <v/>
      </c>
      <c r="D1555" s="12">
        <f>IF(C1555="","",C1555*(1+B1555/100))</f>
        <v/>
      </c>
      <c r="E1555" s="12">
        <f>IF(A1555="","",$B$10*TAN(RADIANS(A1555)))</f>
        <v/>
      </c>
    </row>
    <row r="1556">
      <c r="A1556" s="11" t="n"/>
      <c r="B1556" s="11" t="n"/>
      <c r="C1556" s="12">
        <f>IF(A1556="","",$B$9*TAN(RADIANS(A1556)))</f>
        <v/>
      </c>
      <c r="D1556" s="12">
        <f>IF(C1556="","",C1556*(1+B1556/100))</f>
        <v/>
      </c>
      <c r="E1556" s="12">
        <f>IF(A1556="","",$B$10*TAN(RADIANS(A1556)))</f>
        <v/>
      </c>
    </row>
    <row r="1557">
      <c r="A1557" s="11" t="n"/>
      <c r="B1557" s="11" t="n"/>
      <c r="C1557" s="12">
        <f>IF(A1557="","",$B$9*TAN(RADIANS(A1557)))</f>
        <v/>
      </c>
      <c r="D1557" s="12">
        <f>IF(C1557="","",C1557*(1+B1557/100))</f>
        <v/>
      </c>
      <c r="E1557" s="12">
        <f>IF(A1557="","",$B$10*TAN(RADIANS(A1557)))</f>
        <v/>
      </c>
    </row>
    <row r="1558">
      <c r="A1558" s="11" t="n"/>
      <c r="B1558" s="11" t="n"/>
      <c r="C1558" s="12">
        <f>IF(A1558="","",$B$9*TAN(RADIANS(A1558)))</f>
        <v/>
      </c>
      <c r="D1558" s="12">
        <f>IF(C1558="","",C1558*(1+B1558/100))</f>
        <v/>
      </c>
      <c r="E1558" s="12">
        <f>IF(A1558="","",$B$10*TAN(RADIANS(A1558)))</f>
        <v/>
      </c>
    </row>
    <row r="1559">
      <c r="A1559" s="11" t="n"/>
      <c r="B1559" s="11" t="n"/>
      <c r="C1559" s="12">
        <f>IF(A1559="","",$B$9*TAN(RADIANS(A1559)))</f>
        <v/>
      </c>
      <c r="D1559" s="12">
        <f>IF(C1559="","",C1559*(1+B1559/100))</f>
        <v/>
      </c>
      <c r="E1559" s="12">
        <f>IF(A1559="","",$B$10*TAN(RADIANS(A1559)))</f>
        <v/>
      </c>
    </row>
    <row r="1560">
      <c r="A1560" s="11" t="n"/>
      <c r="B1560" s="11" t="n"/>
      <c r="C1560" s="12">
        <f>IF(A1560="","",$B$9*TAN(RADIANS(A1560)))</f>
        <v/>
      </c>
      <c r="D1560" s="12">
        <f>IF(C1560="","",C1560*(1+B1560/100))</f>
        <v/>
      </c>
      <c r="E1560" s="12">
        <f>IF(A1560="","",$B$10*TAN(RADIANS(A1560)))</f>
        <v/>
      </c>
    </row>
    <row r="1561">
      <c r="A1561" s="11" t="n"/>
      <c r="B1561" s="11" t="n"/>
      <c r="C1561" s="12">
        <f>IF(A1561="","",$B$9*TAN(RADIANS(A1561)))</f>
        <v/>
      </c>
      <c r="D1561" s="12">
        <f>IF(C1561="","",C1561*(1+B1561/100))</f>
        <v/>
      </c>
      <c r="E1561" s="12">
        <f>IF(A1561="","",$B$10*TAN(RADIANS(A1561)))</f>
        <v/>
      </c>
    </row>
    <row r="1562">
      <c r="A1562" s="11" t="n"/>
      <c r="B1562" s="11" t="n"/>
      <c r="C1562" s="12">
        <f>IF(A1562="","",$B$9*TAN(RADIANS(A1562)))</f>
        <v/>
      </c>
      <c r="D1562" s="12">
        <f>IF(C1562="","",C1562*(1+B1562/100))</f>
        <v/>
      </c>
      <c r="E1562" s="12">
        <f>IF(A1562="","",$B$10*TAN(RADIANS(A1562)))</f>
        <v/>
      </c>
    </row>
    <row r="1563">
      <c r="A1563" s="11" t="n"/>
      <c r="B1563" s="11" t="n"/>
      <c r="C1563" s="12">
        <f>IF(A1563="","",$B$9*TAN(RADIANS(A1563)))</f>
        <v/>
      </c>
      <c r="D1563" s="12">
        <f>IF(C1563="","",C1563*(1+B1563/100))</f>
        <v/>
      </c>
      <c r="E1563" s="12">
        <f>IF(A1563="","",$B$10*TAN(RADIANS(A1563)))</f>
        <v/>
      </c>
    </row>
    <row r="1564">
      <c r="A1564" s="11" t="n"/>
      <c r="B1564" s="11" t="n"/>
      <c r="C1564" s="12">
        <f>IF(A1564="","",$B$9*TAN(RADIANS(A1564)))</f>
        <v/>
      </c>
      <c r="D1564" s="12">
        <f>IF(C1564="","",C1564*(1+B1564/100))</f>
        <v/>
      </c>
      <c r="E1564" s="12">
        <f>IF(A1564="","",$B$10*TAN(RADIANS(A1564)))</f>
        <v/>
      </c>
    </row>
    <row r="1565">
      <c r="A1565" s="11" t="n"/>
      <c r="B1565" s="11" t="n"/>
      <c r="C1565" s="12">
        <f>IF(A1565="","",$B$9*TAN(RADIANS(A1565)))</f>
        <v/>
      </c>
      <c r="D1565" s="12">
        <f>IF(C1565="","",C1565*(1+B1565/100))</f>
        <v/>
      </c>
      <c r="E1565" s="12">
        <f>IF(A1565="","",$B$10*TAN(RADIANS(A1565)))</f>
        <v/>
      </c>
    </row>
    <row r="1566">
      <c r="A1566" s="11" t="n"/>
      <c r="B1566" s="11" t="n"/>
      <c r="C1566" s="12">
        <f>IF(A1566="","",$B$9*TAN(RADIANS(A1566)))</f>
        <v/>
      </c>
      <c r="D1566" s="12">
        <f>IF(C1566="","",C1566*(1+B1566/100))</f>
        <v/>
      </c>
      <c r="E1566" s="12">
        <f>IF(A1566="","",$B$10*TAN(RADIANS(A1566)))</f>
        <v/>
      </c>
    </row>
    <row r="1567">
      <c r="A1567" s="11" t="n"/>
      <c r="B1567" s="11" t="n"/>
      <c r="C1567" s="12">
        <f>IF(A1567="","",$B$9*TAN(RADIANS(A1567)))</f>
        <v/>
      </c>
      <c r="D1567" s="12">
        <f>IF(C1567="","",C1567*(1+B1567/100))</f>
        <v/>
      </c>
      <c r="E1567" s="12">
        <f>IF(A1567="","",$B$10*TAN(RADIANS(A1567)))</f>
        <v/>
      </c>
    </row>
    <row r="1568">
      <c r="A1568" s="11" t="n"/>
      <c r="B1568" s="11" t="n"/>
      <c r="C1568" s="12">
        <f>IF(A1568="","",$B$9*TAN(RADIANS(A1568)))</f>
        <v/>
      </c>
      <c r="D1568" s="12">
        <f>IF(C1568="","",C1568*(1+B1568/100))</f>
        <v/>
      </c>
      <c r="E1568" s="12">
        <f>IF(A1568="","",$B$10*TAN(RADIANS(A1568)))</f>
        <v/>
      </c>
    </row>
    <row r="1569">
      <c r="A1569" s="11" t="n"/>
      <c r="B1569" s="11" t="n"/>
      <c r="C1569" s="12">
        <f>IF(A1569="","",$B$9*TAN(RADIANS(A1569)))</f>
        <v/>
      </c>
      <c r="D1569" s="12">
        <f>IF(C1569="","",C1569*(1+B1569/100))</f>
        <v/>
      </c>
      <c r="E1569" s="12">
        <f>IF(A1569="","",$B$10*TAN(RADIANS(A1569)))</f>
        <v/>
      </c>
    </row>
    <row r="1570">
      <c r="A1570" s="11" t="n"/>
      <c r="B1570" s="11" t="n"/>
      <c r="C1570" s="12">
        <f>IF(A1570="","",$B$9*TAN(RADIANS(A1570)))</f>
        <v/>
      </c>
      <c r="D1570" s="12">
        <f>IF(C1570="","",C1570*(1+B1570/100))</f>
        <v/>
      </c>
      <c r="E1570" s="12">
        <f>IF(A1570="","",$B$10*TAN(RADIANS(A1570)))</f>
        <v/>
      </c>
    </row>
    <row r="1571">
      <c r="A1571" s="11" t="n"/>
      <c r="B1571" s="11" t="n"/>
      <c r="C1571" s="12">
        <f>IF(A1571="","",$B$9*TAN(RADIANS(A1571)))</f>
        <v/>
      </c>
      <c r="D1571" s="12">
        <f>IF(C1571="","",C1571*(1+B1571/100))</f>
        <v/>
      </c>
      <c r="E1571" s="12">
        <f>IF(A1571="","",$B$10*TAN(RADIANS(A1571)))</f>
        <v/>
      </c>
    </row>
    <row r="1572">
      <c r="A1572" s="11" t="n"/>
      <c r="B1572" s="11" t="n"/>
      <c r="C1572" s="12">
        <f>IF(A1572="","",$B$9*TAN(RADIANS(A1572)))</f>
        <v/>
      </c>
      <c r="D1572" s="12">
        <f>IF(C1572="","",C1572*(1+B1572/100))</f>
        <v/>
      </c>
      <c r="E1572" s="12">
        <f>IF(A1572="","",$B$10*TAN(RADIANS(A1572)))</f>
        <v/>
      </c>
    </row>
    <row r="1573">
      <c r="A1573" s="11" t="n"/>
      <c r="B1573" s="11" t="n"/>
      <c r="C1573" s="12">
        <f>IF(A1573="","",$B$9*TAN(RADIANS(A1573)))</f>
        <v/>
      </c>
      <c r="D1573" s="12">
        <f>IF(C1573="","",C1573*(1+B1573/100))</f>
        <v/>
      </c>
      <c r="E1573" s="12">
        <f>IF(A1573="","",$B$10*TAN(RADIANS(A1573)))</f>
        <v/>
      </c>
    </row>
    <row r="1574">
      <c r="A1574" s="11" t="n"/>
      <c r="B1574" s="11" t="n"/>
      <c r="C1574" s="12">
        <f>IF(A1574="","",$B$9*TAN(RADIANS(A1574)))</f>
        <v/>
      </c>
      <c r="D1574" s="12">
        <f>IF(C1574="","",C1574*(1+B1574/100))</f>
        <v/>
      </c>
      <c r="E1574" s="12">
        <f>IF(A1574="","",$B$10*TAN(RADIANS(A1574)))</f>
        <v/>
      </c>
    </row>
    <row r="1575">
      <c r="A1575" s="11" t="n"/>
      <c r="B1575" s="11" t="n"/>
      <c r="C1575" s="12">
        <f>IF(A1575="","",$B$9*TAN(RADIANS(A1575)))</f>
        <v/>
      </c>
      <c r="D1575" s="12">
        <f>IF(C1575="","",C1575*(1+B1575/100))</f>
        <v/>
      </c>
      <c r="E1575" s="12">
        <f>IF(A1575="","",$B$10*TAN(RADIANS(A1575)))</f>
        <v/>
      </c>
    </row>
    <row r="1576">
      <c r="A1576" s="11" t="n"/>
      <c r="B1576" s="11" t="n"/>
      <c r="C1576" s="12">
        <f>IF(A1576="","",$B$9*TAN(RADIANS(A1576)))</f>
        <v/>
      </c>
      <c r="D1576" s="12">
        <f>IF(C1576="","",C1576*(1+B1576/100))</f>
        <v/>
      </c>
      <c r="E1576" s="12">
        <f>IF(A1576="","",$B$10*TAN(RADIANS(A1576)))</f>
        <v/>
      </c>
    </row>
    <row r="1577">
      <c r="A1577" s="11" t="n"/>
      <c r="B1577" s="11" t="n"/>
      <c r="C1577" s="12">
        <f>IF(A1577="","",$B$9*TAN(RADIANS(A1577)))</f>
        <v/>
      </c>
      <c r="D1577" s="12">
        <f>IF(C1577="","",C1577*(1+B1577/100))</f>
        <v/>
      </c>
      <c r="E1577" s="12">
        <f>IF(A1577="","",$B$10*TAN(RADIANS(A1577)))</f>
        <v/>
      </c>
    </row>
    <row r="1578">
      <c r="A1578" s="11" t="n"/>
      <c r="B1578" s="11" t="n"/>
      <c r="C1578" s="12">
        <f>IF(A1578="","",$B$9*TAN(RADIANS(A1578)))</f>
        <v/>
      </c>
      <c r="D1578" s="12">
        <f>IF(C1578="","",C1578*(1+B1578/100))</f>
        <v/>
      </c>
      <c r="E1578" s="12">
        <f>IF(A1578="","",$B$10*TAN(RADIANS(A1578)))</f>
        <v/>
      </c>
    </row>
    <row r="1579">
      <c r="A1579" s="11" t="n"/>
      <c r="B1579" s="11" t="n"/>
      <c r="C1579" s="12">
        <f>IF(A1579="","",$B$9*TAN(RADIANS(A1579)))</f>
        <v/>
      </c>
      <c r="D1579" s="12">
        <f>IF(C1579="","",C1579*(1+B1579/100))</f>
        <v/>
      </c>
      <c r="E1579" s="12">
        <f>IF(A1579="","",$B$10*TAN(RADIANS(A1579)))</f>
        <v/>
      </c>
    </row>
    <row r="1580">
      <c r="A1580" s="11" t="n"/>
      <c r="B1580" s="11" t="n"/>
      <c r="C1580" s="12">
        <f>IF(A1580="","",$B$9*TAN(RADIANS(A1580)))</f>
        <v/>
      </c>
      <c r="D1580" s="12">
        <f>IF(C1580="","",C1580*(1+B1580/100))</f>
        <v/>
      </c>
      <c r="E1580" s="12">
        <f>IF(A1580="","",$B$10*TAN(RADIANS(A1580)))</f>
        <v/>
      </c>
    </row>
    <row r="1581">
      <c r="A1581" s="11" t="n"/>
      <c r="B1581" s="11" t="n"/>
      <c r="C1581" s="12">
        <f>IF(A1581="","",$B$9*TAN(RADIANS(A1581)))</f>
        <v/>
      </c>
      <c r="D1581" s="12">
        <f>IF(C1581="","",C1581*(1+B1581/100))</f>
        <v/>
      </c>
      <c r="E1581" s="12">
        <f>IF(A1581="","",$B$10*TAN(RADIANS(A1581)))</f>
        <v/>
      </c>
    </row>
    <row r="1582">
      <c r="A1582" s="11" t="n"/>
      <c r="B1582" s="11" t="n"/>
      <c r="C1582" s="12">
        <f>IF(A1582="","",$B$9*TAN(RADIANS(A1582)))</f>
        <v/>
      </c>
      <c r="D1582" s="12">
        <f>IF(C1582="","",C1582*(1+B1582/100))</f>
        <v/>
      </c>
      <c r="E1582" s="12">
        <f>IF(A1582="","",$B$10*TAN(RADIANS(A1582)))</f>
        <v/>
      </c>
    </row>
    <row r="1583">
      <c r="A1583" s="11" t="n"/>
      <c r="B1583" s="11" t="n"/>
      <c r="C1583" s="12">
        <f>IF(A1583="","",$B$9*TAN(RADIANS(A1583)))</f>
        <v/>
      </c>
      <c r="D1583" s="12">
        <f>IF(C1583="","",C1583*(1+B1583/100))</f>
        <v/>
      </c>
      <c r="E1583" s="12">
        <f>IF(A1583="","",$B$10*TAN(RADIANS(A1583)))</f>
        <v/>
      </c>
    </row>
    <row r="1584">
      <c r="A1584" s="11" t="n"/>
      <c r="B1584" s="11" t="n"/>
      <c r="C1584" s="12">
        <f>IF(A1584="","",$B$9*TAN(RADIANS(A1584)))</f>
        <v/>
      </c>
      <c r="D1584" s="12">
        <f>IF(C1584="","",C1584*(1+B1584/100))</f>
        <v/>
      </c>
      <c r="E1584" s="12">
        <f>IF(A1584="","",$B$10*TAN(RADIANS(A1584)))</f>
        <v/>
      </c>
    </row>
    <row r="1585">
      <c r="A1585" s="11" t="n"/>
      <c r="B1585" s="11" t="n"/>
      <c r="C1585" s="12">
        <f>IF(A1585="","",$B$9*TAN(RADIANS(A1585)))</f>
        <v/>
      </c>
      <c r="D1585" s="12">
        <f>IF(C1585="","",C1585*(1+B1585/100))</f>
        <v/>
      </c>
      <c r="E1585" s="12">
        <f>IF(A1585="","",$B$10*TAN(RADIANS(A1585)))</f>
        <v/>
      </c>
    </row>
    <row r="1586">
      <c r="A1586" s="11" t="n"/>
      <c r="B1586" s="11" t="n"/>
      <c r="C1586" s="12">
        <f>IF(A1586="","",$B$9*TAN(RADIANS(A1586)))</f>
        <v/>
      </c>
      <c r="D1586" s="12">
        <f>IF(C1586="","",C1586*(1+B1586/100))</f>
        <v/>
      </c>
      <c r="E1586" s="12">
        <f>IF(A1586="","",$B$10*TAN(RADIANS(A1586)))</f>
        <v/>
      </c>
    </row>
    <row r="1587">
      <c r="A1587" s="11" t="n"/>
      <c r="B1587" s="11" t="n"/>
      <c r="C1587" s="12">
        <f>IF(A1587="","",$B$9*TAN(RADIANS(A1587)))</f>
        <v/>
      </c>
      <c r="D1587" s="12">
        <f>IF(C1587="","",C1587*(1+B1587/100))</f>
        <v/>
      </c>
      <c r="E1587" s="12">
        <f>IF(A1587="","",$B$10*TAN(RADIANS(A1587)))</f>
        <v/>
      </c>
    </row>
    <row r="1588">
      <c r="A1588" s="11" t="n"/>
      <c r="B1588" s="11" t="n"/>
      <c r="C1588" s="12">
        <f>IF(A1588="","",$B$9*TAN(RADIANS(A1588)))</f>
        <v/>
      </c>
      <c r="D1588" s="12">
        <f>IF(C1588="","",C1588*(1+B1588/100))</f>
        <v/>
      </c>
      <c r="E1588" s="12">
        <f>IF(A1588="","",$B$10*TAN(RADIANS(A1588)))</f>
        <v/>
      </c>
    </row>
    <row r="1589">
      <c r="A1589" s="11" t="n"/>
      <c r="B1589" s="11" t="n"/>
      <c r="C1589" s="12">
        <f>IF(A1589="","",$B$9*TAN(RADIANS(A1589)))</f>
        <v/>
      </c>
      <c r="D1589" s="12">
        <f>IF(C1589="","",C1589*(1+B1589/100))</f>
        <v/>
      </c>
      <c r="E1589" s="12">
        <f>IF(A1589="","",$B$10*TAN(RADIANS(A1589)))</f>
        <v/>
      </c>
    </row>
    <row r="1590">
      <c r="A1590" s="11" t="n"/>
      <c r="B1590" s="11" t="n"/>
      <c r="C1590" s="12">
        <f>IF(A1590="","",$B$9*TAN(RADIANS(A1590)))</f>
        <v/>
      </c>
      <c r="D1590" s="12">
        <f>IF(C1590="","",C1590*(1+B1590/100))</f>
        <v/>
      </c>
      <c r="E1590" s="12">
        <f>IF(A1590="","",$B$10*TAN(RADIANS(A1590)))</f>
        <v/>
      </c>
    </row>
    <row r="1591">
      <c r="A1591" s="11" t="n"/>
      <c r="B1591" s="11" t="n"/>
      <c r="C1591" s="12">
        <f>IF(A1591="","",$B$9*TAN(RADIANS(A1591)))</f>
        <v/>
      </c>
      <c r="D1591" s="12">
        <f>IF(C1591="","",C1591*(1+B1591/100))</f>
        <v/>
      </c>
      <c r="E1591" s="12">
        <f>IF(A1591="","",$B$10*TAN(RADIANS(A1591)))</f>
        <v/>
      </c>
    </row>
    <row r="1592">
      <c r="A1592" s="11" t="n"/>
      <c r="B1592" s="11" t="n"/>
      <c r="C1592" s="12">
        <f>IF(A1592="","",$B$9*TAN(RADIANS(A1592)))</f>
        <v/>
      </c>
      <c r="D1592" s="12">
        <f>IF(C1592="","",C1592*(1+B1592/100))</f>
        <v/>
      </c>
      <c r="E1592" s="12">
        <f>IF(A1592="","",$B$10*TAN(RADIANS(A1592)))</f>
        <v/>
      </c>
    </row>
    <row r="1593">
      <c r="A1593" s="11" t="n"/>
      <c r="B1593" s="11" t="n"/>
      <c r="C1593" s="12">
        <f>IF(A1593="","",$B$9*TAN(RADIANS(A1593)))</f>
        <v/>
      </c>
      <c r="D1593" s="12">
        <f>IF(C1593="","",C1593*(1+B1593/100))</f>
        <v/>
      </c>
      <c r="E1593" s="12">
        <f>IF(A1593="","",$B$10*TAN(RADIANS(A1593)))</f>
        <v/>
      </c>
    </row>
    <row r="1594">
      <c r="A1594" s="11" t="n"/>
      <c r="B1594" s="11" t="n"/>
      <c r="C1594" s="12">
        <f>IF(A1594="","",$B$9*TAN(RADIANS(A1594)))</f>
        <v/>
      </c>
      <c r="D1594" s="12">
        <f>IF(C1594="","",C1594*(1+B1594/100))</f>
        <v/>
      </c>
      <c r="E1594" s="12">
        <f>IF(A1594="","",$B$10*TAN(RADIANS(A1594)))</f>
        <v/>
      </c>
    </row>
    <row r="1595">
      <c r="A1595" s="11" t="n"/>
      <c r="B1595" s="11" t="n"/>
      <c r="C1595" s="12">
        <f>IF(A1595="","",$B$9*TAN(RADIANS(A1595)))</f>
        <v/>
      </c>
      <c r="D1595" s="12">
        <f>IF(C1595="","",C1595*(1+B1595/100))</f>
        <v/>
      </c>
      <c r="E1595" s="12">
        <f>IF(A1595="","",$B$10*TAN(RADIANS(A1595)))</f>
        <v/>
      </c>
    </row>
    <row r="1596">
      <c r="A1596" s="11" t="n"/>
      <c r="B1596" s="11" t="n"/>
      <c r="C1596" s="12">
        <f>IF(A1596="","",$B$9*TAN(RADIANS(A1596)))</f>
        <v/>
      </c>
      <c r="D1596" s="12">
        <f>IF(C1596="","",C1596*(1+B1596/100))</f>
        <v/>
      </c>
      <c r="E1596" s="12">
        <f>IF(A1596="","",$B$10*TAN(RADIANS(A1596)))</f>
        <v/>
      </c>
    </row>
    <row r="1597">
      <c r="A1597" s="11" t="n"/>
      <c r="B1597" s="11" t="n"/>
      <c r="C1597" s="12">
        <f>IF(A1597="","",$B$9*TAN(RADIANS(A1597)))</f>
        <v/>
      </c>
      <c r="D1597" s="12">
        <f>IF(C1597="","",C1597*(1+B1597/100))</f>
        <v/>
      </c>
      <c r="E1597" s="12">
        <f>IF(A1597="","",$B$10*TAN(RADIANS(A1597)))</f>
        <v/>
      </c>
    </row>
    <row r="1598">
      <c r="A1598" s="11" t="n"/>
      <c r="B1598" s="11" t="n"/>
      <c r="C1598" s="12">
        <f>IF(A1598="","",$B$9*TAN(RADIANS(A1598)))</f>
        <v/>
      </c>
      <c r="D1598" s="12">
        <f>IF(C1598="","",C1598*(1+B1598/100))</f>
        <v/>
      </c>
      <c r="E1598" s="12">
        <f>IF(A1598="","",$B$10*TAN(RADIANS(A1598)))</f>
        <v/>
      </c>
    </row>
    <row r="1599">
      <c r="A1599" s="11" t="n"/>
      <c r="B1599" s="11" t="n"/>
      <c r="C1599" s="12">
        <f>IF(A1599="","",$B$9*TAN(RADIANS(A1599)))</f>
        <v/>
      </c>
      <c r="D1599" s="12">
        <f>IF(C1599="","",C1599*(1+B1599/100))</f>
        <v/>
      </c>
      <c r="E1599" s="12">
        <f>IF(A1599="","",$B$10*TAN(RADIANS(A1599)))</f>
        <v/>
      </c>
    </row>
    <row r="1600">
      <c r="A1600" s="11" t="n"/>
      <c r="B1600" s="11" t="n"/>
      <c r="C1600" s="12">
        <f>IF(A1600="","",$B$9*TAN(RADIANS(A1600)))</f>
        <v/>
      </c>
      <c r="D1600" s="12">
        <f>IF(C1600="","",C1600*(1+B1600/100))</f>
        <v/>
      </c>
      <c r="E1600" s="12">
        <f>IF(A1600="","",$B$10*TAN(RADIANS(A1600)))</f>
        <v/>
      </c>
    </row>
    <row r="1601">
      <c r="A1601" s="11" t="n"/>
      <c r="B1601" s="11" t="n"/>
      <c r="C1601" s="12">
        <f>IF(A1601="","",$B$9*TAN(RADIANS(A1601)))</f>
        <v/>
      </c>
      <c r="D1601" s="12">
        <f>IF(C1601="","",C1601*(1+B1601/100))</f>
        <v/>
      </c>
      <c r="E1601" s="12">
        <f>IF(A1601="","",$B$10*TAN(RADIANS(A1601)))</f>
        <v/>
      </c>
    </row>
    <row r="1602">
      <c r="A1602" s="11" t="n"/>
      <c r="B1602" s="11" t="n"/>
      <c r="C1602" s="12">
        <f>IF(A1602="","",$B$9*TAN(RADIANS(A1602)))</f>
        <v/>
      </c>
      <c r="D1602" s="12">
        <f>IF(C1602="","",C1602*(1+B1602/100))</f>
        <v/>
      </c>
      <c r="E1602" s="12">
        <f>IF(A1602="","",$B$10*TAN(RADIANS(A1602)))</f>
        <v/>
      </c>
    </row>
    <row r="1603">
      <c r="A1603" s="11" t="n"/>
      <c r="B1603" s="11" t="n"/>
      <c r="C1603" s="12">
        <f>IF(A1603="","",$B$9*TAN(RADIANS(A1603)))</f>
        <v/>
      </c>
      <c r="D1603" s="12">
        <f>IF(C1603="","",C1603*(1+B1603/100))</f>
        <v/>
      </c>
      <c r="E1603" s="12">
        <f>IF(A1603="","",$B$10*TAN(RADIANS(A1603)))</f>
        <v/>
      </c>
    </row>
    <row r="1604">
      <c r="A1604" s="11" t="n"/>
      <c r="B1604" s="11" t="n"/>
      <c r="C1604" s="12">
        <f>IF(A1604="","",$B$9*TAN(RADIANS(A1604)))</f>
        <v/>
      </c>
      <c r="D1604" s="12">
        <f>IF(C1604="","",C1604*(1+B1604/100))</f>
        <v/>
      </c>
      <c r="E1604" s="12">
        <f>IF(A1604="","",$B$10*TAN(RADIANS(A1604)))</f>
        <v/>
      </c>
    </row>
    <row r="1605">
      <c r="A1605" s="11" t="n"/>
      <c r="B1605" s="11" t="n"/>
      <c r="C1605" s="12">
        <f>IF(A1605="","",$B$9*TAN(RADIANS(A1605)))</f>
        <v/>
      </c>
      <c r="D1605" s="12">
        <f>IF(C1605="","",C1605*(1+B1605/100))</f>
        <v/>
      </c>
      <c r="E1605" s="12">
        <f>IF(A1605="","",$B$10*TAN(RADIANS(A1605)))</f>
        <v/>
      </c>
    </row>
    <row r="1606">
      <c r="A1606" s="11" t="n"/>
      <c r="B1606" s="11" t="n"/>
      <c r="C1606" s="12">
        <f>IF(A1606="","",$B$9*TAN(RADIANS(A1606)))</f>
        <v/>
      </c>
      <c r="D1606" s="12">
        <f>IF(C1606="","",C1606*(1+B1606/100))</f>
        <v/>
      </c>
      <c r="E1606" s="12">
        <f>IF(A1606="","",$B$10*TAN(RADIANS(A1606)))</f>
        <v/>
      </c>
    </row>
    <row r="1607">
      <c r="A1607" s="11" t="n"/>
      <c r="B1607" s="11" t="n"/>
      <c r="C1607" s="12">
        <f>IF(A1607="","",$B$9*TAN(RADIANS(A1607)))</f>
        <v/>
      </c>
      <c r="D1607" s="12">
        <f>IF(C1607="","",C1607*(1+B1607/100))</f>
        <v/>
      </c>
      <c r="E1607" s="12">
        <f>IF(A1607="","",$B$10*TAN(RADIANS(A1607)))</f>
        <v/>
      </c>
    </row>
    <row r="1608">
      <c r="A1608" s="11" t="n"/>
      <c r="B1608" s="11" t="n"/>
      <c r="C1608" s="12">
        <f>IF(A1608="","",$B$9*TAN(RADIANS(A1608)))</f>
        <v/>
      </c>
      <c r="D1608" s="12">
        <f>IF(C1608="","",C1608*(1+B1608/100))</f>
        <v/>
      </c>
      <c r="E1608" s="12">
        <f>IF(A1608="","",$B$10*TAN(RADIANS(A1608)))</f>
        <v/>
      </c>
    </row>
    <row r="1609">
      <c r="A1609" s="11" t="n"/>
      <c r="B1609" s="11" t="n"/>
      <c r="C1609" s="12">
        <f>IF(A1609="","",$B$9*TAN(RADIANS(A1609)))</f>
        <v/>
      </c>
      <c r="D1609" s="12">
        <f>IF(C1609="","",C1609*(1+B1609/100))</f>
        <v/>
      </c>
      <c r="E1609" s="12">
        <f>IF(A1609="","",$B$10*TAN(RADIANS(A1609)))</f>
        <v/>
      </c>
    </row>
    <row r="1610">
      <c r="A1610" s="11" t="n"/>
      <c r="B1610" s="11" t="n"/>
      <c r="C1610" s="12">
        <f>IF(A1610="","",$B$9*TAN(RADIANS(A1610)))</f>
        <v/>
      </c>
      <c r="D1610" s="12">
        <f>IF(C1610="","",C1610*(1+B1610/100))</f>
        <v/>
      </c>
      <c r="E1610" s="12">
        <f>IF(A1610="","",$B$10*TAN(RADIANS(A1610)))</f>
        <v/>
      </c>
    </row>
    <row r="1611">
      <c r="A1611" s="11" t="n"/>
      <c r="B1611" s="11" t="n"/>
      <c r="C1611" s="12">
        <f>IF(A1611="","",$B$9*TAN(RADIANS(A1611)))</f>
        <v/>
      </c>
      <c r="D1611" s="12">
        <f>IF(C1611="","",C1611*(1+B1611/100))</f>
        <v/>
      </c>
      <c r="E1611" s="12">
        <f>IF(A1611="","",$B$10*TAN(RADIANS(A1611)))</f>
        <v/>
      </c>
    </row>
    <row r="1612">
      <c r="A1612" s="11" t="n"/>
      <c r="B1612" s="11" t="n"/>
      <c r="C1612" s="12">
        <f>IF(A1612="","",$B$9*TAN(RADIANS(A1612)))</f>
        <v/>
      </c>
      <c r="D1612" s="12">
        <f>IF(C1612="","",C1612*(1+B1612/100))</f>
        <v/>
      </c>
      <c r="E1612" s="12">
        <f>IF(A1612="","",$B$10*TAN(RADIANS(A1612)))</f>
        <v/>
      </c>
    </row>
    <row r="1613">
      <c r="A1613" s="11" t="n"/>
      <c r="B1613" s="11" t="n"/>
      <c r="C1613" s="12">
        <f>IF(A1613="","",$B$9*TAN(RADIANS(A1613)))</f>
        <v/>
      </c>
      <c r="D1613" s="12">
        <f>IF(C1613="","",C1613*(1+B1613/100))</f>
        <v/>
      </c>
      <c r="E1613" s="12">
        <f>IF(A1613="","",$B$10*TAN(RADIANS(A1613)))</f>
        <v/>
      </c>
    </row>
    <row r="1614">
      <c r="A1614" s="11" t="n"/>
      <c r="B1614" s="11" t="n"/>
      <c r="C1614" s="12">
        <f>IF(A1614="","",$B$9*TAN(RADIANS(A1614)))</f>
        <v/>
      </c>
      <c r="D1614" s="12">
        <f>IF(C1614="","",C1614*(1+B1614/100))</f>
        <v/>
      </c>
      <c r="E1614" s="12">
        <f>IF(A1614="","",$B$10*TAN(RADIANS(A1614)))</f>
        <v/>
      </c>
    </row>
    <row r="1615">
      <c r="A1615" s="11" t="n"/>
      <c r="B1615" s="11" t="n"/>
      <c r="C1615" s="12">
        <f>IF(A1615="","",$B$9*TAN(RADIANS(A1615)))</f>
        <v/>
      </c>
      <c r="D1615" s="12">
        <f>IF(C1615="","",C1615*(1+B1615/100))</f>
        <v/>
      </c>
      <c r="E1615" s="12">
        <f>IF(A1615="","",$B$10*TAN(RADIANS(A1615)))</f>
        <v/>
      </c>
    </row>
    <row r="1616">
      <c r="A1616" s="11" t="n"/>
      <c r="B1616" s="11" t="n"/>
      <c r="C1616" s="12">
        <f>IF(A1616="","",$B$9*TAN(RADIANS(A1616)))</f>
        <v/>
      </c>
      <c r="D1616" s="12">
        <f>IF(C1616="","",C1616*(1+B1616/100))</f>
        <v/>
      </c>
      <c r="E1616" s="12">
        <f>IF(A1616="","",$B$10*TAN(RADIANS(A1616)))</f>
        <v/>
      </c>
    </row>
    <row r="1617">
      <c r="A1617" s="11" t="n"/>
      <c r="B1617" s="11" t="n"/>
      <c r="C1617" s="12">
        <f>IF(A1617="","",$B$9*TAN(RADIANS(A1617)))</f>
        <v/>
      </c>
      <c r="D1617" s="12">
        <f>IF(C1617="","",C1617*(1+B1617/100))</f>
        <v/>
      </c>
      <c r="E1617" s="12">
        <f>IF(A1617="","",$B$10*TAN(RADIANS(A1617)))</f>
        <v/>
      </c>
    </row>
    <row r="1618">
      <c r="A1618" s="11" t="n"/>
      <c r="B1618" s="11" t="n"/>
      <c r="C1618" s="12">
        <f>IF(A1618="","",$B$9*TAN(RADIANS(A1618)))</f>
        <v/>
      </c>
      <c r="D1618" s="12">
        <f>IF(C1618="","",C1618*(1+B1618/100))</f>
        <v/>
      </c>
      <c r="E1618" s="12">
        <f>IF(A1618="","",$B$10*TAN(RADIANS(A1618)))</f>
        <v/>
      </c>
    </row>
    <row r="1619">
      <c r="A1619" s="11" t="n"/>
      <c r="B1619" s="11" t="n"/>
      <c r="C1619" s="12">
        <f>IF(A1619="","",$B$9*TAN(RADIANS(A1619)))</f>
        <v/>
      </c>
      <c r="D1619" s="12">
        <f>IF(C1619="","",C1619*(1+B1619/100))</f>
        <v/>
      </c>
      <c r="E1619" s="12">
        <f>IF(A1619="","",$B$10*TAN(RADIANS(A1619)))</f>
        <v/>
      </c>
    </row>
    <row r="1620">
      <c r="A1620" s="11" t="n"/>
      <c r="B1620" s="11" t="n"/>
      <c r="C1620" s="12">
        <f>IF(A1620="","",$B$9*TAN(RADIANS(A1620)))</f>
        <v/>
      </c>
      <c r="D1620" s="12">
        <f>IF(C1620="","",C1620*(1+B1620/100))</f>
        <v/>
      </c>
      <c r="E1620" s="12">
        <f>IF(A1620="","",$B$10*TAN(RADIANS(A1620)))</f>
        <v/>
      </c>
    </row>
    <row r="1621">
      <c r="A1621" s="11" t="n"/>
      <c r="B1621" s="11" t="n"/>
      <c r="C1621" s="12">
        <f>IF(A1621="","",$B$9*TAN(RADIANS(A1621)))</f>
        <v/>
      </c>
      <c r="D1621" s="12">
        <f>IF(C1621="","",C1621*(1+B1621/100))</f>
        <v/>
      </c>
      <c r="E1621" s="12">
        <f>IF(A1621="","",$B$10*TAN(RADIANS(A1621)))</f>
        <v/>
      </c>
    </row>
    <row r="1622">
      <c r="A1622" s="11" t="n"/>
      <c r="B1622" s="11" t="n"/>
      <c r="C1622" s="12">
        <f>IF(A1622="","",$B$9*TAN(RADIANS(A1622)))</f>
        <v/>
      </c>
      <c r="D1622" s="12">
        <f>IF(C1622="","",C1622*(1+B1622/100))</f>
        <v/>
      </c>
      <c r="E1622" s="12">
        <f>IF(A1622="","",$B$10*TAN(RADIANS(A1622)))</f>
        <v/>
      </c>
    </row>
    <row r="1623">
      <c r="A1623" s="11" t="n"/>
      <c r="B1623" s="11" t="n"/>
      <c r="C1623" s="12">
        <f>IF(A1623="","",$B$9*TAN(RADIANS(A1623)))</f>
        <v/>
      </c>
      <c r="D1623" s="12">
        <f>IF(C1623="","",C1623*(1+B1623/100))</f>
        <v/>
      </c>
      <c r="E1623" s="12">
        <f>IF(A1623="","",$B$10*TAN(RADIANS(A1623)))</f>
        <v/>
      </c>
    </row>
    <row r="1624">
      <c r="A1624" s="11" t="n"/>
      <c r="B1624" s="11" t="n"/>
      <c r="C1624" s="12">
        <f>IF(A1624="","",$B$9*TAN(RADIANS(A1624)))</f>
        <v/>
      </c>
      <c r="D1624" s="12">
        <f>IF(C1624="","",C1624*(1+B1624/100))</f>
        <v/>
      </c>
      <c r="E1624" s="12">
        <f>IF(A1624="","",$B$10*TAN(RADIANS(A1624)))</f>
        <v/>
      </c>
    </row>
    <row r="1625">
      <c r="A1625" s="11" t="n"/>
      <c r="B1625" s="11" t="n"/>
      <c r="C1625" s="12">
        <f>IF(A1625="","",$B$9*TAN(RADIANS(A1625)))</f>
        <v/>
      </c>
      <c r="D1625" s="12">
        <f>IF(C1625="","",C1625*(1+B1625/100))</f>
        <v/>
      </c>
      <c r="E1625" s="12">
        <f>IF(A1625="","",$B$10*TAN(RADIANS(A1625)))</f>
        <v/>
      </c>
    </row>
    <row r="1626">
      <c r="A1626" s="11" t="n"/>
      <c r="B1626" s="11" t="n"/>
      <c r="C1626" s="12">
        <f>IF(A1626="","",$B$9*TAN(RADIANS(A1626)))</f>
        <v/>
      </c>
      <c r="D1626" s="12">
        <f>IF(C1626="","",C1626*(1+B1626/100))</f>
        <v/>
      </c>
      <c r="E1626" s="12">
        <f>IF(A1626="","",$B$10*TAN(RADIANS(A1626)))</f>
        <v/>
      </c>
    </row>
    <row r="1627">
      <c r="A1627" s="11" t="n"/>
      <c r="B1627" s="11" t="n"/>
      <c r="C1627" s="12">
        <f>IF(A1627="","",$B$9*TAN(RADIANS(A1627)))</f>
        <v/>
      </c>
      <c r="D1627" s="12">
        <f>IF(C1627="","",C1627*(1+B1627/100))</f>
        <v/>
      </c>
      <c r="E1627" s="12">
        <f>IF(A1627="","",$B$10*TAN(RADIANS(A1627)))</f>
        <v/>
      </c>
    </row>
    <row r="1628">
      <c r="A1628" s="11" t="n"/>
      <c r="B1628" s="11" t="n"/>
      <c r="C1628" s="12">
        <f>IF(A1628="","",$B$9*TAN(RADIANS(A1628)))</f>
        <v/>
      </c>
      <c r="D1628" s="12">
        <f>IF(C1628="","",C1628*(1+B1628/100))</f>
        <v/>
      </c>
      <c r="E1628" s="12">
        <f>IF(A1628="","",$B$10*TAN(RADIANS(A1628)))</f>
        <v/>
      </c>
    </row>
    <row r="1629">
      <c r="A1629" s="11" t="n"/>
      <c r="B1629" s="11" t="n"/>
      <c r="C1629" s="12">
        <f>IF(A1629="","",$B$9*TAN(RADIANS(A1629)))</f>
        <v/>
      </c>
      <c r="D1629" s="12">
        <f>IF(C1629="","",C1629*(1+B1629/100))</f>
        <v/>
      </c>
      <c r="E1629" s="12">
        <f>IF(A1629="","",$B$10*TAN(RADIANS(A1629)))</f>
        <v/>
      </c>
    </row>
    <row r="1630">
      <c r="A1630" s="11" t="n"/>
      <c r="B1630" s="11" t="n"/>
      <c r="C1630" s="12">
        <f>IF(A1630="","",$B$9*TAN(RADIANS(A1630)))</f>
        <v/>
      </c>
      <c r="D1630" s="12">
        <f>IF(C1630="","",C1630*(1+B1630/100))</f>
        <v/>
      </c>
      <c r="E1630" s="12">
        <f>IF(A1630="","",$B$10*TAN(RADIANS(A1630)))</f>
        <v/>
      </c>
    </row>
    <row r="1631">
      <c r="A1631" s="11" t="n"/>
      <c r="B1631" s="11" t="n"/>
      <c r="C1631" s="12">
        <f>IF(A1631="","",$B$9*TAN(RADIANS(A1631)))</f>
        <v/>
      </c>
      <c r="D1631" s="12">
        <f>IF(C1631="","",C1631*(1+B1631/100))</f>
        <v/>
      </c>
      <c r="E1631" s="12">
        <f>IF(A1631="","",$B$10*TAN(RADIANS(A1631)))</f>
        <v/>
      </c>
    </row>
    <row r="1632">
      <c r="A1632" s="11" t="n"/>
      <c r="B1632" s="11" t="n"/>
      <c r="C1632" s="12">
        <f>IF(A1632="","",$B$9*TAN(RADIANS(A1632)))</f>
        <v/>
      </c>
      <c r="D1632" s="12">
        <f>IF(C1632="","",C1632*(1+B1632/100))</f>
        <v/>
      </c>
      <c r="E1632" s="12">
        <f>IF(A1632="","",$B$10*TAN(RADIANS(A1632)))</f>
        <v/>
      </c>
    </row>
    <row r="1633">
      <c r="A1633" s="11" t="n"/>
      <c r="B1633" s="11" t="n"/>
      <c r="C1633" s="12">
        <f>IF(A1633="","",$B$9*TAN(RADIANS(A1633)))</f>
        <v/>
      </c>
      <c r="D1633" s="12">
        <f>IF(C1633="","",C1633*(1+B1633/100))</f>
        <v/>
      </c>
      <c r="E1633" s="12">
        <f>IF(A1633="","",$B$10*TAN(RADIANS(A1633)))</f>
        <v/>
      </c>
    </row>
    <row r="1634">
      <c r="A1634" s="11" t="n"/>
      <c r="B1634" s="11" t="n"/>
      <c r="C1634" s="12">
        <f>IF(A1634="","",$B$9*TAN(RADIANS(A1634)))</f>
        <v/>
      </c>
      <c r="D1634" s="12">
        <f>IF(C1634="","",C1634*(1+B1634/100))</f>
        <v/>
      </c>
      <c r="E1634" s="12">
        <f>IF(A1634="","",$B$10*TAN(RADIANS(A1634)))</f>
        <v/>
      </c>
    </row>
    <row r="1635">
      <c r="A1635" s="11" t="n"/>
      <c r="B1635" s="11" t="n"/>
      <c r="C1635" s="12">
        <f>IF(A1635="","",$B$9*TAN(RADIANS(A1635)))</f>
        <v/>
      </c>
      <c r="D1635" s="12">
        <f>IF(C1635="","",C1635*(1+B1635/100))</f>
        <v/>
      </c>
      <c r="E1635" s="12">
        <f>IF(A1635="","",$B$10*TAN(RADIANS(A1635)))</f>
        <v/>
      </c>
    </row>
    <row r="1636">
      <c r="A1636" s="11" t="n"/>
      <c r="B1636" s="11" t="n"/>
      <c r="C1636" s="12">
        <f>IF(A1636="","",$B$9*TAN(RADIANS(A1636)))</f>
        <v/>
      </c>
      <c r="D1636" s="12">
        <f>IF(C1636="","",C1636*(1+B1636/100))</f>
        <v/>
      </c>
      <c r="E1636" s="12">
        <f>IF(A1636="","",$B$10*TAN(RADIANS(A1636)))</f>
        <v/>
      </c>
    </row>
    <row r="1637">
      <c r="A1637" s="11" t="n"/>
      <c r="B1637" s="11" t="n"/>
      <c r="C1637" s="12">
        <f>IF(A1637="","",$B$9*TAN(RADIANS(A1637)))</f>
        <v/>
      </c>
      <c r="D1637" s="12">
        <f>IF(C1637="","",C1637*(1+B1637/100))</f>
        <v/>
      </c>
      <c r="E1637" s="12">
        <f>IF(A1637="","",$B$10*TAN(RADIANS(A1637)))</f>
        <v/>
      </c>
    </row>
    <row r="1638">
      <c r="A1638" s="11" t="n"/>
      <c r="B1638" s="11" t="n"/>
      <c r="C1638" s="12">
        <f>IF(A1638="","",$B$9*TAN(RADIANS(A1638)))</f>
        <v/>
      </c>
      <c r="D1638" s="12">
        <f>IF(C1638="","",C1638*(1+B1638/100))</f>
        <v/>
      </c>
      <c r="E1638" s="12">
        <f>IF(A1638="","",$B$10*TAN(RADIANS(A1638)))</f>
        <v/>
      </c>
    </row>
    <row r="1639">
      <c r="A1639" s="11" t="n"/>
      <c r="B1639" s="11" t="n"/>
      <c r="C1639" s="12">
        <f>IF(A1639="","",$B$9*TAN(RADIANS(A1639)))</f>
        <v/>
      </c>
      <c r="D1639" s="12">
        <f>IF(C1639="","",C1639*(1+B1639/100))</f>
        <v/>
      </c>
      <c r="E1639" s="12">
        <f>IF(A1639="","",$B$10*TAN(RADIANS(A1639)))</f>
        <v/>
      </c>
    </row>
    <row r="1640">
      <c r="A1640" s="11" t="n"/>
      <c r="B1640" s="11" t="n"/>
      <c r="C1640" s="12">
        <f>IF(A1640="","",$B$9*TAN(RADIANS(A1640)))</f>
        <v/>
      </c>
      <c r="D1640" s="12">
        <f>IF(C1640="","",C1640*(1+B1640/100))</f>
        <v/>
      </c>
      <c r="E1640" s="12">
        <f>IF(A1640="","",$B$10*TAN(RADIANS(A1640)))</f>
        <v/>
      </c>
    </row>
    <row r="1641">
      <c r="A1641" s="11" t="n"/>
      <c r="B1641" s="11" t="n"/>
      <c r="C1641" s="12">
        <f>IF(A1641="","",$B$9*TAN(RADIANS(A1641)))</f>
        <v/>
      </c>
      <c r="D1641" s="12">
        <f>IF(C1641="","",C1641*(1+B1641/100))</f>
        <v/>
      </c>
      <c r="E1641" s="12">
        <f>IF(A1641="","",$B$10*TAN(RADIANS(A1641)))</f>
        <v/>
      </c>
    </row>
    <row r="1642">
      <c r="A1642" s="11" t="n"/>
      <c r="B1642" s="11" t="n"/>
      <c r="C1642" s="12">
        <f>IF(A1642="","",$B$9*TAN(RADIANS(A1642)))</f>
        <v/>
      </c>
      <c r="D1642" s="12">
        <f>IF(C1642="","",C1642*(1+B1642/100))</f>
        <v/>
      </c>
      <c r="E1642" s="12">
        <f>IF(A1642="","",$B$10*TAN(RADIANS(A1642)))</f>
        <v/>
      </c>
    </row>
    <row r="1643">
      <c r="A1643" s="11" t="n"/>
      <c r="B1643" s="11" t="n"/>
      <c r="C1643" s="12">
        <f>IF(A1643="","",$B$9*TAN(RADIANS(A1643)))</f>
        <v/>
      </c>
      <c r="D1643" s="12">
        <f>IF(C1643="","",C1643*(1+B1643/100))</f>
        <v/>
      </c>
      <c r="E1643" s="12">
        <f>IF(A1643="","",$B$10*TAN(RADIANS(A1643)))</f>
        <v/>
      </c>
    </row>
    <row r="1644">
      <c r="A1644" s="11" t="n"/>
      <c r="B1644" s="11" t="n"/>
      <c r="C1644" s="12">
        <f>IF(A1644="","",$B$9*TAN(RADIANS(A1644)))</f>
        <v/>
      </c>
      <c r="D1644" s="12">
        <f>IF(C1644="","",C1644*(1+B1644/100))</f>
        <v/>
      </c>
      <c r="E1644" s="12">
        <f>IF(A1644="","",$B$10*TAN(RADIANS(A1644)))</f>
        <v/>
      </c>
    </row>
    <row r="1645">
      <c r="A1645" s="11" t="n"/>
      <c r="B1645" s="11" t="n"/>
      <c r="C1645" s="12">
        <f>IF(A1645="","",$B$9*TAN(RADIANS(A1645)))</f>
        <v/>
      </c>
      <c r="D1645" s="12">
        <f>IF(C1645="","",C1645*(1+B1645/100))</f>
        <v/>
      </c>
      <c r="E1645" s="12">
        <f>IF(A1645="","",$B$10*TAN(RADIANS(A1645)))</f>
        <v/>
      </c>
    </row>
    <row r="1646">
      <c r="A1646" s="11" t="n"/>
      <c r="B1646" s="11" t="n"/>
      <c r="C1646" s="12">
        <f>IF(A1646="","",$B$9*TAN(RADIANS(A1646)))</f>
        <v/>
      </c>
      <c r="D1646" s="12">
        <f>IF(C1646="","",C1646*(1+B1646/100))</f>
        <v/>
      </c>
      <c r="E1646" s="12">
        <f>IF(A1646="","",$B$10*TAN(RADIANS(A1646)))</f>
        <v/>
      </c>
    </row>
    <row r="1647">
      <c r="A1647" s="11" t="n"/>
      <c r="B1647" s="11" t="n"/>
      <c r="C1647" s="12">
        <f>IF(A1647="","",$B$9*TAN(RADIANS(A1647)))</f>
        <v/>
      </c>
      <c r="D1647" s="12">
        <f>IF(C1647="","",C1647*(1+B1647/100))</f>
        <v/>
      </c>
      <c r="E1647" s="12">
        <f>IF(A1647="","",$B$10*TAN(RADIANS(A1647)))</f>
        <v/>
      </c>
    </row>
    <row r="1648">
      <c r="A1648" s="11" t="n"/>
      <c r="B1648" s="11" t="n"/>
      <c r="C1648" s="12">
        <f>IF(A1648="","",$B$9*TAN(RADIANS(A1648)))</f>
        <v/>
      </c>
      <c r="D1648" s="12">
        <f>IF(C1648="","",C1648*(1+B1648/100))</f>
        <v/>
      </c>
      <c r="E1648" s="12">
        <f>IF(A1648="","",$B$10*TAN(RADIANS(A1648)))</f>
        <v/>
      </c>
    </row>
    <row r="1649">
      <c r="A1649" s="11" t="n"/>
      <c r="B1649" s="11" t="n"/>
      <c r="C1649" s="12">
        <f>IF(A1649="","",$B$9*TAN(RADIANS(A1649)))</f>
        <v/>
      </c>
      <c r="D1649" s="12">
        <f>IF(C1649="","",C1649*(1+B1649/100))</f>
        <v/>
      </c>
      <c r="E1649" s="12">
        <f>IF(A1649="","",$B$10*TAN(RADIANS(A1649)))</f>
        <v/>
      </c>
    </row>
    <row r="1650">
      <c r="A1650" s="11" t="n"/>
      <c r="B1650" s="11" t="n"/>
      <c r="C1650" s="12">
        <f>IF(A1650="","",$B$9*TAN(RADIANS(A1650)))</f>
        <v/>
      </c>
      <c r="D1650" s="12">
        <f>IF(C1650="","",C1650*(1+B1650/100))</f>
        <v/>
      </c>
      <c r="E1650" s="12">
        <f>IF(A1650="","",$B$10*TAN(RADIANS(A1650)))</f>
        <v/>
      </c>
    </row>
    <row r="1651">
      <c r="A1651" s="11" t="n"/>
      <c r="B1651" s="11" t="n"/>
      <c r="C1651" s="12">
        <f>IF(A1651="","",$B$9*TAN(RADIANS(A1651)))</f>
        <v/>
      </c>
      <c r="D1651" s="12">
        <f>IF(C1651="","",C1651*(1+B1651/100))</f>
        <v/>
      </c>
      <c r="E1651" s="12">
        <f>IF(A1651="","",$B$10*TAN(RADIANS(A1651)))</f>
        <v/>
      </c>
    </row>
    <row r="1652">
      <c r="A1652" s="11" t="n"/>
      <c r="B1652" s="11" t="n"/>
      <c r="C1652" s="12">
        <f>IF(A1652="","",$B$9*TAN(RADIANS(A1652)))</f>
        <v/>
      </c>
      <c r="D1652" s="12">
        <f>IF(C1652="","",C1652*(1+B1652/100))</f>
        <v/>
      </c>
      <c r="E1652" s="12">
        <f>IF(A1652="","",$B$10*TAN(RADIANS(A1652)))</f>
        <v/>
      </c>
    </row>
    <row r="1653">
      <c r="A1653" s="11" t="n"/>
      <c r="B1653" s="11" t="n"/>
      <c r="C1653" s="12">
        <f>IF(A1653="","",$B$9*TAN(RADIANS(A1653)))</f>
        <v/>
      </c>
      <c r="D1653" s="12">
        <f>IF(C1653="","",C1653*(1+B1653/100))</f>
        <v/>
      </c>
      <c r="E1653" s="12">
        <f>IF(A1653="","",$B$10*TAN(RADIANS(A1653)))</f>
        <v/>
      </c>
    </row>
    <row r="1654">
      <c r="A1654" s="11" t="n"/>
      <c r="B1654" s="11" t="n"/>
      <c r="C1654" s="12">
        <f>IF(A1654="","",$B$9*TAN(RADIANS(A1654)))</f>
        <v/>
      </c>
      <c r="D1654" s="12">
        <f>IF(C1654="","",C1654*(1+B1654/100))</f>
        <v/>
      </c>
      <c r="E1654" s="12">
        <f>IF(A1654="","",$B$10*TAN(RADIANS(A1654)))</f>
        <v/>
      </c>
    </row>
    <row r="1655">
      <c r="A1655" s="11" t="n"/>
      <c r="B1655" s="11" t="n"/>
      <c r="C1655" s="12">
        <f>IF(A1655="","",$B$9*TAN(RADIANS(A1655)))</f>
        <v/>
      </c>
      <c r="D1655" s="12">
        <f>IF(C1655="","",C1655*(1+B1655/100))</f>
        <v/>
      </c>
      <c r="E1655" s="12">
        <f>IF(A1655="","",$B$10*TAN(RADIANS(A1655)))</f>
        <v/>
      </c>
    </row>
    <row r="1656">
      <c r="A1656" s="11" t="n"/>
      <c r="B1656" s="11" t="n"/>
      <c r="C1656" s="12">
        <f>IF(A1656="","",$B$9*TAN(RADIANS(A1656)))</f>
        <v/>
      </c>
      <c r="D1656" s="12">
        <f>IF(C1656="","",C1656*(1+B1656/100))</f>
        <v/>
      </c>
      <c r="E1656" s="12">
        <f>IF(A1656="","",$B$10*TAN(RADIANS(A1656)))</f>
        <v/>
      </c>
    </row>
    <row r="1657">
      <c r="A1657" s="11" t="n"/>
      <c r="B1657" s="11" t="n"/>
      <c r="C1657" s="12">
        <f>IF(A1657="","",$B$9*TAN(RADIANS(A1657)))</f>
        <v/>
      </c>
      <c r="D1657" s="12">
        <f>IF(C1657="","",C1657*(1+B1657/100))</f>
        <v/>
      </c>
      <c r="E1657" s="12">
        <f>IF(A1657="","",$B$10*TAN(RADIANS(A1657)))</f>
        <v/>
      </c>
    </row>
    <row r="1658">
      <c r="A1658" s="11" t="n"/>
      <c r="B1658" s="11" t="n"/>
      <c r="C1658" s="12">
        <f>IF(A1658="","",$B$9*TAN(RADIANS(A1658)))</f>
        <v/>
      </c>
      <c r="D1658" s="12">
        <f>IF(C1658="","",C1658*(1+B1658/100))</f>
        <v/>
      </c>
      <c r="E1658" s="12">
        <f>IF(A1658="","",$B$10*TAN(RADIANS(A1658)))</f>
        <v/>
      </c>
    </row>
    <row r="1659">
      <c r="A1659" s="11" t="n"/>
      <c r="B1659" s="11" t="n"/>
      <c r="C1659" s="12">
        <f>IF(A1659="","",$B$9*TAN(RADIANS(A1659)))</f>
        <v/>
      </c>
      <c r="D1659" s="12">
        <f>IF(C1659="","",C1659*(1+B1659/100))</f>
        <v/>
      </c>
      <c r="E1659" s="12">
        <f>IF(A1659="","",$B$10*TAN(RADIANS(A1659)))</f>
        <v/>
      </c>
    </row>
    <row r="1660">
      <c r="A1660" s="11" t="n"/>
      <c r="B1660" s="11" t="n"/>
      <c r="C1660" s="12">
        <f>IF(A1660="","",$B$9*TAN(RADIANS(A1660)))</f>
        <v/>
      </c>
      <c r="D1660" s="12">
        <f>IF(C1660="","",C1660*(1+B1660/100))</f>
        <v/>
      </c>
      <c r="E1660" s="12">
        <f>IF(A1660="","",$B$10*TAN(RADIANS(A1660)))</f>
        <v/>
      </c>
    </row>
    <row r="1661">
      <c r="A1661" s="11" t="n"/>
      <c r="B1661" s="11" t="n"/>
      <c r="C1661" s="12">
        <f>IF(A1661="","",$B$9*TAN(RADIANS(A1661)))</f>
        <v/>
      </c>
      <c r="D1661" s="12">
        <f>IF(C1661="","",C1661*(1+B1661/100))</f>
        <v/>
      </c>
      <c r="E1661" s="12">
        <f>IF(A1661="","",$B$10*TAN(RADIANS(A1661)))</f>
        <v/>
      </c>
    </row>
    <row r="1662">
      <c r="A1662" s="11" t="n"/>
      <c r="B1662" s="11" t="n"/>
      <c r="C1662" s="12">
        <f>IF(A1662="","",$B$9*TAN(RADIANS(A1662)))</f>
        <v/>
      </c>
      <c r="D1662" s="12">
        <f>IF(C1662="","",C1662*(1+B1662/100))</f>
        <v/>
      </c>
      <c r="E1662" s="12">
        <f>IF(A1662="","",$B$10*TAN(RADIANS(A1662)))</f>
        <v/>
      </c>
    </row>
    <row r="1663">
      <c r="A1663" s="11" t="n"/>
      <c r="B1663" s="11" t="n"/>
      <c r="C1663" s="12">
        <f>IF(A1663="","",$B$9*TAN(RADIANS(A1663)))</f>
        <v/>
      </c>
      <c r="D1663" s="12">
        <f>IF(C1663="","",C1663*(1+B1663/100))</f>
        <v/>
      </c>
      <c r="E1663" s="12">
        <f>IF(A1663="","",$B$10*TAN(RADIANS(A1663)))</f>
        <v/>
      </c>
    </row>
    <row r="1664">
      <c r="A1664" s="11" t="n"/>
      <c r="B1664" s="11" t="n"/>
      <c r="C1664" s="12">
        <f>IF(A1664="","",$B$9*TAN(RADIANS(A1664)))</f>
        <v/>
      </c>
      <c r="D1664" s="12">
        <f>IF(C1664="","",C1664*(1+B1664/100))</f>
        <v/>
      </c>
      <c r="E1664" s="12">
        <f>IF(A1664="","",$B$10*TAN(RADIANS(A1664)))</f>
        <v/>
      </c>
    </row>
    <row r="1665">
      <c r="A1665" s="11" t="n"/>
      <c r="B1665" s="11" t="n"/>
      <c r="C1665" s="12">
        <f>IF(A1665="","",$B$9*TAN(RADIANS(A1665)))</f>
        <v/>
      </c>
      <c r="D1665" s="12">
        <f>IF(C1665="","",C1665*(1+B1665/100))</f>
        <v/>
      </c>
      <c r="E1665" s="12">
        <f>IF(A1665="","",$B$10*TAN(RADIANS(A1665)))</f>
        <v/>
      </c>
    </row>
    <row r="1666">
      <c r="A1666" s="11" t="n"/>
      <c r="B1666" s="11" t="n"/>
      <c r="C1666" s="12">
        <f>IF(A1666="","",$B$9*TAN(RADIANS(A1666)))</f>
        <v/>
      </c>
      <c r="D1666" s="12">
        <f>IF(C1666="","",C1666*(1+B1666/100))</f>
        <v/>
      </c>
      <c r="E1666" s="12">
        <f>IF(A1666="","",$B$10*TAN(RADIANS(A1666)))</f>
        <v/>
      </c>
    </row>
    <row r="1667">
      <c r="A1667" s="11" t="n"/>
      <c r="B1667" s="11" t="n"/>
      <c r="C1667" s="12">
        <f>IF(A1667="","",$B$9*TAN(RADIANS(A1667)))</f>
        <v/>
      </c>
      <c r="D1667" s="12">
        <f>IF(C1667="","",C1667*(1+B1667/100))</f>
        <v/>
      </c>
      <c r="E1667" s="12">
        <f>IF(A1667="","",$B$10*TAN(RADIANS(A1667)))</f>
        <v/>
      </c>
    </row>
    <row r="1668">
      <c r="A1668" s="11" t="n"/>
      <c r="B1668" s="11" t="n"/>
      <c r="C1668" s="12">
        <f>IF(A1668="","",$B$9*TAN(RADIANS(A1668)))</f>
        <v/>
      </c>
      <c r="D1668" s="12">
        <f>IF(C1668="","",C1668*(1+B1668/100))</f>
        <v/>
      </c>
      <c r="E1668" s="12">
        <f>IF(A1668="","",$B$10*TAN(RADIANS(A1668)))</f>
        <v/>
      </c>
    </row>
    <row r="1669">
      <c r="A1669" s="11" t="n"/>
      <c r="B1669" s="11" t="n"/>
      <c r="C1669" s="12">
        <f>IF(A1669="","",$B$9*TAN(RADIANS(A1669)))</f>
        <v/>
      </c>
      <c r="D1669" s="12">
        <f>IF(C1669="","",C1669*(1+B1669/100))</f>
        <v/>
      </c>
      <c r="E1669" s="12">
        <f>IF(A1669="","",$B$10*TAN(RADIANS(A1669)))</f>
        <v/>
      </c>
    </row>
    <row r="1670">
      <c r="A1670" s="11" t="n"/>
      <c r="B1670" s="11" t="n"/>
      <c r="C1670" s="12">
        <f>IF(A1670="","",$B$9*TAN(RADIANS(A1670)))</f>
        <v/>
      </c>
      <c r="D1670" s="12">
        <f>IF(C1670="","",C1670*(1+B1670/100))</f>
        <v/>
      </c>
      <c r="E1670" s="12">
        <f>IF(A1670="","",$B$10*TAN(RADIANS(A1670)))</f>
        <v/>
      </c>
    </row>
    <row r="1671">
      <c r="A1671" s="11" t="n"/>
      <c r="B1671" s="11" t="n"/>
      <c r="C1671" s="12">
        <f>IF(A1671="","",$B$9*TAN(RADIANS(A1671)))</f>
        <v/>
      </c>
      <c r="D1671" s="12">
        <f>IF(C1671="","",C1671*(1+B1671/100))</f>
        <v/>
      </c>
      <c r="E1671" s="12">
        <f>IF(A1671="","",$B$10*TAN(RADIANS(A1671)))</f>
        <v/>
      </c>
    </row>
    <row r="1672">
      <c r="A1672" s="11" t="n"/>
      <c r="B1672" s="11" t="n"/>
      <c r="C1672" s="12">
        <f>IF(A1672="","",$B$9*TAN(RADIANS(A1672)))</f>
        <v/>
      </c>
      <c r="D1672" s="12">
        <f>IF(C1672="","",C1672*(1+B1672/100))</f>
        <v/>
      </c>
      <c r="E1672" s="12">
        <f>IF(A1672="","",$B$10*TAN(RADIANS(A1672)))</f>
        <v/>
      </c>
    </row>
    <row r="1673">
      <c r="A1673" s="11" t="n"/>
      <c r="B1673" s="11" t="n"/>
      <c r="C1673" s="12">
        <f>IF(A1673="","",$B$9*TAN(RADIANS(A1673)))</f>
        <v/>
      </c>
      <c r="D1673" s="12">
        <f>IF(C1673="","",C1673*(1+B1673/100))</f>
        <v/>
      </c>
      <c r="E1673" s="12">
        <f>IF(A1673="","",$B$10*TAN(RADIANS(A1673)))</f>
        <v/>
      </c>
    </row>
    <row r="1674">
      <c r="A1674" s="11" t="n"/>
      <c r="B1674" s="11" t="n"/>
      <c r="C1674" s="12">
        <f>IF(A1674="","",$B$9*TAN(RADIANS(A1674)))</f>
        <v/>
      </c>
      <c r="D1674" s="12">
        <f>IF(C1674="","",C1674*(1+B1674/100))</f>
        <v/>
      </c>
      <c r="E1674" s="12">
        <f>IF(A1674="","",$B$10*TAN(RADIANS(A1674)))</f>
        <v/>
      </c>
    </row>
    <row r="1675">
      <c r="A1675" s="11" t="n"/>
      <c r="B1675" s="11" t="n"/>
      <c r="C1675" s="12">
        <f>IF(A1675="","",$B$9*TAN(RADIANS(A1675)))</f>
        <v/>
      </c>
      <c r="D1675" s="12">
        <f>IF(C1675="","",C1675*(1+B1675/100))</f>
        <v/>
      </c>
      <c r="E1675" s="12">
        <f>IF(A1675="","",$B$10*TAN(RADIANS(A1675)))</f>
        <v/>
      </c>
    </row>
    <row r="1676">
      <c r="A1676" s="11" t="n"/>
      <c r="B1676" s="11" t="n"/>
      <c r="C1676" s="12">
        <f>IF(A1676="","",$B$9*TAN(RADIANS(A1676)))</f>
        <v/>
      </c>
      <c r="D1676" s="12">
        <f>IF(C1676="","",C1676*(1+B1676/100))</f>
        <v/>
      </c>
      <c r="E1676" s="12">
        <f>IF(A1676="","",$B$10*TAN(RADIANS(A1676)))</f>
        <v/>
      </c>
    </row>
    <row r="1677">
      <c r="A1677" s="11" t="n"/>
      <c r="B1677" s="11" t="n"/>
      <c r="C1677" s="12">
        <f>IF(A1677="","",$B$9*TAN(RADIANS(A1677)))</f>
        <v/>
      </c>
      <c r="D1677" s="12">
        <f>IF(C1677="","",C1677*(1+B1677/100))</f>
        <v/>
      </c>
      <c r="E1677" s="12">
        <f>IF(A1677="","",$B$10*TAN(RADIANS(A1677)))</f>
        <v/>
      </c>
    </row>
    <row r="1678">
      <c r="A1678" s="11" t="n"/>
      <c r="B1678" s="11" t="n"/>
      <c r="C1678" s="12">
        <f>IF(A1678="","",$B$9*TAN(RADIANS(A1678)))</f>
        <v/>
      </c>
      <c r="D1678" s="12">
        <f>IF(C1678="","",C1678*(1+B1678/100))</f>
        <v/>
      </c>
      <c r="E1678" s="12">
        <f>IF(A1678="","",$B$10*TAN(RADIANS(A1678)))</f>
        <v/>
      </c>
    </row>
    <row r="1679">
      <c r="A1679" s="11" t="n"/>
      <c r="B1679" s="11" t="n"/>
      <c r="C1679" s="12">
        <f>IF(A1679="","",$B$9*TAN(RADIANS(A1679)))</f>
        <v/>
      </c>
      <c r="D1679" s="12">
        <f>IF(C1679="","",C1679*(1+B1679/100))</f>
        <v/>
      </c>
      <c r="E1679" s="12">
        <f>IF(A1679="","",$B$10*TAN(RADIANS(A1679)))</f>
        <v/>
      </c>
    </row>
    <row r="1680">
      <c r="A1680" s="11" t="n"/>
      <c r="B1680" s="11" t="n"/>
      <c r="C1680" s="12">
        <f>IF(A1680="","",$B$9*TAN(RADIANS(A1680)))</f>
        <v/>
      </c>
      <c r="D1680" s="12">
        <f>IF(C1680="","",C1680*(1+B1680/100))</f>
        <v/>
      </c>
      <c r="E1680" s="12">
        <f>IF(A1680="","",$B$10*TAN(RADIANS(A1680)))</f>
        <v/>
      </c>
    </row>
    <row r="1681">
      <c r="A1681" s="11" t="n"/>
      <c r="B1681" s="11" t="n"/>
      <c r="C1681" s="12">
        <f>IF(A1681="","",$B$9*TAN(RADIANS(A1681)))</f>
        <v/>
      </c>
      <c r="D1681" s="12">
        <f>IF(C1681="","",C1681*(1+B1681/100))</f>
        <v/>
      </c>
      <c r="E1681" s="12">
        <f>IF(A1681="","",$B$10*TAN(RADIANS(A1681)))</f>
        <v/>
      </c>
    </row>
    <row r="1682">
      <c r="A1682" s="11" t="n"/>
      <c r="B1682" s="11" t="n"/>
      <c r="C1682" s="12">
        <f>IF(A1682="","",$B$9*TAN(RADIANS(A1682)))</f>
        <v/>
      </c>
      <c r="D1682" s="12">
        <f>IF(C1682="","",C1682*(1+B1682/100))</f>
        <v/>
      </c>
      <c r="E1682" s="12">
        <f>IF(A1682="","",$B$10*TAN(RADIANS(A1682)))</f>
        <v/>
      </c>
    </row>
    <row r="1683">
      <c r="A1683" s="11" t="n"/>
      <c r="B1683" s="11" t="n"/>
      <c r="C1683" s="12">
        <f>IF(A1683="","",$B$9*TAN(RADIANS(A1683)))</f>
        <v/>
      </c>
      <c r="D1683" s="12">
        <f>IF(C1683="","",C1683*(1+B1683/100))</f>
        <v/>
      </c>
      <c r="E1683" s="12">
        <f>IF(A1683="","",$B$10*TAN(RADIANS(A1683)))</f>
        <v/>
      </c>
    </row>
    <row r="1684">
      <c r="A1684" s="11" t="n"/>
      <c r="B1684" s="11" t="n"/>
      <c r="C1684" s="12">
        <f>IF(A1684="","",$B$9*TAN(RADIANS(A1684)))</f>
        <v/>
      </c>
      <c r="D1684" s="12">
        <f>IF(C1684="","",C1684*(1+B1684/100))</f>
        <v/>
      </c>
      <c r="E1684" s="12">
        <f>IF(A1684="","",$B$10*TAN(RADIANS(A1684)))</f>
        <v/>
      </c>
    </row>
    <row r="1685">
      <c r="A1685" s="11" t="n"/>
      <c r="B1685" s="11" t="n"/>
      <c r="C1685" s="12">
        <f>IF(A1685="","",$B$9*TAN(RADIANS(A1685)))</f>
        <v/>
      </c>
      <c r="D1685" s="12">
        <f>IF(C1685="","",C1685*(1+B1685/100))</f>
        <v/>
      </c>
      <c r="E1685" s="12">
        <f>IF(A1685="","",$B$10*TAN(RADIANS(A1685)))</f>
        <v/>
      </c>
    </row>
    <row r="1686">
      <c r="A1686" s="11" t="n"/>
      <c r="B1686" s="11" t="n"/>
      <c r="C1686" s="12">
        <f>IF(A1686="","",$B$9*TAN(RADIANS(A1686)))</f>
        <v/>
      </c>
      <c r="D1686" s="12">
        <f>IF(C1686="","",C1686*(1+B1686/100))</f>
        <v/>
      </c>
      <c r="E1686" s="12">
        <f>IF(A1686="","",$B$10*TAN(RADIANS(A1686)))</f>
        <v/>
      </c>
    </row>
    <row r="1687">
      <c r="A1687" s="11" t="n"/>
      <c r="B1687" s="11" t="n"/>
      <c r="C1687" s="12">
        <f>IF(A1687="","",$B$9*TAN(RADIANS(A1687)))</f>
        <v/>
      </c>
      <c r="D1687" s="12">
        <f>IF(C1687="","",C1687*(1+B1687/100))</f>
        <v/>
      </c>
      <c r="E1687" s="12">
        <f>IF(A1687="","",$B$10*TAN(RADIANS(A1687)))</f>
        <v/>
      </c>
    </row>
    <row r="1688">
      <c r="A1688" s="11" t="n"/>
      <c r="B1688" s="11" t="n"/>
      <c r="C1688" s="12">
        <f>IF(A1688="","",$B$9*TAN(RADIANS(A1688)))</f>
        <v/>
      </c>
      <c r="D1688" s="12">
        <f>IF(C1688="","",C1688*(1+B1688/100))</f>
        <v/>
      </c>
      <c r="E1688" s="12">
        <f>IF(A1688="","",$B$10*TAN(RADIANS(A1688)))</f>
        <v/>
      </c>
    </row>
    <row r="1689">
      <c r="A1689" s="11" t="n"/>
      <c r="B1689" s="11" t="n"/>
      <c r="C1689" s="12">
        <f>IF(A1689="","",$B$9*TAN(RADIANS(A1689)))</f>
        <v/>
      </c>
      <c r="D1689" s="12">
        <f>IF(C1689="","",C1689*(1+B1689/100))</f>
        <v/>
      </c>
      <c r="E1689" s="12">
        <f>IF(A1689="","",$B$10*TAN(RADIANS(A1689)))</f>
        <v/>
      </c>
    </row>
    <row r="1690">
      <c r="A1690" s="11" t="n"/>
      <c r="B1690" s="11" t="n"/>
      <c r="C1690" s="12">
        <f>IF(A1690="","",$B$9*TAN(RADIANS(A1690)))</f>
        <v/>
      </c>
      <c r="D1690" s="12">
        <f>IF(C1690="","",C1690*(1+B1690/100))</f>
        <v/>
      </c>
      <c r="E1690" s="12">
        <f>IF(A1690="","",$B$10*TAN(RADIANS(A1690)))</f>
        <v/>
      </c>
    </row>
    <row r="1691">
      <c r="A1691" s="11" t="n"/>
      <c r="B1691" s="11" t="n"/>
      <c r="C1691" s="12">
        <f>IF(A1691="","",$B$9*TAN(RADIANS(A1691)))</f>
        <v/>
      </c>
      <c r="D1691" s="12">
        <f>IF(C1691="","",C1691*(1+B1691/100))</f>
        <v/>
      </c>
      <c r="E1691" s="12">
        <f>IF(A1691="","",$B$10*TAN(RADIANS(A1691)))</f>
        <v/>
      </c>
    </row>
    <row r="1692">
      <c r="A1692" s="11" t="n"/>
      <c r="B1692" s="11" t="n"/>
      <c r="C1692" s="12">
        <f>IF(A1692="","",$B$9*TAN(RADIANS(A1692)))</f>
        <v/>
      </c>
      <c r="D1692" s="12">
        <f>IF(C1692="","",C1692*(1+B1692/100))</f>
        <v/>
      </c>
      <c r="E1692" s="12">
        <f>IF(A1692="","",$B$10*TAN(RADIANS(A1692)))</f>
        <v/>
      </c>
    </row>
    <row r="1693">
      <c r="A1693" s="11" t="n"/>
      <c r="B1693" s="11" t="n"/>
      <c r="C1693" s="12">
        <f>IF(A1693="","",$B$9*TAN(RADIANS(A1693)))</f>
        <v/>
      </c>
      <c r="D1693" s="12">
        <f>IF(C1693="","",C1693*(1+B1693/100))</f>
        <v/>
      </c>
      <c r="E1693" s="12">
        <f>IF(A1693="","",$B$10*TAN(RADIANS(A1693)))</f>
        <v/>
      </c>
    </row>
    <row r="1694">
      <c r="A1694" s="11" t="n"/>
      <c r="B1694" s="11" t="n"/>
      <c r="C1694" s="12">
        <f>IF(A1694="","",$B$9*TAN(RADIANS(A1694)))</f>
        <v/>
      </c>
      <c r="D1694" s="12">
        <f>IF(C1694="","",C1694*(1+B1694/100))</f>
        <v/>
      </c>
      <c r="E1694" s="12">
        <f>IF(A1694="","",$B$10*TAN(RADIANS(A1694)))</f>
        <v/>
      </c>
    </row>
    <row r="1695">
      <c r="A1695" s="11" t="n"/>
      <c r="B1695" s="11" t="n"/>
      <c r="C1695" s="12">
        <f>IF(A1695="","",$B$9*TAN(RADIANS(A1695)))</f>
        <v/>
      </c>
      <c r="D1695" s="12">
        <f>IF(C1695="","",C1695*(1+B1695/100))</f>
        <v/>
      </c>
      <c r="E1695" s="12">
        <f>IF(A1695="","",$B$10*TAN(RADIANS(A1695)))</f>
        <v/>
      </c>
    </row>
    <row r="1696">
      <c r="A1696" s="11" t="n"/>
      <c r="B1696" s="11" t="n"/>
      <c r="C1696" s="12">
        <f>IF(A1696="","",$B$9*TAN(RADIANS(A1696)))</f>
        <v/>
      </c>
      <c r="D1696" s="12">
        <f>IF(C1696="","",C1696*(1+B1696/100))</f>
        <v/>
      </c>
      <c r="E1696" s="12">
        <f>IF(A1696="","",$B$10*TAN(RADIANS(A1696)))</f>
        <v/>
      </c>
    </row>
    <row r="1697">
      <c r="A1697" s="11" t="n"/>
      <c r="B1697" s="11" t="n"/>
      <c r="C1697" s="12">
        <f>IF(A1697="","",$B$9*TAN(RADIANS(A1697)))</f>
        <v/>
      </c>
      <c r="D1697" s="12">
        <f>IF(C1697="","",C1697*(1+B1697/100))</f>
        <v/>
      </c>
      <c r="E1697" s="12">
        <f>IF(A1697="","",$B$10*TAN(RADIANS(A1697)))</f>
        <v/>
      </c>
    </row>
    <row r="1698">
      <c r="A1698" s="11" t="n"/>
      <c r="B1698" s="11" t="n"/>
      <c r="C1698" s="12">
        <f>IF(A1698="","",$B$9*TAN(RADIANS(A1698)))</f>
        <v/>
      </c>
      <c r="D1698" s="12">
        <f>IF(C1698="","",C1698*(1+B1698/100))</f>
        <v/>
      </c>
      <c r="E1698" s="12">
        <f>IF(A1698="","",$B$10*TAN(RADIANS(A1698)))</f>
        <v/>
      </c>
    </row>
    <row r="1699">
      <c r="A1699" s="11" t="n"/>
      <c r="B1699" s="11" t="n"/>
      <c r="C1699" s="12">
        <f>IF(A1699="","",$B$9*TAN(RADIANS(A1699)))</f>
        <v/>
      </c>
      <c r="D1699" s="12">
        <f>IF(C1699="","",C1699*(1+B1699/100))</f>
        <v/>
      </c>
      <c r="E1699" s="12">
        <f>IF(A1699="","",$B$10*TAN(RADIANS(A1699)))</f>
        <v/>
      </c>
    </row>
    <row r="1700">
      <c r="A1700" s="11" t="n"/>
      <c r="B1700" s="11" t="n"/>
      <c r="C1700" s="12">
        <f>IF(A1700="","",$B$9*TAN(RADIANS(A1700)))</f>
        <v/>
      </c>
      <c r="D1700" s="12">
        <f>IF(C1700="","",C1700*(1+B1700/100))</f>
        <v/>
      </c>
      <c r="E1700" s="12">
        <f>IF(A1700="","",$B$10*TAN(RADIANS(A1700)))</f>
        <v/>
      </c>
    </row>
    <row r="1701">
      <c r="A1701" s="11" t="n"/>
      <c r="B1701" s="11" t="n"/>
      <c r="C1701" s="12">
        <f>IF(A1701="","",$B$9*TAN(RADIANS(A1701)))</f>
        <v/>
      </c>
      <c r="D1701" s="12">
        <f>IF(C1701="","",C1701*(1+B1701/100))</f>
        <v/>
      </c>
      <c r="E1701" s="12">
        <f>IF(A1701="","",$B$10*TAN(RADIANS(A1701)))</f>
        <v/>
      </c>
    </row>
    <row r="1702">
      <c r="A1702" s="11" t="n"/>
      <c r="B1702" s="11" t="n"/>
      <c r="C1702" s="12">
        <f>IF(A1702="","",$B$9*TAN(RADIANS(A1702)))</f>
        <v/>
      </c>
      <c r="D1702" s="12">
        <f>IF(C1702="","",C1702*(1+B1702/100))</f>
        <v/>
      </c>
      <c r="E1702" s="12">
        <f>IF(A1702="","",$B$10*TAN(RADIANS(A1702)))</f>
        <v/>
      </c>
    </row>
    <row r="1703">
      <c r="A1703" s="11" t="n"/>
      <c r="B1703" s="11" t="n"/>
      <c r="C1703" s="12">
        <f>IF(A1703="","",$B$9*TAN(RADIANS(A1703)))</f>
        <v/>
      </c>
      <c r="D1703" s="12">
        <f>IF(C1703="","",C1703*(1+B1703/100))</f>
        <v/>
      </c>
      <c r="E1703" s="12">
        <f>IF(A1703="","",$B$10*TAN(RADIANS(A1703)))</f>
        <v/>
      </c>
    </row>
    <row r="1704">
      <c r="A1704" s="11" t="n"/>
      <c r="B1704" s="11" t="n"/>
      <c r="C1704" s="12">
        <f>IF(A1704="","",$B$9*TAN(RADIANS(A1704)))</f>
        <v/>
      </c>
      <c r="D1704" s="12">
        <f>IF(C1704="","",C1704*(1+B1704/100))</f>
        <v/>
      </c>
      <c r="E1704" s="12">
        <f>IF(A1704="","",$B$10*TAN(RADIANS(A1704)))</f>
        <v/>
      </c>
    </row>
    <row r="1705">
      <c r="A1705" s="11" t="n"/>
      <c r="B1705" s="11" t="n"/>
      <c r="C1705" s="12">
        <f>IF(A1705="","",$B$9*TAN(RADIANS(A1705)))</f>
        <v/>
      </c>
      <c r="D1705" s="12">
        <f>IF(C1705="","",C1705*(1+B1705/100))</f>
        <v/>
      </c>
      <c r="E1705" s="12">
        <f>IF(A1705="","",$B$10*TAN(RADIANS(A1705)))</f>
        <v/>
      </c>
    </row>
    <row r="1706">
      <c r="A1706" s="11" t="n"/>
      <c r="B1706" s="11" t="n"/>
      <c r="C1706" s="12">
        <f>IF(A1706="","",$B$9*TAN(RADIANS(A1706)))</f>
        <v/>
      </c>
      <c r="D1706" s="12">
        <f>IF(C1706="","",C1706*(1+B1706/100))</f>
        <v/>
      </c>
      <c r="E1706" s="12">
        <f>IF(A1706="","",$B$10*TAN(RADIANS(A1706)))</f>
        <v/>
      </c>
    </row>
    <row r="1707">
      <c r="A1707" s="11" t="n"/>
      <c r="B1707" s="11" t="n"/>
      <c r="C1707" s="12">
        <f>IF(A1707="","",$B$9*TAN(RADIANS(A1707)))</f>
        <v/>
      </c>
      <c r="D1707" s="12">
        <f>IF(C1707="","",C1707*(1+B1707/100))</f>
        <v/>
      </c>
      <c r="E1707" s="12">
        <f>IF(A1707="","",$B$10*TAN(RADIANS(A1707)))</f>
        <v/>
      </c>
    </row>
    <row r="1708">
      <c r="A1708" s="11" t="n"/>
      <c r="B1708" s="11" t="n"/>
      <c r="C1708" s="12">
        <f>IF(A1708="","",$B$9*TAN(RADIANS(A1708)))</f>
        <v/>
      </c>
      <c r="D1708" s="12">
        <f>IF(C1708="","",C1708*(1+B1708/100))</f>
        <v/>
      </c>
      <c r="E1708" s="12">
        <f>IF(A1708="","",$B$10*TAN(RADIANS(A1708)))</f>
        <v/>
      </c>
    </row>
    <row r="1709">
      <c r="A1709" s="11" t="n"/>
      <c r="B1709" s="11" t="n"/>
      <c r="C1709" s="12">
        <f>IF(A1709="","",$B$9*TAN(RADIANS(A1709)))</f>
        <v/>
      </c>
      <c r="D1709" s="12">
        <f>IF(C1709="","",C1709*(1+B1709/100))</f>
        <v/>
      </c>
      <c r="E1709" s="12">
        <f>IF(A1709="","",$B$10*TAN(RADIANS(A1709)))</f>
        <v/>
      </c>
    </row>
    <row r="1710">
      <c r="A1710" s="11" t="n"/>
      <c r="B1710" s="11" t="n"/>
      <c r="C1710" s="12">
        <f>IF(A1710="","",$B$9*TAN(RADIANS(A1710)))</f>
        <v/>
      </c>
      <c r="D1710" s="12">
        <f>IF(C1710="","",C1710*(1+B1710/100))</f>
        <v/>
      </c>
      <c r="E1710" s="12">
        <f>IF(A1710="","",$B$10*TAN(RADIANS(A1710)))</f>
        <v/>
      </c>
    </row>
    <row r="1711">
      <c r="A1711" s="11" t="n"/>
      <c r="B1711" s="11" t="n"/>
      <c r="C1711" s="12">
        <f>IF(A1711="","",$B$9*TAN(RADIANS(A1711)))</f>
        <v/>
      </c>
      <c r="D1711" s="12">
        <f>IF(C1711="","",C1711*(1+B1711/100))</f>
        <v/>
      </c>
      <c r="E1711" s="12">
        <f>IF(A1711="","",$B$10*TAN(RADIANS(A1711)))</f>
        <v/>
      </c>
    </row>
    <row r="1712">
      <c r="A1712" s="11" t="n"/>
      <c r="B1712" s="11" t="n"/>
      <c r="C1712" s="12">
        <f>IF(A1712="","",$B$9*TAN(RADIANS(A1712)))</f>
        <v/>
      </c>
      <c r="D1712" s="12">
        <f>IF(C1712="","",C1712*(1+B1712/100))</f>
        <v/>
      </c>
      <c r="E1712" s="12">
        <f>IF(A1712="","",$B$10*TAN(RADIANS(A1712)))</f>
        <v/>
      </c>
    </row>
    <row r="1713">
      <c r="A1713" s="11" t="n"/>
      <c r="B1713" s="11" t="n"/>
      <c r="C1713" s="12">
        <f>IF(A1713="","",$B$9*TAN(RADIANS(A1713)))</f>
        <v/>
      </c>
      <c r="D1713" s="12">
        <f>IF(C1713="","",C1713*(1+B1713/100))</f>
        <v/>
      </c>
      <c r="E1713" s="12">
        <f>IF(A1713="","",$B$10*TAN(RADIANS(A1713)))</f>
        <v/>
      </c>
    </row>
    <row r="1714">
      <c r="A1714" s="11" t="n"/>
      <c r="B1714" s="11" t="n"/>
      <c r="C1714" s="12">
        <f>IF(A1714="","",$B$9*TAN(RADIANS(A1714)))</f>
        <v/>
      </c>
      <c r="D1714" s="12">
        <f>IF(C1714="","",C1714*(1+B1714/100))</f>
        <v/>
      </c>
      <c r="E1714" s="12">
        <f>IF(A1714="","",$B$10*TAN(RADIANS(A1714)))</f>
        <v/>
      </c>
    </row>
    <row r="1715">
      <c r="A1715" s="11" t="n"/>
      <c r="B1715" s="11" t="n"/>
      <c r="C1715" s="12">
        <f>IF(A1715="","",$B$9*TAN(RADIANS(A1715)))</f>
        <v/>
      </c>
      <c r="D1715" s="12">
        <f>IF(C1715="","",C1715*(1+B1715/100))</f>
        <v/>
      </c>
      <c r="E1715" s="12">
        <f>IF(A1715="","",$B$10*TAN(RADIANS(A1715)))</f>
        <v/>
      </c>
    </row>
    <row r="1716">
      <c r="A1716" s="11" t="n"/>
      <c r="B1716" s="11" t="n"/>
      <c r="C1716" s="12">
        <f>IF(A1716="","",$B$9*TAN(RADIANS(A1716)))</f>
        <v/>
      </c>
      <c r="D1716" s="12">
        <f>IF(C1716="","",C1716*(1+B1716/100))</f>
        <v/>
      </c>
      <c r="E1716" s="12">
        <f>IF(A1716="","",$B$10*TAN(RADIANS(A1716)))</f>
        <v/>
      </c>
    </row>
    <row r="1717">
      <c r="A1717" s="11" t="n"/>
      <c r="B1717" s="11" t="n"/>
      <c r="C1717" s="12">
        <f>IF(A1717="","",$B$9*TAN(RADIANS(A1717)))</f>
        <v/>
      </c>
      <c r="D1717" s="12">
        <f>IF(C1717="","",C1717*(1+B1717/100))</f>
        <v/>
      </c>
      <c r="E1717" s="12">
        <f>IF(A1717="","",$B$10*TAN(RADIANS(A1717)))</f>
        <v/>
      </c>
    </row>
    <row r="1718">
      <c r="A1718" s="11" t="n"/>
      <c r="B1718" s="11" t="n"/>
      <c r="C1718" s="12">
        <f>IF(A1718="","",$B$9*TAN(RADIANS(A1718)))</f>
        <v/>
      </c>
      <c r="D1718" s="12">
        <f>IF(C1718="","",C1718*(1+B1718/100))</f>
        <v/>
      </c>
      <c r="E1718" s="12">
        <f>IF(A1718="","",$B$10*TAN(RADIANS(A1718)))</f>
        <v/>
      </c>
    </row>
    <row r="1719">
      <c r="A1719" s="11" t="n"/>
      <c r="B1719" s="11" t="n"/>
      <c r="C1719" s="12">
        <f>IF(A1719="","",$B$9*TAN(RADIANS(A1719)))</f>
        <v/>
      </c>
      <c r="D1719" s="12">
        <f>IF(C1719="","",C1719*(1+B1719/100))</f>
        <v/>
      </c>
      <c r="E1719" s="12">
        <f>IF(A1719="","",$B$10*TAN(RADIANS(A1719)))</f>
        <v/>
      </c>
    </row>
    <row r="1720">
      <c r="A1720" s="11" t="n"/>
      <c r="B1720" s="11" t="n"/>
      <c r="C1720" s="12">
        <f>IF(A1720="","",$B$9*TAN(RADIANS(A1720)))</f>
        <v/>
      </c>
      <c r="D1720" s="12">
        <f>IF(C1720="","",C1720*(1+B1720/100))</f>
        <v/>
      </c>
      <c r="E1720" s="12">
        <f>IF(A1720="","",$B$10*TAN(RADIANS(A1720)))</f>
        <v/>
      </c>
    </row>
    <row r="1721">
      <c r="A1721" s="11" t="n"/>
      <c r="B1721" s="11" t="n"/>
      <c r="C1721" s="12">
        <f>IF(A1721="","",$B$9*TAN(RADIANS(A1721)))</f>
        <v/>
      </c>
      <c r="D1721" s="12">
        <f>IF(C1721="","",C1721*(1+B1721/100))</f>
        <v/>
      </c>
      <c r="E1721" s="12">
        <f>IF(A1721="","",$B$10*TAN(RADIANS(A1721)))</f>
        <v/>
      </c>
    </row>
    <row r="1722">
      <c r="A1722" s="11" t="n"/>
      <c r="B1722" s="11" t="n"/>
      <c r="C1722" s="12">
        <f>IF(A1722="","",$B$9*TAN(RADIANS(A1722)))</f>
        <v/>
      </c>
      <c r="D1722" s="12">
        <f>IF(C1722="","",C1722*(1+B1722/100))</f>
        <v/>
      </c>
      <c r="E1722" s="12">
        <f>IF(A1722="","",$B$10*TAN(RADIANS(A1722)))</f>
        <v/>
      </c>
    </row>
    <row r="1723">
      <c r="A1723" s="11" t="n"/>
      <c r="B1723" s="11" t="n"/>
      <c r="C1723" s="12">
        <f>IF(A1723="","",$B$9*TAN(RADIANS(A1723)))</f>
        <v/>
      </c>
      <c r="D1723" s="12">
        <f>IF(C1723="","",C1723*(1+B1723/100))</f>
        <v/>
      </c>
      <c r="E1723" s="12">
        <f>IF(A1723="","",$B$10*TAN(RADIANS(A1723)))</f>
        <v/>
      </c>
    </row>
    <row r="1724">
      <c r="A1724" s="11" t="n"/>
      <c r="B1724" s="11" t="n"/>
      <c r="C1724" s="12">
        <f>IF(A1724="","",$B$9*TAN(RADIANS(A1724)))</f>
        <v/>
      </c>
      <c r="D1724" s="12">
        <f>IF(C1724="","",C1724*(1+B1724/100))</f>
        <v/>
      </c>
      <c r="E1724" s="12">
        <f>IF(A1724="","",$B$10*TAN(RADIANS(A1724)))</f>
        <v/>
      </c>
    </row>
    <row r="1725">
      <c r="A1725" s="11" t="n"/>
      <c r="B1725" s="11" t="n"/>
      <c r="C1725" s="12">
        <f>IF(A1725="","",$B$9*TAN(RADIANS(A1725)))</f>
        <v/>
      </c>
      <c r="D1725" s="12">
        <f>IF(C1725="","",C1725*(1+B1725/100))</f>
        <v/>
      </c>
      <c r="E1725" s="12">
        <f>IF(A1725="","",$B$10*TAN(RADIANS(A1725)))</f>
        <v/>
      </c>
    </row>
    <row r="1726">
      <c r="A1726" s="11" t="n"/>
      <c r="B1726" s="11" t="n"/>
      <c r="C1726" s="12">
        <f>IF(A1726="","",$B$9*TAN(RADIANS(A1726)))</f>
        <v/>
      </c>
      <c r="D1726" s="12">
        <f>IF(C1726="","",C1726*(1+B1726/100))</f>
        <v/>
      </c>
      <c r="E1726" s="12">
        <f>IF(A1726="","",$B$10*TAN(RADIANS(A1726)))</f>
        <v/>
      </c>
    </row>
    <row r="1727">
      <c r="A1727" s="11" t="n"/>
      <c r="B1727" s="11" t="n"/>
      <c r="C1727" s="12">
        <f>IF(A1727="","",$B$9*TAN(RADIANS(A1727)))</f>
        <v/>
      </c>
      <c r="D1727" s="12">
        <f>IF(C1727="","",C1727*(1+B1727/100))</f>
        <v/>
      </c>
      <c r="E1727" s="12">
        <f>IF(A1727="","",$B$10*TAN(RADIANS(A1727)))</f>
        <v/>
      </c>
    </row>
    <row r="1728">
      <c r="A1728" s="11" t="n"/>
      <c r="B1728" s="11" t="n"/>
      <c r="C1728" s="12">
        <f>IF(A1728="","",$B$9*TAN(RADIANS(A1728)))</f>
        <v/>
      </c>
      <c r="D1728" s="12">
        <f>IF(C1728="","",C1728*(1+B1728/100))</f>
        <v/>
      </c>
      <c r="E1728" s="12">
        <f>IF(A1728="","",$B$10*TAN(RADIANS(A1728)))</f>
        <v/>
      </c>
    </row>
    <row r="1729">
      <c r="A1729" s="11" t="n"/>
      <c r="B1729" s="11" t="n"/>
      <c r="C1729" s="12">
        <f>IF(A1729="","",$B$9*TAN(RADIANS(A1729)))</f>
        <v/>
      </c>
      <c r="D1729" s="12">
        <f>IF(C1729="","",C1729*(1+B1729/100))</f>
        <v/>
      </c>
      <c r="E1729" s="12">
        <f>IF(A1729="","",$B$10*TAN(RADIANS(A1729)))</f>
        <v/>
      </c>
    </row>
    <row r="1730">
      <c r="A1730" s="11" t="n"/>
      <c r="B1730" s="11" t="n"/>
      <c r="C1730" s="12">
        <f>IF(A1730="","",$B$9*TAN(RADIANS(A1730)))</f>
        <v/>
      </c>
      <c r="D1730" s="12">
        <f>IF(C1730="","",C1730*(1+B1730/100))</f>
        <v/>
      </c>
      <c r="E1730" s="12">
        <f>IF(A1730="","",$B$10*TAN(RADIANS(A1730)))</f>
        <v/>
      </c>
    </row>
    <row r="1731">
      <c r="A1731" s="11" t="n"/>
      <c r="B1731" s="11" t="n"/>
      <c r="C1731" s="12">
        <f>IF(A1731="","",$B$9*TAN(RADIANS(A1731)))</f>
        <v/>
      </c>
      <c r="D1731" s="12">
        <f>IF(C1731="","",C1731*(1+B1731/100))</f>
        <v/>
      </c>
      <c r="E1731" s="12">
        <f>IF(A1731="","",$B$10*TAN(RADIANS(A1731)))</f>
        <v/>
      </c>
    </row>
    <row r="1732">
      <c r="A1732" s="11" t="n"/>
      <c r="B1732" s="11" t="n"/>
      <c r="C1732" s="12">
        <f>IF(A1732="","",$B$9*TAN(RADIANS(A1732)))</f>
        <v/>
      </c>
      <c r="D1732" s="12">
        <f>IF(C1732="","",C1732*(1+B1732/100))</f>
        <v/>
      </c>
      <c r="E1732" s="12">
        <f>IF(A1732="","",$B$10*TAN(RADIANS(A1732)))</f>
        <v/>
      </c>
    </row>
    <row r="1733">
      <c r="A1733" s="11" t="n"/>
      <c r="B1733" s="11" t="n"/>
      <c r="C1733" s="12">
        <f>IF(A1733="","",$B$9*TAN(RADIANS(A1733)))</f>
        <v/>
      </c>
      <c r="D1733" s="12">
        <f>IF(C1733="","",C1733*(1+B1733/100))</f>
        <v/>
      </c>
      <c r="E1733" s="12">
        <f>IF(A1733="","",$B$10*TAN(RADIANS(A1733)))</f>
        <v/>
      </c>
    </row>
    <row r="1734">
      <c r="A1734" s="11" t="n"/>
      <c r="B1734" s="11" t="n"/>
      <c r="C1734" s="12">
        <f>IF(A1734="","",$B$9*TAN(RADIANS(A1734)))</f>
        <v/>
      </c>
      <c r="D1734" s="12">
        <f>IF(C1734="","",C1734*(1+B1734/100))</f>
        <v/>
      </c>
      <c r="E1734" s="12">
        <f>IF(A1734="","",$B$10*TAN(RADIANS(A1734)))</f>
        <v/>
      </c>
    </row>
    <row r="1735">
      <c r="A1735" s="11" t="n"/>
      <c r="B1735" s="11" t="n"/>
      <c r="C1735" s="12">
        <f>IF(A1735="","",$B$9*TAN(RADIANS(A1735)))</f>
        <v/>
      </c>
      <c r="D1735" s="12">
        <f>IF(C1735="","",C1735*(1+B1735/100))</f>
        <v/>
      </c>
      <c r="E1735" s="12">
        <f>IF(A1735="","",$B$10*TAN(RADIANS(A1735)))</f>
        <v/>
      </c>
    </row>
    <row r="1736">
      <c r="A1736" s="11" t="n"/>
      <c r="B1736" s="11" t="n"/>
      <c r="C1736" s="12">
        <f>IF(A1736="","",$B$9*TAN(RADIANS(A1736)))</f>
        <v/>
      </c>
      <c r="D1736" s="12">
        <f>IF(C1736="","",C1736*(1+B1736/100))</f>
        <v/>
      </c>
      <c r="E1736" s="12">
        <f>IF(A1736="","",$B$10*TAN(RADIANS(A1736)))</f>
        <v/>
      </c>
    </row>
    <row r="1737">
      <c r="A1737" s="11" t="n"/>
      <c r="B1737" s="11" t="n"/>
      <c r="C1737" s="12">
        <f>IF(A1737="","",$B$9*TAN(RADIANS(A1737)))</f>
        <v/>
      </c>
      <c r="D1737" s="12">
        <f>IF(C1737="","",C1737*(1+B1737/100))</f>
        <v/>
      </c>
      <c r="E1737" s="12">
        <f>IF(A1737="","",$B$10*TAN(RADIANS(A1737)))</f>
        <v/>
      </c>
    </row>
    <row r="1738">
      <c r="A1738" s="11" t="n"/>
      <c r="B1738" s="11" t="n"/>
      <c r="C1738" s="12">
        <f>IF(A1738="","",$B$9*TAN(RADIANS(A1738)))</f>
        <v/>
      </c>
      <c r="D1738" s="12">
        <f>IF(C1738="","",C1738*(1+B1738/100))</f>
        <v/>
      </c>
      <c r="E1738" s="12">
        <f>IF(A1738="","",$B$10*TAN(RADIANS(A1738)))</f>
        <v/>
      </c>
    </row>
    <row r="1739">
      <c r="A1739" s="11" t="n"/>
      <c r="B1739" s="11" t="n"/>
      <c r="C1739" s="12">
        <f>IF(A1739="","",$B$9*TAN(RADIANS(A1739)))</f>
        <v/>
      </c>
      <c r="D1739" s="12">
        <f>IF(C1739="","",C1739*(1+B1739/100))</f>
        <v/>
      </c>
      <c r="E1739" s="12">
        <f>IF(A1739="","",$B$10*TAN(RADIANS(A1739)))</f>
        <v/>
      </c>
    </row>
    <row r="1740">
      <c r="A1740" s="11" t="n"/>
      <c r="B1740" s="11" t="n"/>
      <c r="C1740" s="12">
        <f>IF(A1740="","",$B$9*TAN(RADIANS(A1740)))</f>
        <v/>
      </c>
      <c r="D1740" s="12">
        <f>IF(C1740="","",C1740*(1+B1740/100))</f>
        <v/>
      </c>
      <c r="E1740" s="12">
        <f>IF(A1740="","",$B$10*TAN(RADIANS(A1740)))</f>
        <v/>
      </c>
    </row>
    <row r="1741">
      <c r="A1741" s="11" t="n"/>
      <c r="B1741" s="11" t="n"/>
      <c r="C1741" s="12">
        <f>IF(A1741="","",$B$9*TAN(RADIANS(A1741)))</f>
        <v/>
      </c>
      <c r="D1741" s="12">
        <f>IF(C1741="","",C1741*(1+B1741/100))</f>
        <v/>
      </c>
      <c r="E1741" s="12">
        <f>IF(A1741="","",$B$10*TAN(RADIANS(A1741)))</f>
        <v/>
      </c>
    </row>
    <row r="1742">
      <c r="A1742" s="11" t="n"/>
      <c r="B1742" s="11" t="n"/>
      <c r="C1742" s="12">
        <f>IF(A1742="","",$B$9*TAN(RADIANS(A1742)))</f>
        <v/>
      </c>
      <c r="D1742" s="12">
        <f>IF(C1742="","",C1742*(1+B1742/100))</f>
        <v/>
      </c>
      <c r="E1742" s="12">
        <f>IF(A1742="","",$B$10*TAN(RADIANS(A1742)))</f>
        <v/>
      </c>
    </row>
    <row r="1743">
      <c r="A1743" s="11" t="n"/>
      <c r="B1743" s="11" t="n"/>
      <c r="C1743" s="12">
        <f>IF(A1743="","",$B$9*TAN(RADIANS(A1743)))</f>
        <v/>
      </c>
      <c r="D1743" s="12">
        <f>IF(C1743="","",C1743*(1+B1743/100))</f>
        <v/>
      </c>
      <c r="E1743" s="12">
        <f>IF(A1743="","",$B$10*TAN(RADIANS(A1743)))</f>
        <v/>
      </c>
    </row>
    <row r="1744">
      <c r="A1744" s="11" t="n"/>
      <c r="B1744" s="11" t="n"/>
      <c r="C1744" s="12">
        <f>IF(A1744="","",$B$9*TAN(RADIANS(A1744)))</f>
        <v/>
      </c>
      <c r="D1744" s="12">
        <f>IF(C1744="","",C1744*(1+B1744/100))</f>
        <v/>
      </c>
      <c r="E1744" s="12">
        <f>IF(A1744="","",$B$10*TAN(RADIANS(A1744)))</f>
        <v/>
      </c>
    </row>
    <row r="1745">
      <c r="A1745" s="11" t="n"/>
      <c r="B1745" s="11" t="n"/>
      <c r="C1745" s="12">
        <f>IF(A1745="","",$B$9*TAN(RADIANS(A1745)))</f>
        <v/>
      </c>
      <c r="D1745" s="12">
        <f>IF(C1745="","",C1745*(1+B1745/100))</f>
        <v/>
      </c>
      <c r="E1745" s="12">
        <f>IF(A1745="","",$B$10*TAN(RADIANS(A1745)))</f>
        <v/>
      </c>
    </row>
    <row r="1746">
      <c r="A1746" s="11" t="n"/>
      <c r="B1746" s="11" t="n"/>
      <c r="C1746" s="12">
        <f>IF(A1746="","",$B$9*TAN(RADIANS(A1746)))</f>
        <v/>
      </c>
      <c r="D1746" s="12">
        <f>IF(C1746="","",C1746*(1+B1746/100))</f>
        <v/>
      </c>
      <c r="E1746" s="12">
        <f>IF(A1746="","",$B$10*TAN(RADIANS(A1746)))</f>
        <v/>
      </c>
    </row>
    <row r="1747">
      <c r="A1747" s="11" t="n"/>
      <c r="B1747" s="11" t="n"/>
      <c r="C1747" s="12">
        <f>IF(A1747="","",$B$9*TAN(RADIANS(A1747)))</f>
        <v/>
      </c>
      <c r="D1747" s="12">
        <f>IF(C1747="","",C1747*(1+B1747/100))</f>
        <v/>
      </c>
      <c r="E1747" s="12">
        <f>IF(A1747="","",$B$10*TAN(RADIANS(A1747)))</f>
        <v/>
      </c>
    </row>
    <row r="1748">
      <c r="A1748" s="11" t="n"/>
      <c r="B1748" s="11" t="n"/>
      <c r="C1748" s="12">
        <f>IF(A1748="","",$B$9*TAN(RADIANS(A1748)))</f>
        <v/>
      </c>
      <c r="D1748" s="12">
        <f>IF(C1748="","",C1748*(1+B1748/100))</f>
        <v/>
      </c>
      <c r="E1748" s="12">
        <f>IF(A1748="","",$B$10*TAN(RADIANS(A1748)))</f>
        <v/>
      </c>
    </row>
    <row r="1749">
      <c r="A1749" s="11" t="n"/>
      <c r="B1749" s="11" t="n"/>
      <c r="C1749" s="12">
        <f>IF(A1749="","",$B$9*TAN(RADIANS(A1749)))</f>
        <v/>
      </c>
      <c r="D1749" s="12">
        <f>IF(C1749="","",C1749*(1+B1749/100))</f>
        <v/>
      </c>
      <c r="E1749" s="12">
        <f>IF(A1749="","",$B$10*TAN(RADIANS(A1749)))</f>
        <v/>
      </c>
    </row>
    <row r="1750">
      <c r="A1750" s="11" t="n"/>
      <c r="B1750" s="11" t="n"/>
      <c r="C1750" s="12">
        <f>IF(A1750="","",$B$9*TAN(RADIANS(A1750)))</f>
        <v/>
      </c>
      <c r="D1750" s="12">
        <f>IF(C1750="","",C1750*(1+B1750/100))</f>
        <v/>
      </c>
      <c r="E1750" s="12">
        <f>IF(A1750="","",$B$10*TAN(RADIANS(A1750)))</f>
        <v/>
      </c>
    </row>
    <row r="1751">
      <c r="A1751" s="11" t="n"/>
      <c r="B1751" s="11" t="n"/>
      <c r="C1751" s="12">
        <f>IF(A1751="","",$B$9*TAN(RADIANS(A1751)))</f>
        <v/>
      </c>
      <c r="D1751" s="12">
        <f>IF(C1751="","",C1751*(1+B1751/100))</f>
        <v/>
      </c>
      <c r="E1751" s="12">
        <f>IF(A1751="","",$B$10*TAN(RADIANS(A1751)))</f>
        <v/>
      </c>
    </row>
    <row r="1752">
      <c r="A1752" s="11" t="n"/>
      <c r="B1752" s="11" t="n"/>
      <c r="C1752" s="12">
        <f>IF(A1752="","",$B$9*TAN(RADIANS(A1752)))</f>
        <v/>
      </c>
      <c r="D1752" s="12">
        <f>IF(C1752="","",C1752*(1+B1752/100))</f>
        <v/>
      </c>
      <c r="E1752" s="12">
        <f>IF(A1752="","",$B$10*TAN(RADIANS(A1752)))</f>
        <v/>
      </c>
    </row>
    <row r="1753">
      <c r="A1753" s="11" t="n"/>
      <c r="B1753" s="11" t="n"/>
      <c r="C1753" s="12">
        <f>IF(A1753="","",$B$9*TAN(RADIANS(A1753)))</f>
        <v/>
      </c>
      <c r="D1753" s="12">
        <f>IF(C1753="","",C1753*(1+B1753/100))</f>
        <v/>
      </c>
      <c r="E1753" s="12">
        <f>IF(A1753="","",$B$10*TAN(RADIANS(A1753)))</f>
        <v/>
      </c>
    </row>
    <row r="1754">
      <c r="A1754" s="11" t="n"/>
      <c r="B1754" s="11" t="n"/>
      <c r="C1754" s="12">
        <f>IF(A1754="","",$B$9*TAN(RADIANS(A1754)))</f>
        <v/>
      </c>
      <c r="D1754" s="12">
        <f>IF(C1754="","",C1754*(1+B1754/100))</f>
        <v/>
      </c>
      <c r="E1754" s="12">
        <f>IF(A1754="","",$B$10*TAN(RADIANS(A1754)))</f>
        <v/>
      </c>
    </row>
    <row r="1755">
      <c r="A1755" s="11" t="n"/>
      <c r="B1755" s="11" t="n"/>
      <c r="C1755" s="12">
        <f>IF(A1755="","",$B$9*TAN(RADIANS(A1755)))</f>
        <v/>
      </c>
      <c r="D1755" s="12">
        <f>IF(C1755="","",C1755*(1+B1755/100))</f>
        <v/>
      </c>
      <c r="E1755" s="12">
        <f>IF(A1755="","",$B$10*TAN(RADIANS(A1755)))</f>
        <v/>
      </c>
    </row>
    <row r="1756">
      <c r="A1756" s="11" t="n"/>
      <c r="B1756" s="11" t="n"/>
      <c r="C1756" s="12">
        <f>IF(A1756="","",$B$9*TAN(RADIANS(A1756)))</f>
        <v/>
      </c>
      <c r="D1756" s="12">
        <f>IF(C1756="","",C1756*(1+B1756/100))</f>
        <v/>
      </c>
      <c r="E1756" s="12">
        <f>IF(A1756="","",$B$10*TAN(RADIANS(A1756)))</f>
        <v/>
      </c>
    </row>
    <row r="1757">
      <c r="A1757" s="11" t="n"/>
      <c r="B1757" s="11" t="n"/>
      <c r="C1757" s="12">
        <f>IF(A1757="","",$B$9*TAN(RADIANS(A1757)))</f>
        <v/>
      </c>
      <c r="D1757" s="12">
        <f>IF(C1757="","",C1757*(1+B1757/100))</f>
        <v/>
      </c>
      <c r="E1757" s="12">
        <f>IF(A1757="","",$B$10*TAN(RADIANS(A1757)))</f>
        <v/>
      </c>
    </row>
    <row r="1758">
      <c r="A1758" s="11" t="n"/>
      <c r="B1758" s="11" t="n"/>
      <c r="C1758" s="12">
        <f>IF(A1758="","",$B$9*TAN(RADIANS(A1758)))</f>
        <v/>
      </c>
      <c r="D1758" s="12">
        <f>IF(C1758="","",C1758*(1+B1758/100))</f>
        <v/>
      </c>
      <c r="E1758" s="12">
        <f>IF(A1758="","",$B$10*TAN(RADIANS(A1758)))</f>
        <v/>
      </c>
    </row>
    <row r="1759">
      <c r="A1759" s="11" t="n"/>
      <c r="B1759" s="11" t="n"/>
      <c r="C1759" s="12">
        <f>IF(A1759="","",$B$9*TAN(RADIANS(A1759)))</f>
        <v/>
      </c>
      <c r="D1759" s="12">
        <f>IF(C1759="","",C1759*(1+B1759/100))</f>
        <v/>
      </c>
      <c r="E1759" s="12">
        <f>IF(A1759="","",$B$10*TAN(RADIANS(A1759)))</f>
        <v/>
      </c>
    </row>
    <row r="1760">
      <c r="A1760" s="11" t="n"/>
      <c r="B1760" s="11" t="n"/>
      <c r="C1760" s="12">
        <f>IF(A1760="","",$B$9*TAN(RADIANS(A1760)))</f>
        <v/>
      </c>
      <c r="D1760" s="12">
        <f>IF(C1760="","",C1760*(1+B1760/100))</f>
        <v/>
      </c>
      <c r="E1760" s="12">
        <f>IF(A1760="","",$B$10*TAN(RADIANS(A1760)))</f>
        <v/>
      </c>
    </row>
    <row r="1761">
      <c r="A1761" s="11" t="n"/>
      <c r="B1761" s="11" t="n"/>
      <c r="C1761" s="12">
        <f>IF(A1761="","",$B$9*TAN(RADIANS(A1761)))</f>
        <v/>
      </c>
      <c r="D1761" s="12">
        <f>IF(C1761="","",C1761*(1+B1761/100))</f>
        <v/>
      </c>
      <c r="E1761" s="12">
        <f>IF(A1761="","",$B$10*TAN(RADIANS(A1761)))</f>
        <v/>
      </c>
    </row>
    <row r="1762">
      <c r="A1762" s="11" t="n"/>
      <c r="B1762" s="11" t="n"/>
      <c r="C1762" s="12">
        <f>IF(A1762="","",$B$9*TAN(RADIANS(A1762)))</f>
        <v/>
      </c>
      <c r="D1762" s="12">
        <f>IF(C1762="","",C1762*(1+B1762/100))</f>
        <v/>
      </c>
      <c r="E1762" s="12">
        <f>IF(A1762="","",$B$10*TAN(RADIANS(A1762)))</f>
        <v/>
      </c>
    </row>
    <row r="1763">
      <c r="A1763" s="11" t="n"/>
      <c r="B1763" s="11" t="n"/>
      <c r="C1763" s="12">
        <f>IF(A1763="","",$B$9*TAN(RADIANS(A1763)))</f>
        <v/>
      </c>
      <c r="D1763" s="12">
        <f>IF(C1763="","",C1763*(1+B1763/100))</f>
        <v/>
      </c>
      <c r="E1763" s="12">
        <f>IF(A1763="","",$B$10*TAN(RADIANS(A1763)))</f>
        <v/>
      </c>
    </row>
    <row r="1764">
      <c r="A1764" s="11" t="n"/>
      <c r="B1764" s="11" t="n"/>
      <c r="C1764" s="12">
        <f>IF(A1764="","",$B$9*TAN(RADIANS(A1764)))</f>
        <v/>
      </c>
      <c r="D1764" s="12">
        <f>IF(C1764="","",C1764*(1+B1764/100))</f>
        <v/>
      </c>
      <c r="E1764" s="12">
        <f>IF(A1764="","",$B$10*TAN(RADIANS(A1764)))</f>
        <v/>
      </c>
    </row>
    <row r="1765">
      <c r="A1765" s="11" t="n"/>
      <c r="B1765" s="11" t="n"/>
      <c r="C1765" s="12">
        <f>IF(A1765="","",$B$9*TAN(RADIANS(A1765)))</f>
        <v/>
      </c>
      <c r="D1765" s="12">
        <f>IF(C1765="","",C1765*(1+B1765/100))</f>
        <v/>
      </c>
      <c r="E1765" s="12">
        <f>IF(A1765="","",$B$10*TAN(RADIANS(A1765)))</f>
        <v/>
      </c>
    </row>
    <row r="1766">
      <c r="A1766" s="11" t="n"/>
      <c r="B1766" s="11" t="n"/>
      <c r="C1766" s="12">
        <f>IF(A1766="","",$B$9*TAN(RADIANS(A1766)))</f>
        <v/>
      </c>
      <c r="D1766" s="12">
        <f>IF(C1766="","",C1766*(1+B1766/100))</f>
        <v/>
      </c>
      <c r="E1766" s="12">
        <f>IF(A1766="","",$B$10*TAN(RADIANS(A1766)))</f>
        <v/>
      </c>
    </row>
    <row r="1767">
      <c r="A1767" s="11" t="n"/>
      <c r="B1767" s="11" t="n"/>
      <c r="C1767" s="12">
        <f>IF(A1767="","",$B$9*TAN(RADIANS(A1767)))</f>
        <v/>
      </c>
      <c r="D1767" s="12">
        <f>IF(C1767="","",C1767*(1+B1767/100))</f>
        <v/>
      </c>
      <c r="E1767" s="12">
        <f>IF(A1767="","",$B$10*TAN(RADIANS(A1767)))</f>
        <v/>
      </c>
    </row>
    <row r="1768">
      <c r="A1768" s="11" t="n"/>
      <c r="B1768" s="11" t="n"/>
      <c r="C1768" s="12">
        <f>IF(A1768="","",$B$9*TAN(RADIANS(A1768)))</f>
        <v/>
      </c>
      <c r="D1768" s="12">
        <f>IF(C1768="","",C1768*(1+B1768/100))</f>
        <v/>
      </c>
      <c r="E1768" s="12">
        <f>IF(A1768="","",$B$10*TAN(RADIANS(A1768)))</f>
        <v/>
      </c>
    </row>
    <row r="1769">
      <c r="A1769" s="11" t="n"/>
      <c r="B1769" s="11" t="n"/>
      <c r="C1769" s="12">
        <f>IF(A1769="","",$B$9*TAN(RADIANS(A1769)))</f>
        <v/>
      </c>
      <c r="D1769" s="12">
        <f>IF(C1769="","",C1769*(1+B1769/100))</f>
        <v/>
      </c>
      <c r="E1769" s="12">
        <f>IF(A1769="","",$B$10*TAN(RADIANS(A1769)))</f>
        <v/>
      </c>
    </row>
    <row r="1770">
      <c r="A1770" s="11" t="n"/>
      <c r="B1770" s="11" t="n"/>
      <c r="C1770" s="12">
        <f>IF(A1770="","",$B$9*TAN(RADIANS(A1770)))</f>
        <v/>
      </c>
      <c r="D1770" s="12">
        <f>IF(C1770="","",C1770*(1+B1770/100))</f>
        <v/>
      </c>
      <c r="E1770" s="12">
        <f>IF(A1770="","",$B$10*TAN(RADIANS(A1770)))</f>
        <v/>
      </c>
    </row>
    <row r="1771">
      <c r="A1771" s="11" t="n"/>
      <c r="B1771" s="11" t="n"/>
      <c r="C1771" s="12">
        <f>IF(A1771="","",$B$9*TAN(RADIANS(A1771)))</f>
        <v/>
      </c>
      <c r="D1771" s="12">
        <f>IF(C1771="","",C1771*(1+B1771/100))</f>
        <v/>
      </c>
      <c r="E1771" s="12">
        <f>IF(A1771="","",$B$10*TAN(RADIANS(A1771)))</f>
        <v/>
      </c>
    </row>
    <row r="1772">
      <c r="A1772" s="11" t="n"/>
      <c r="B1772" s="11" t="n"/>
      <c r="C1772" s="12">
        <f>IF(A1772="","",$B$9*TAN(RADIANS(A1772)))</f>
        <v/>
      </c>
      <c r="D1772" s="12">
        <f>IF(C1772="","",C1772*(1+B1772/100))</f>
        <v/>
      </c>
      <c r="E1772" s="12">
        <f>IF(A1772="","",$B$10*TAN(RADIANS(A1772)))</f>
        <v/>
      </c>
    </row>
    <row r="1773">
      <c r="A1773" s="11" t="n"/>
      <c r="B1773" s="11" t="n"/>
      <c r="C1773" s="12">
        <f>IF(A1773="","",$B$9*TAN(RADIANS(A1773)))</f>
        <v/>
      </c>
      <c r="D1773" s="12">
        <f>IF(C1773="","",C1773*(1+B1773/100))</f>
        <v/>
      </c>
      <c r="E1773" s="12">
        <f>IF(A1773="","",$B$10*TAN(RADIANS(A1773)))</f>
        <v/>
      </c>
    </row>
    <row r="1774">
      <c r="A1774" s="11" t="n"/>
      <c r="B1774" s="11" t="n"/>
      <c r="C1774" s="12">
        <f>IF(A1774="","",$B$9*TAN(RADIANS(A1774)))</f>
        <v/>
      </c>
      <c r="D1774" s="12">
        <f>IF(C1774="","",C1774*(1+B1774/100))</f>
        <v/>
      </c>
      <c r="E1774" s="12">
        <f>IF(A1774="","",$B$10*TAN(RADIANS(A1774)))</f>
        <v/>
      </c>
    </row>
    <row r="1775">
      <c r="A1775" s="11" t="n"/>
      <c r="B1775" s="11" t="n"/>
      <c r="C1775" s="12">
        <f>IF(A1775="","",$B$9*TAN(RADIANS(A1775)))</f>
        <v/>
      </c>
      <c r="D1775" s="12">
        <f>IF(C1775="","",C1775*(1+B1775/100))</f>
        <v/>
      </c>
      <c r="E1775" s="12">
        <f>IF(A1775="","",$B$10*TAN(RADIANS(A1775)))</f>
        <v/>
      </c>
    </row>
    <row r="1776">
      <c r="A1776" s="11" t="n"/>
      <c r="B1776" s="11" t="n"/>
      <c r="C1776" s="12">
        <f>IF(A1776="","",$B$9*TAN(RADIANS(A1776)))</f>
        <v/>
      </c>
      <c r="D1776" s="12">
        <f>IF(C1776="","",C1776*(1+B1776/100))</f>
        <v/>
      </c>
      <c r="E1776" s="12">
        <f>IF(A1776="","",$B$10*TAN(RADIANS(A1776)))</f>
        <v/>
      </c>
    </row>
    <row r="1777">
      <c r="A1777" s="11" t="n"/>
      <c r="B1777" s="11" t="n"/>
      <c r="C1777" s="12">
        <f>IF(A1777="","",$B$9*TAN(RADIANS(A1777)))</f>
        <v/>
      </c>
      <c r="D1777" s="12">
        <f>IF(C1777="","",C1777*(1+B1777/100))</f>
        <v/>
      </c>
      <c r="E1777" s="12">
        <f>IF(A1777="","",$B$10*TAN(RADIANS(A1777)))</f>
        <v/>
      </c>
    </row>
    <row r="1778">
      <c r="A1778" s="11" t="n"/>
      <c r="B1778" s="11" t="n"/>
      <c r="C1778" s="12">
        <f>IF(A1778="","",$B$9*TAN(RADIANS(A1778)))</f>
        <v/>
      </c>
      <c r="D1778" s="12">
        <f>IF(C1778="","",C1778*(1+B1778/100))</f>
        <v/>
      </c>
      <c r="E1778" s="12">
        <f>IF(A1778="","",$B$10*TAN(RADIANS(A1778)))</f>
        <v/>
      </c>
    </row>
    <row r="1779">
      <c r="A1779" s="11" t="n"/>
      <c r="B1779" s="11" t="n"/>
      <c r="C1779" s="12">
        <f>IF(A1779="","",$B$9*TAN(RADIANS(A1779)))</f>
        <v/>
      </c>
      <c r="D1779" s="12">
        <f>IF(C1779="","",C1779*(1+B1779/100))</f>
        <v/>
      </c>
      <c r="E1779" s="12">
        <f>IF(A1779="","",$B$10*TAN(RADIANS(A1779)))</f>
        <v/>
      </c>
    </row>
    <row r="1780">
      <c r="A1780" s="11" t="n"/>
      <c r="B1780" s="11" t="n"/>
      <c r="C1780" s="12">
        <f>IF(A1780="","",$B$9*TAN(RADIANS(A1780)))</f>
        <v/>
      </c>
      <c r="D1780" s="12">
        <f>IF(C1780="","",C1780*(1+B1780/100))</f>
        <v/>
      </c>
      <c r="E1780" s="12">
        <f>IF(A1780="","",$B$10*TAN(RADIANS(A1780)))</f>
        <v/>
      </c>
    </row>
    <row r="1781">
      <c r="A1781" s="11" t="n"/>
      <c r="B1781" s="11" t="n"/>
      <c r="C1781" s="12">
        <f>IF(A1781="","",$B$9*TAN(RADIANS(A1781)))</f>
        <v/>
      </c>
      <c r="D1781" s="12">
        <f>IF(C1781="","",C1781*(1+B1781/100))</f>
        <v/>
      </c>
      <c r="E1781" s="12">
        <f>IF(A1781="","",$B$10*TAN(RADIANS(A1781)))</f>
        <v/>
      </c>
    </row>
    <row r="1782">
      <c r="A1782" s="11" t="n"/>
      <c r="B1782" s="11" t="n"/>
      <c r="C1782" s="12">
        <f>IF(A1782="","",$B$9*TAN(RADIANS(A1782)))</f>
        <v/>
      </c>
      <c r="D1782" s="12">
        <f>IF(C1782="","",C1782*(1+B1782/100))</f>
        <v/>
      </c>
      <c r="E1782" s="12">
        <f>IF(A1782="","",$B$10*TAN(RADIANS(A1782)))</f>
        <v/>
      </c>
    </row>
    <row r="1783">
      <c r="A1783" s="11" t="n"/>
      <c r="B1783" s="11" t="n"/>
      <c r="C1783" s="12">
        <f>IF(A1783="","",$B$9*TAN(RADIANS(A1783)))</f>
        <v/>
      </c>
      <c r="D1783" s="12">
        <f>IF(C1783="","",C1783*(1+B1783/100))</f>
        <v/>
      </c>
      <c r="E1783" s="12">
        <f>IF(A1783="","",$B$10*TAN(RADIANS(A1783)))</f>
        <v/>
      </c>
    </row>
    <row r="1784">
      <c r="A1784" s="11" t="n"/>
      <c r="B1784" s="11" t="n"/>
      <c r="C1784" s="12">
        <f>IF(A1784="","",$B$9*TAN(RADIANS(A1784)))</f>
        <v/>
      </c>
      <c r="D1784" s="12">
        <f>IF(C1784="","",C1784*(1+B1784/100))</f>
        <v/>
      </c>
      <c r="E1784" s="12">
        <f>IF(A1784="","",$B$10*TAN(RADIANS(A1784)))</f>
        <v/>
      </c>
    </row>
    <row r="1785">
      <c r="A1785" s="11" t="n"/>
      <c r="B1785" s="11" t="n"/>
      <c r="C1785" s="12">
        <f>IF(A1785="","",$B$9*TAN(RADIANS(A1785)))</f>
        <v/>
      </c>
      <c r="D1785" s="12">
        <f>IF(C1785="","",C1785*(1+B1785/100))</f>
        <v/>
      </c>
      <c r="E1785" s="12">
        <f>IF(A1785="","",$B$10*TAN(RADIANS(A1785)))</f>
        <v/>
      </c>
    </row>
    <row r="1786">
      <c r="A1786" s="11" t="n"/>
      <c r="B1786" s="11" t="n"/>
      <c r="C1786" s="12">
        <f>IF(A1786="","",$B$9*TAN(RADIANS(A1786)))</f>
        <v/>
      </c>
      <c r="D1786" s="12">
        <f>IF(C1786="","",C1786*(1+B1786/100))</f>
        <v/>
      </c>
      <c r="E1786" s="12">
        <f>IF(A1786="","",$B$10*TAN(RADIANS(A1786)))</f>
        <v/>
      </c>
    </row>
    <row r="1787">
      <c r="A1787" s="11" t="n"/>
      <c r="B1787" s="11" t="n"/>
      <c r="C1787" s="12">
        <f>IF(A1787="","",$B$9*TAN(RADIANS(A1787)))</f>
        <v/>
      </c>
      <c r="D1787" s="12">
        <f>IF(C1787="","",C1787*(1+B1787/100))</f>
        <v/>
      </c>
      <c r="E1787" s="12">
        <f>IF(A1787="","",$B$10*TAN(RADIANS(A1787)))</f>
        <v/>
      </c>
    </row>
    <row r="1788">
      <c r="A1788" s="11" t="n"/>
      <c r="B1788" s="11" t="n"/>
      <c r="C1788" s="12">
        <f>IF(A1788="","",$B$9*TAN(RADIANS(A1788)))</f>
        <v/>
      </c>
      <c r="D1788" s="12">
        <f>IF(C1788="","",C1788*(1+B1788/100))</f>
        <v/>
      </c>
      <c r="E1788" s="12">
        <f>IF(A1788="","",$B$10*TAN(RADIANS(A1788)))</f>
        <v/>
      </c>
    </row>
    <row r="1789">
      <c r="A1789" s="11" t="n"/>
      <c r="B1789" s="11" t="n"/>
      <c r="C1789" s="12">
        <f>IF(A1789="","",$B$9*TAN(RADIANS(A1789)))</f>
        <v/>
      </c>
      <c r="D1789" s="12">
        <f>IF(C1789="","",C1789*(1+B1789/100))</f>
        <v/>
      </c>
      <c r="E1789" s="12">
        <f>IF(A1789="","",$B$10*TAN(RADIANS(A1789)))</f>
        <v/>
      </c>
    </row>
    <row r="1790">
      <c r="A1790" s="11" t="n"/>
      <c r="B1790" s="11" t="n"/>
      <c r="C1790" s="12">
        <f>IF(A1790="","",$B$9*TAN(RADIANS(A1790)))</f>
        <v/>
      </c>
      <c r="D1790" s="12">
        <f>IF(C1790="","",C1790*(1+B1790/100))</f>
        <v/>
      </c>
      <c r="E1790" s="12">
        <f>IF(A1790="","",$B$10*TAN(RADIANS(A1790)))</f>
        <v/>
      </c>
    </row>
    <row r="1791">
      <c r="A1791" s="11" t="n"/>
      <c r="B1791" s="11" t="n"/>
      <c r="C1791" s="12">
        <f>IF(A1791="","",$B$9*TAN(RADIANS(A1791)))</f>
        <v/>
      </c>
      <c r="D1791" s="12">
        <f>IF(C1791="","",C1791*(1+B1791/100))</f>
        <v/>
      </c>
      <c r="E1791" s="12">
        <f>IF(A1791="","",$B$10*TAN(RADIANS(A1791)))</f>
        <v/>
      </c>
    </row>
    <row r="1792">
      <c r="A1792" s="11" t="n"/>
      <c r="B1792" s="11" t="n"/>
      <c r="C1792" s="12">
        <f>IF(A1792="","",$B$9*TAN(RADIANS(A1792)))</f>
        <v/>
      </c>
      <c r="D1792" s="12">
        <f>IF(C1792="","",C1792*(1+B1792/100))</f>
        <v/>
      </c>
      <c r="E1792" s="12">
        <f>IF(A1792="","",$B$10*TAN(RADIANS(A1792)))</f>
        <v/>
      </c>
    </row>
    <row r="1793">
      <c r="A1793" s="11" t="n"/>
      <c r="B1793" s="11" t="n"/>
      <c r="C1793" s="12">
        <f>IF(A1793="","",$B$9*TAN(RADIANS(A1793)))</f>
        <v/>
      </c>
      <c r="D1793" s="12">
        <f>IF(C1793="","",C1793*(1+B1793/100))</f>
        <v/>
      </c>
      <c r="E1793" s="12">
        <f>IF(A1793="","",$B$10*TAN(RADIANS(A1793)))</f>
        <v/>
      </c>
    </row>
    <row r="1794">
      <c r="A1794" s="11" t="n"/>
      <c r="B1794" s="11" t="n"/>
      <c r="C1794" s="12">
        <f>IF(A1794="","",$B$9*TAN(RADIANS(A1794)))</f>
        <v/>
      </c>
      <c r="D1794" s="12">
        <f>IF(C1794="","",C1794*(1+B1794/100))</f>
        <v/>
      </c>
      <c r="E1794" s="12">
        <f>IF(A1794="","",$B$10*TAN(RADIANS(A1794)))</f>
        <v/>
      </c>
    </row>
    <row r="1795">
      <c r="A1795" s="11" t="n"/>
      <c r="B1795" s="11" t="n"/>
      <c r="C1795" s="12">
        <f>IF(A1795="","",$B$9*TAN(RADIANS(A1795)))</f>
        <v/>
      </c>
      <c r="D1795" s="12">
        <f>IF(C1795="","",C1795*(1+B1795/100))</f>
        <v/>
      </c>
      <c r="E1795" s="12">
        <f>IF(A1795="","",$B$10*TAN(RADIANS(A1795)))</f>
        <v/>
      </c>
    </row>
    <row r="1796">
      <c r="A1796" s="11" t="n"/>
      <c r="B1796" s="11" t="n"/>
      <c r="C1796" s="12">
        <f>IF(A1796="","",$B$9*TAN(RADIANS(A1796)))</f>
        <v/>
      </c>
      <c r="D1796" s="12">
        <f>IF(C1796="","",C1796*(1+B1796/100))</f>
        <v/>
      </c>
      <c r="E1796" s="12">
        <f>IF(A1796="","",$B$10*TAN(RADIANS(A1796)))</f>
        <v/>
      </c>
    </row>
    <row r="1797">
      <c r="A1797" s="11" t="n"/>
      <c r="B1797" s="11" t="n"/>
      <c r="C1797" s="12">
        <f>IF(A1797="","",$B$9*TAN(RADIANS(A1797)))</f>
        <v/>
      </c>
      <c r="D1797" s="12">
        <f>IF(C1797="","",C1797*(1+B1797/100))</f>
        <v/>
      </c>
      <c r="E1797" s="12">
        <f>IF(A1797="","",$B$10*TAN(RADIANS(A1797)))</f>
        <v/>
      </c>
    </row>
    <row r="1798">
      <c r="A1798" s="11" t="n"/>
      <c r="B1798" s="11" t="n"/>
      <c r="C1798" s="12">
        <f>IF(A1798="","",$B$9*TAN(RADIANS(A1798)))</f>
        <v/>
      </c>
      <c r="D1798" s="12">
        <f>IF(C1798="","",C1798*(1+B1798/100))</f>
        <v/>
      </c>
      <c r="E1798" s="12">
        <f>IF(A1798="","",$B$10*TAN(RADIANS(A1798)))</f>
        <v/>
      </c>
    </row>
    <row r="1799">
      <c r="A1799" s="11" t="n"/>
      <c r="B1799" s="11" t="n"/>
      <c r="C1799" s="12">
        <f>IF(A1799="","",$B$9*TAN(RADIANS(A1799)))</f>
        <v/>
      </c>
      <c r="D1799" s="12">
        <f>IF(C1799="","",C1799*(1+B1799/100))</f>
        <v/>
      </c>
      <c r="E1799" s="12">
        <f>IF(A1799="","",$B$10*TAN(RADIANS(A1799)))</f>
        <v/>
      </c>
    </row>
    <row r="1800">
      <c r="A1800" s="11" t="n"/>
      <c r="B1800" s="11" t="n"/>
      <c r="C1800" s="12">
        <f>IF(A1800="","",$B$9*TAN(RADIANS(A1800)))</f>
        <v/>
      </c>
      <c r="D1800" s="12">
        <f>IF(C1800="","",C1800*(1+B1800/100))</f>
        <v/>
      </c>
      <c r="E1800" s="12">
        <f>IF(A1800="","",$B$10*TAN(RADIANS(A1800)))</f>
        <v/>
      </c>
    </row>
    <row r="1801">
      <c r="A1801" s="11" t="n"/>
      <c r="B1801" s="11" t="n"/>
      <c r="C1801" s="12">
        <f>IF(A1801="","",$B$9*TAN(RADIANS(A1801)))</f>
        <v/>
      </c>
      <c r="D1801" s="12">
        <f>IF(C1801="","",C1801*(1+B1801/100))</f>
        <v/>
      </c>
      <c r="E1801" s="12">
        <f>IF(A1801="","",$B$10*TAN(RADIANS(A1801)))</f>
        <v/>
      </c>
    </row>
    <row r="1802">
      <c r="A1802" s="11" t="n"/>
      <c r="B1802" s="11" t="n"/>
      <c r="C1802" s="12">
        <f>IF(A1802="","",$B$9*TAN(RADIANS(A1802)))</f>
        <v/>
      </c>
      <c r="D1802" s="12">
        <f>IF(C1802="","",C1802*(1+B1802/100))</f>
        <v/>
      </c>
      <c r="E1802" s="12">
        <f>IF(A1802="","",$B$10*TAN(RADIANS(A1802)))</f>
        <v/>
      </c>
    </row>
    <row r="1803">
      <c r="A1803" s="11" t="n"/>
      <c r="B1803" s="11" t="n"/>
      <c r="C1803" s="12">
        <f>IF(A1803="","",$B$9*TAN(RADIANS(A1803)))</f>
        <v/>
      </c>
      <c r="D1803" s="12">
        <f>IF(C1803="","",C1803*(1+B1803/100))</f>
        <v/>
      </c>
      <c r="E1803" s="12">
        <f>IF(A1803="","",$B$10*TAN(RADIANS(A1803)))</f>
        <v/>
      </c>
    </row>
    <row r="1804">
      <c r="A1804" s="11" t="n"/>
      <c r="B1804" s="11" t="n"/>
      <c r="C1804" s="12">
        <f>IF(A1804="","",$B$9*TAN(RADIANS(A1804)))</f>
        <v/>
      </c>
      <c r="D1804" s="12">
        <f>IF(C1804="","",C1804*(1+B1804/100))</f>
        <v/>
      </c>
      <c r="E1804" s="12">
        <f>IF(A1804="","",$B$10*TAN(RADIANS(A1804)))</f>
        <v/>
      </c>
    </row>
    <row r="1805">
      <c r="A1805" s="11" t="n"/>
      <c r="B1805" s="11" t="n"/>
      <c r="C1805" s="12">
        <f>IF(A1805="","",$B$9*TAN(RADIANS(A1805)))</f>
        <v/>
      </c>
      <c r="D1805" s="12">
        <f>IF(C1805="","",C1805*(1+B1805/100))</f>
        <v/>
      </c>
      <c r="E1805" s="12">
        <f>IF(A1805="","",$B$10*TAN(RADIANS(A1805)))</f>
        <v/>
      </c>
    </row>
    <row r="1806">
      <c r="A1806" s="11" t="n"/>
      <c r="B1806" s="11" t="n"/>
      <c r="C1806" s="12">
        <f>IF(A1806="","",$B$9*TAN(RADIANS(A1806)))</f>
        <v/>
      </c>
      <c r="D1806" s="12">
        <f>IF(C1806="","",C1806*(1+B1806/100))</f>
        <v/>
      </c>
      <c r="E1806" s="12">
        <f>IF(A1806="","",$B$10*TAN(RADIANS(A1806)))</f>
        <v/>
      </c>
    </row>
    <row r="1807">
      <c r="A1807" s="11" t="n"/>
      <c r="B1807" s="11" t="n"/>
      <c r="C1807" s="12">
        <f>IF(A1807="","",$B$9*TAN(RADIANS(A1807)))</f>
        <v/>
      </c>
      <c r="D1807" s="12">
        <f>IF(C1807="","",C1807*(1+B1807/100))</f>
        <v/>
      </c>
      <c r="E1807" s="12">
        <f>IF(A1807="","",$B$10*TAN(RADIANS(A1807)))</f>
        <v/>
      </c>
    </row>
    <row r="1808">
      <c r="A1808" s="11" t="n"/>
      <c r="B1808" s="11" t="n"/>
      <c r="C1808" s="12">
        <f>IF(A1808="","",$B$9*TAN(RADIANS(A1808)))</f>
        <v/>
      </c>
      <c r="D1808" s="12">
        <f>IF(C1808="","",C1808*(1+B1808/100))</f>
        <v/>
      </c>
      <c r="E1808" s="12">
        <f>IF(A1808="","",$B$10*TAN(RADIANS(A1808)))</f>
        <v/>
      </c>
    </row>
    <row r="1809">
      <c r="A1809" s="11" t="n"/>
      <c r="B1809" s="11" t="n"/>
      <c r="C1809" s="12">
        <f>IF(A1809="","",$B$9*TAN(RADIANS(A1809)))</f>
        <v/>
      </c>
      <c r="D1809" s="12">
        <f>IF(C1809="","",C1809*(1+B1809/100))</f>
        <v/>
      </c>
      <c r="E1809" s="12">
        <f>IF(A1809="","",$B$10*TAN(RADIANS(A1809)))</f>
        <v/>
      </c>
    </row>
    <row r="1810">
      <c r="A1810" s="11" t="n"/>
      <c r="B1810" s="11" t="n"/>
      <c r="C1810" s="12">
        <f>IF(A1810="","",$B$9*TAN(RADIANS(A1810)))</f>
        <v/>
      </c>
      <c r="D1810" s="12">
        <f>IF(C1810="","",C1810*(1+B1810/100))</f>
        <v/>
      </c>
      <c r="E1810" s="12">
        <f>IF(A1810="","",$B$10*TAN(RADIANS(A1810)))</f>
        <v/>
      </c>
    </row>
    <row r="1811">
      <c r="A1811" s="11" t="n"/>
      <c r="B1811" s="11" t="n"/>
      <c r="C1811" s="12">
        <f>IF(A1811="","",$B$9*TAN(RADIANS(A1811)))</f>
        <v/>
      </c>
      <c r="D1811" s="12">
        <f>IF(C1811="","",C1811*(1+B1811/100))</f>
        <v/>
      </c>
      <c r="E1811" s="12">
        <f>IF(A1811="","",$B$10*TAN(RADIANS(A1811)))</f>
        <v/>
      </c>
    </row>
    <row r="1812">
      <c r="A1812" s="11" t="n"/>
      <c r="B1812" s="11" t="n"/>
      <c r="C1812" s="12">
        <f>IF(A1812="","",$B$9*TAN(RADIANS(A1812)))</f>
        <v/>
      </c>
      <c r="D1812" s="12">
        <f>IF(C1812="","",C1812*(1+B1812/100))</f>
        <v/>
      </c>
      <c r="E1812" s="12">
        <f>IF(A1812="","",$B$10*TAN(RADIANS(A1812)))</f>
        <v/>
      </c>
    </row>
    <row r="1813">
      <c r="A1813" s="11" t="n"/>
      <c r="B1813" s="11" t="n"/>
      <c r="C1813" s="12">
        <f>IF(A1813="","",$B$9*TAN(RADIANS(A1813)))</f>
        <v/>
      </c>
      <c r="D1813" s="12">
        <f>IF(C1813="","",C1813*(1+B1813/100))</f>
        <v/>
      </c>
      <c r="E1813" s="12">
        <f>IF(A1813="","",$B$10*TAN(RADIANS(A1813)))</f>
        <v/>
      </c>
    </row>
    <row r="1814">
      <c r="A1814" s="11" t="n"/>
      <c r="B1814" s="11" t="n"/>
      <c r="C1814" s="12">
        <f>IF(A1814="","",$B$9*TAN(RADIANS(A1814)))</f>
        <v/>
      </c>
      <c r="D1814" s="12">
        <f>IF(C1814="","",C1814*(1+B1814/100))</f>
        <v/>
      </c>
      <c r="E1814" s="12">
        <f>IF(A1814="","",$B$10*TAN(RADIANS(A1814)))</f>
        <v/>
      </c>
    </row>
    <row r="1815">
      <c r="A1815" s="11" t="n"/>
      <c r="B1815" s="11" t="n"/>
      <c r="C1815" s="12">
        <f>IF(A1815="","",$B$9*TAN(RADIANS(A1815)))</f>
        <v/>
      </c>
      <c r="D1815" s="12">
        <f>IF(C1815="","",C1815*(1+B1815/100))</f>
        <v/>
      </c>
      <c r="E1815" s="12">
        <f>IF(A1815="","",$B$10*TAN(RADIANS(A1815)))</f>
        <v/>
      </c>
    </row>
    <row r="1816">
      <c r="A1816" s="11" t="n"/>
      <c r="B1816" s="11" t="n"/>
      <c r="C1816" s="12">
        <f>IF(A1816="","",$B$9*TAN(RADIANS(A1816)))</f>
        <v/>
      </c>
      <c r="D1816" s="12">
        <f>IF(C1816="","",C1816*(1+B1816/100))</f>
        <v/>
      </c>
      <c r="E1816" s="12">
        <f>IF(A1816="","",$B$10*TAN(RADIANS(A1816)))</f>
        <v/>
      </c>
    </row>
    <row r="1817">
      <c r="A1817" s="11" t="n"/>
      <c r="B1817" s="11" t="n"/>
      <c r="C1817" s="12">
        <f>IF(A1817="","",$B$9*TAN(RADIANS(A1817)))</f>
        <v/>
      </c>
      <c r="D1817" s="12">
        <f>IF(C1817="","",C1817*(1+B1817/100))</f>
        <v/>
      </c>
      <c r="E1817" s="12">
        <f>IF(A1817="","",$B$10*TAN(RADIANS(A1817)))</f>
        <v/>
      </c>
    </row>
    <row r="1818">
      <c r="A1818" s="11" t="n"/>
      <c r="B1818" s="11" t="n"/>
      <c r="C1818" s="12">
        <f>IF(A1818="","",$B$9*TAN(RADIANS(A1818)))</f>
        <v/>
      </c>
      <c r="D1818" s="12">
        <f>IF(C1818="","",C1818*(1+B1818/100))</f>
        <v/>
      </c>
      <c r="E1818" s="12">
        <f>IF(A1818="","",$B$10*TAN(RADIANS(A1818)))</f>
        <v/>
      </c>
    </row>
    <row r="1819">
      <c r="A1819" s="11" t="n"/>
      <c r="B1819" s="11" t="n"/>
      <c r="C1819" s="12">
        <f>IF(A1819="","",$B$9*TAN(RADIANS(A1819)))</f>
        <v/>
      </c>
      <c r="D1819" s="12">
        <f>IF(C1819="","",C1819*(1+B1819/100))</f>
        <v/>
      </c>
      <c r="E1819" s="12">
        <f>IF(A1819="","",$B$10*TAN(RADIANS(A1819)))</f>
        <v/>
      </c>
    </row>
    <row r="1820">
      <c r="A1820" s="11" t="n"/>
      <c r="B1820" s="11" t="n"/>
      <c r="C1820" s="12">
        <f>IF(A1820="","",$B$9*TAN(RADIANS(A1820)))</f>
        <v/>
      </c>
      <c r="D1820" s="12">
        <f>IF(C1820="","",C1820*(1+B1820/100))</f>
        <v/>
      </c>
      <c r="E1820" s="12">
        <f>IF(A1820="","",$B$10*TAN(RADIANS(A1820)))</f>
        <v/>
      </c>
    </row>
    <row r="1821">
      <c r="A1821" s="11" t="n"/>
      <c r="B1821" s="11" t="n"/>
      <c r="C1821" s="12">
        <f>IF(A1821="","",$B$9*TAN(RADIANS(A1821)))</f>
        <v/>
      </c>
      <c r="D1821" s="12">
        <f>IF(C1821="","",C1821*(1+B1821/100))</f>
        <v/>
      </c>
      <c r="E1821" s="12">
        <f>IF(A1821="","",$B$10*TAN(RADIANS(A1821)))</f>
        <v/>
      </c>
    </row>
    <row r="1822">
      <c r="A1822" s="11" t="n"/>
      <c r="B1822" s="11" t="n"/>
      <c r="C1822" s="12">
        <f>IF(A1822="","",$B$9*TAN(RADIANS(A1822)))</f>
        <v/>
      </c>
      <c r="D1822" s="12">
        <f>IF(C1822="","",C1822*(1+B1822/100))</f>
        <v/>
      </c>
      <c r="E1822" s="12">
        <f>IF(A1822="","",$B$10*TAN(RADIANS(A1822)))</f>
        <v/>
      </c>
    </row>
    <row r="1823">
      <c r="A1823" s="11" t="n"/>
      <c r="B1823" s="11" t="n"/>
      <c r="C1823" s="12">
        <f>IF(A1823="","",$B$9*TAN(RADIANS(A1823)))</f>
        <v/>
      </c>
      <c r="D1823" s="12">
        <f>IF(C1823="","",C1823*(1+B1823/100))</f>
        <v/>
      </c>
      <c r="E1823" s="12">
        <f>IF(A1823="","",$B$10*TAN(RADIANS(A1823)))</f>
        <v/>
      </c>
    </row>
    <row r="1824">
      <c r="A1824" s="11" t="n"/>
      <c r="B1824" s="11" t="n"/>
      <c r="C1824" s="12">
        <f>IF(A1824="","",$B$9*TAN(RADIANS(A1824)))</f>
        <v/>
      </c>
      <c r="D1824" s="12">
        <f>IF(C1824="","",C1824*(1+B1824/100))</f>
        <v/>
      </c>
      <c r="E1824" s="12">
        <f>IF(A1824="","",$B$10*TAN(RADIANS(A1824)))</f>
        <v/>
      </c>
    </row>
    <row r="1825">
      <c r="A1825" s="11" t="n"/>
      <c r="B1825" s="11" t="n"/>
      <c r="C1825" s="12">
        <f>IF(A1825="","",$B$9*TAN(RADIANS(A1825)))</f>
        <v/>
      </c>
      <c r="D1825" s="12">
        <f>IF(C1825="","",C1825*(1+B1825/100))</f>
        <v/>
      </c>
      <c r="E1825" s="12">
        <f>IF(A1825="","",$B$10*TAN(RADIANS(A1825)))</f>
        <v/>
      </c>
    </row>
    <row r="1826">
      <c r="A1826" s="11" t="n"/>
      <c r="B1826" s="11" t="n"/>
      <c r="C1826" s="12">
        <f>IF(A1826="","",$B$9*TAN(RADIANS(A1826)))</f>
        <v/>
      </c>
      <c r="D1826" s="12">
        <f>IF(C1826="","",C1826*(1+B1826/100))</f>
        <v/>
      </c>
      <c r="E1826" s="12">
        <f>IF(A1826="","",$B$10*TAN(RADIANS(A1826)))</f>
        <v/>
      </c>
    </row>
    <row r="1827">
      <c r="A1827" s="11" t="n"/>
      <c r="B1827" s="11" t="n"/>
      <c r="C1827" s="12">
        <f>IF(A1827="","",$B$9*TAN(RADIANS(A1827)))</f>
        <v/>
      </c>
      <c r="D1827" s="12">
        <f>IF(C1827="","",C1827*(1+B1827/100))</f>
        <v/>
      </c>
      <c r="E1827" s="12">
        <f>IF(A1827="","",$B$10*TAN(RADIANS(A1827)))</f>
        <v/>
      </c>
    </row>
    <row r="1828">
      <c r="A1828" s="11" t="n"/>
      <c r="B1828" s="11" t="n"/>
      <c r="C1828" s="12">
        <f>IF(A1828="","",$B$9*TAN(RADIANS(A1828)))</f>
        <v/>
      </c>
      <c r="D1828" s="12">
        <f>IF(C1828="","",C1828*(1+B1828/100))</f>
        <v/>
      </c>
      <c r="E1828" s="12">
        <f>IF(A1828="","",$B$10*TAN(RADIANS(A1828)))</f>
        <v/>
      </c>
    </row>
    <row r="1829">
      <c r="A1829" s="11" t="n"/>
      <c r="B1829" s="11" t="n"/>
      <c r="C1829" s="12">
        <f>IF(A1829="","",$B$9*TAN(RADIANS(A1829)))</f>
        <v/>
      </c>
      <c r="D1829" s="12">
        <f>IF(C1829="","",C1829*(1+B1829/100))</f>
        <v/>
      </c>
      <c r="E1829" s="12">
        <f>IF(A1829="","",$B$10*TAN(RADIANS(A1829)))</f>
        <v/>
      </c>
    </row>
    <row r="1830">
      <c r="A1830" s="11" t="n"/>
      <c r="B1830" s="11" t="n"/>
      <c r="C1830" s="12">
        <f>IF(A1830="","",$B$9*TAN(RADIANS(A1830)))</f>
        <v/>
      </c>
      <c r="D1830" s="12">
        <f>IF(C1830="","",C1830*(1+B1830/100))</f>
        <v/>
      </c>
      <c r="E1830" s="12">
        <f>IF(A1830="","",$B$10*TAN(RADIANS(A1830)))</f>
        <v/>
      </c>
    </row>
    <row r="1831">
      <c r="A1831" s="11" t="n"/>
      <c r="B1831" s="11" t="n"/>
      <c r="C1831" s="12">
        <f>IF(A1831="","",$B$9*TAN(RADIANS(A1831)))</f>
        <v/>
      </c>
      <c r="D1831" s="12">
        <f>IF(C1831="","",C1831*(1+B1831/100))</f>
        <v/>
      </c>
      <c r="E1831" s="12">
        <f>IF(A1831="","",$B$10*TAN(RADIANS(A1831)))</f>
        <v/>
      </c>
    </row>
    <row r="1832">
      <c r="A1832" s="11" t="n"/>
      <c r="B1832" s="11" t="n"/>
      <c r="C1832" s="12">
        <f>IF(A1832="","",$B$9*TAN(RADIANS(A1832)))</f>
        <v/>
      </c>
      <c r="D1832" s="12">
        <f>IF(C1832="","",C1832*(1+B1832/100))</f>
        <v/>
      </c>
      <c r="E1832" s="12">
        <f>IF(A1832="","",$B$10*TAN(RADIANS(A1832)))</f>
        <v/>
      </c>
    </row>
    <row r="1833">
      <c r="A1833" s="11" t="n"/>
      <c r="B1833" s="11" t="n"/>
      <c r="C1833" s="12">
        <f>IF(A1833="","",$B$9*TAN(RADIANS(A1833)))</f>
        <v/>
      </c>
      <c r="D1833" s="12">
        <f>IF(C1833="","",C1833*(1+B1833/100))</f>
        <v/>
      </c>
      <c r="E1833" s="12">
        <f>IF(A1833="","",$B$10*TAN(RADIANS(A1833)))</f>
        <v/>
      </c>
    </row>
    <row r="1834">
      <c r="A1834" s="11" t="n"/>
      <c r="B1834" s="11" t="n"/>
      <c r="C1834" s="12">
        <f>IF(A1834="","",$B$9*TAN(RADIANS(A1834)))</f>
        <v/>
      </c>
      <c r="D1834" s="12">
        <f>IF(C1834="","",C1834*(1+B1834/100))</f>
        <v/>
      </c>
      <c r="E1834" s="12">
        <f>IF(A1834="","",$B$10*TAN(RADIANS(A1834)))</f>
        <v/>
      </c>
    </row>
    <row r="1835">
      <c r="A1835" s="11" t="n"/>
      <c r="B1835" s="11" t="n"/>
      <c r="C1835" s="12">
        <f>IF(A1835="","",$B$9*TAN(RADIANS(A1835)))</f>
        <v/>
      </c>
      <c r="D1835" s="12">
        <f>IF(C1835="","",C1835*(1+B1835/100))</f>
        <v/>
      </c>
      <c r="E1835" s="12">
        <f>IF(A1835="","",$B$10*TAN(RADIANS(A1835)))</f>
        <v/>
      </c>
    </row>
    <row r="1836">
      <c r="A1836" s="11" t="n"/>
      <c r="B1836" s="11" t="n"/>
      <c r="C1836" s="12">
        <f>IF(A1836="","",$B$9*TAN(RADIANS(A1836)))</f>
        <v/>
      </c>
      <c r="D1836" s="12">
        <f>IF(C1836="","",C1836*(1+B1836/100))</f>
        <v/>
      </c>
      <c r="E1836" s="12">
        <f>IF(A1836="","",$B$10*TAN(RADIANS(A1836)))</f>
        <v/>
      </c>
    </row>
    <row r="1837">
      <c r="A1837" s="11" t="n"/>
      <c r="B1837" s="11" t="n"/>
      <c r="C1837" s="12">
        <f>IF(A1837="","",$B$9*TAN(RADIANS(A1837)))</f>
        <v/>
      </c>
      <c r="D1837" s="12">
        <f>IF(C1837="","",C1837*(1+B1837/100))</f>
        <v/>
      </c>
      <c r="E1837" s="12">
        <f>IF(A1837="","",$B$10*TAN(RADIANS(A1837)))</f>
        <v/>
      </c>
    </row>
    <row r="1838">
      <c r="A1838" s="11" t="n"/>
      <c r="B1838" s="11" t="n"/>
      <c r="C1838" s="12">
        <f>IF(A1838="","",$B$9*TAN(RADIANS(A1838)))</f>
        <v/>
      </c>
      <c r="D1838" s="12">
        <f>IF(C1838="","",C1838*(1+B1838/100))</f>
        <v/>
      </c>
      <c r="E1838" s="12">
        <f>IF(A1838="","",$B$10*TAN(RADIANS(A1838)))</f>
        <v/>
      </c>
    </row>
    <row r="1839">
      <c r="A1839" s="11" t="n"/>
      <c r="B1839" s="11" t="n"/>
      <c r="C1839" s="12">
        <f>IF(A1839="","",$B$9*TAN(RADIANS(A1839)))</f>
        <v/>
      </c>
      <c r="D1839" s="12">
        <f>IF(C1839="","",C1839*(1+B1839/100))</f>
        <v/>
      </c>
      <c r="E1839" s="12">
        <f>IF(A1839="","",$B$10*TAN(RADIANS(A1839)))</f>
        <v/>
      </c>
    </row>
    <row r="1840">
      <c r="A1840" s="11" t="n"/>
      <c r="B1840" s="11" t="n"/>
      <c r="C1840" s="12">
        <f>IF(A1840="","",$B$9*TAN(RADIANS(A1840)))</f>
        <v/>
      </c>
      <c r="D1840" s="12">
        <f>IF(C1840="","",C1840*(1+B1840/100))</f>
        <v/>
      </c>
      <c r="E1840" s="12">
        <f>IF(A1840="","",$B$10*TAN(RADIANS(A1840)))</f>
        <v/>
      </c>
    </row>
    <row r="1841">
      <c r="A1841" s="11" t="n"/>
      <c r="B1841" s="11" t="n"/>
      <c r="C1841" s="12">
        <f>IF(A1841="","",$B$9*TAN(RADIANS(A1841)))</f>
        <v/>
      </c>
      <c r="D1841" s="12">
        <f>IF(C1841="","",C1841*(1+B1841/100))</f>
        <v/>
      </c>
      <c r="E1841" s="12">
        <f>IF(A1841="","",$B$10*TAN(RADIANS(A1841)))</f>
        <v/>
      </c>
    </row>
    <row r="1842">
      <c r="A1842" s="11" t="n"/>
      <c r="B1842" s="11" t="n"/>
      <c r="C1842" s="12">
        <f>IF(A1842="","",$B$9*TAN(RADIANS(A1842)))</f>
        <v/>
      </c>
      <c r="D1842" s="12">
        <f>IF(C1842="","",C1842*(1+B1842/100))</f>
        <v/>
      </c>
      <c r="E1842" s="12">
        <f>IF(A1842="","",$B$10*TAN(RADIANS(A1842)))</f>
        <v/>
      </c>
    </row>
    <row r="1843">
      <c r="A1843" s="11" t="n"/>
      <c r="B1843" s="11" t="n"/>
      <c r="C1843" s="12">
        <f>IF(A1843="","",$B$9*TAN(RADIANS(A1843)))</f>
        <v/>
      </c>
      <c r="D1843" s="12">
        <f>IF(C1843="","",C1843*(1+B1843/100))</f>
        <v/>
      </c>
      <c r="E1843" s="12">
        <f>IF(A1843="","",$B$10*TAN(RADIANS(A1843)))</f>
        <v/>
      </c>
    </row>
    <row r="1844">
      <c r="A1844" s="11" t="n"/>
      <c r="B1844" s="11" t="n"/>
      <c r="C1844" s="12">
        <f>IF(A1844="","",$B$9*TAN(RADIANS(A1844)))</f>
        <v/>
      </c>
      <c r="D1844" s="12">
        <f>IF(C1844="","",C1844*(1+B1844/100))</f>
        <v/>
      </c>
      <c r="E1844" s="12">
        <f>IF(A1844="","",$B$10*TAN(RADIANS(A1844)))</f>
        <v/>
      </c>
    </row>
    <row r="1845">
      <c r="A1845" s="11" t="n"/>
      <c r="B1845" s="11" t="n"/>
      <c r="C1845" s="12">
        <f>IF(A1845="","",$B$9*TAN(RADIANS(A1845)))</f>
        <v/>
      </c>
      <c r="D1845" s="12">
        <f>IF(C1845="","",C1845*(1+B1845/100))</f>
        <v/>
      </c>
      <c r="E1845" s="12">
        <f>IF(A1845="","",$B$10*TAN(RADIANS(A1845)))</f>
        <v/>
      </c>
    </row>
    <row r="1846">
      <c r="A1846" s="11" t="n"/>
      <c r="B1846" s="11" t="n"/>
      <c r="C1846" s="12">
        <f>IF(A1846="","",$B$9*TAN(RADIANS(A1846)))</f>
        <v/>
      </c>
      <c r="D1846" s="12">
        <f>IF(C1846="","",C1846*(1+B1846/100))</f>
        <v/>
      </c>
      <c r="E1846" s="12">
        <f>IF(A1846="","",$B$10*TAN(RADIANS(A1846)))</f>
        <v/>
      </c>
    </row>
    <row r="1847">
      <c r="A1847" s="11" t="n"/>
      <c r="B1847" s="11" t="n"/>
      <c r="C1847" s="12">
        <f>IF(A1847="","",$B$9*TAN(RADIANS(A1847)))</f>
        <v/>
      </c>
      <c r="D1847" s="12">
        <f>IF(C1847="","",C1847*(1+B1847/100))</f>
        <v/>
      </c>
      <c r="E1847" s="12">
        <f>IF(A1847="","",$B$10*TAN(RADIANS(A1847)))</f>
        <v/>
      </c>
    </row>
    <row r="1848">
      <c r="A1848" s="11" t="n"/>
      <c r="B1848" s="11" t="n"/>
      <c r="C1848" s="12">
        <f>IF(A1848="","",$B$9*TAN(RADIANS(A1848)))</f>
        <v/>
      </c>
      <c r="D1848" s="12">
        <f>IF(C1848="","",C1848*(1+B1848/100))</f>
        <v/>
      </c>
      <c r="E1848" s="12">
        <f>IF(A1848="","",$B$10*TAN(RADIANS(A1848)))</f>
        <v/>
      </c>
    </row>
    <row r="1849">
      <c r="A1849" s="11" t="n"/>
      <c r="B1849" s="11" t="n"/>
      <c r="C1849" s="12">
        <f>IF(A1849="","",$B$9*TAN(RADIANS(A1849)))</f>
        <v/>
      </c>
      <c r="D1849" s="12">
        <f>IF(C1849="","",C1849*(1+B1849/100))</f>
        <v/>
      </c>
      <c r="E1849" s="12">
        <f>IF(A1849="","",$B$10*TAN(RADIANS(A1849)))</f>
        <v/>
      </c>
    </row>
    <row r="1850">
      <c r="A1850" s="11" t="n"/>
      <c r="B1850" s="11" t="n"/>
      <c r="C1850" s="12">
        <f>IF(A1850="","",$B$9*TAN(RADIANS(A1850)))</f>
        <v/>
      </c>
      <c r="D1850" s="12">
        <f>IF(C1850="","",C1850*(1+B1850/100))</f>
        <v/>
      </c>
      <c r="E1850" s="12">
        <f>IF(A1850="","",$B$10*TAN(RADIANS(A1850)))</f>
        <v/>
      </c>
    </row>
    <row r="1851">
      <c r="A1851" s="11" t="n"/>
      <c r="B1851" s="11" t="n"/>
      <c r="C1851" s="12">
        <f>IF(A1851="","",$B$9*TAN(RADIANS(A1851)))</f>
        <v/>
      </c>
      <c r="D1851" s="12">
        <f>IF(C1851="","",C1851*(1+B1851/100))</f>
        <v/>
      </c>
      <c r="E1851" s="12">
        <f>IF(A1851="","",$B$10*TAN(RADIANS(A1851)))</f>
        <v/>
      </c>
    </row>
    <row r="1852">
      <c r="A1852" s="11" t="n"/>
      <c r="B1852" s="11" t="n"/>
      <c r="C1852" s="12">
        <f>IF(A1852="","",$B$9*TAN(RADIANS(A1852)))</f>
        <v/>
      </c>
      <c r="D1852" s="12">
        <f>IF(C1852="","",C1852*(1+B1852/100))</f>
        <v/>
      </c>
      <c r="E1852" s="12">
        <f>IF(A1852="","",$B$10*TAN(RADIANS(A1852)))</f>
        <v/>
      </c>
    </row>
    <row r="1853">
      <c r="A1853" s="11" t="n"/>
      <c r="B1853" s="11" t="n"/>
      <c r="C1853" s="12">
        <f>IF(A1853="","",$B$9*TAN(RADIANS(A1853)))</f>
        <v/>
      </c>
      <c r="D1853" s="12">
        <f>IF(C1853="","",C1853*(1+B1853/100))</f>
        <v/>
      </c>
      <c r="E1853" s="12">
        <f>IF(A1853="","",$B$10*TAN(RADIANS(A1853)))</f>
        <v/>
      </c>
    </row>
    <row r="1854">
      <c r="A1854" s="11" t="n"/>
      <c r="B1854" s="11" t="n"/>
      <c r="C1854" s="12">
        <f>IF(A1854="","",$B$9*TAN(RADIANS(A1854)))</f>
        <v/>
      </c>
      <c r="D1854" s="12">
        <f>IF(C1854="","",C1854*(1+B1854/100))</f>
        <v/>
      </c>
      <c r="E1854" s="12">
        <f>IF(A1854="","",$B$10*TAN(RADIANS(A1854)))</f>
        <v/>
      </c>
    </row>
    <row r="1855">
      <c r="A1855" s="11" t="n"/>
      <c r="B1855" s="11" t="n"/>
      <c r="C1855" s="12">
        <f>IF(A1855="","",$B$9*TAN(RADIANS(A1855)))</f>
        <v/>
      </c>
      <c r="D1855" s="12">
        <f>IF(C1855="","",C1855*(1+B1855/100))</f>
        <v/>
      </c>
      <c r="E1855" s="12">
        <f>IF(A1855="","",$B$10*TAN(RADIANS(A1855)))</f>
        <v/>
      </c>
    </row>
    <row r="1856">
      <c r="A1856" s="11" t="n"/>
      <c r="B1856" s="11" t="n"/>
      <c r="C1856" s="12">
        <f>IF(A1856="","",$B$9*TAN(RADIANS(A1856)))</f>
        <v/>
      </c>
      <c r="D1856" s="12">
        <f>IF(C1856="","",C1856*(1+B1856/100))</f>
        <v/>
      </c>
      <c r="E1856" s="12">
        <f>IF(A1856="","",$B$10*TAN(RADIANS(A1856)))</f>
        <v/>
      </c>
    </row>
    <row r="1857">
      <c r="A1857" s="11" t="n"/>
      <c r="B1857" s="11" t="n"/>
      <c r="C1857" s="12">
        <f>IF(A1857="","",$B$9*TAN(RADIANS(A1857)))</f>
        <v/>
      </c>
      <c r="D1857" s="12">
        <f>IF(C1857="","",C1857*(1+B1857/100))</f>
        <v/>
      </c>
      <c r="E1857" s="12">
        <f>IF(A1857="","",$B$10*TAN(RADIANS(A1857)))</f>
        <v/>
      </c>
    </row>
    <row r="1858">
      <c r="A1858" s="11" t="n"/>
      <c r="B1858" s="11" t="n"/>
      <c r="C1858" s="12">
        <f>IF(A1858="","",$B$9*TAN(RADIANS(A1858)))</f>
        <v/>
      </c>
      <c r="D1858" s="12">
        <f>IF(C1858="","",C1858*(1+B1858/100))</f>
        <v/>
      </c>
      <c r="E1858" s="12">
        <f>IF(A1858="","",$B$10*TAN(RADIANS(A1858)))</f>
        <v/>
      </c>
    </row>
    <row r="1859">
      <c r="A1859" s="11" t="n"/>
      <c r="B1859" s="11" t="n"/>
      <c r="C1859" s="12">
        <f>IF(A1859="","",$B$9*TAN(RADIANS(A1859)))</f>
        <v/>
      </c>
      <c r="D1859" s="12">
        <f>IF(C1859="","",C1859*(1+B1859/100))</f>
        <v/>
      </c>
      <c r="E1859" s="12">
        <f>IF(A1859="","",$B$10*TAN(RADIANS(A1859)))</f>
        <v/>
      </c>
    </row>
    <row r="1860">
      <c r="A1860" s="11" t="n"/>
      <c r="B1860" s="11" t="n"/>
      <c r="C1860" s="12">
        <f>IF(A1860="","",$B$9*TAN(RADIANS(A1860)))</f>
        <v/>
      </c>
      <c r="D1860" s="12">
        <f>IF(C1860="","",C1860*(1+B1860/100))</f>
        <v/>
      </c>
      <c r="E1860" s="12">
        <f>IF(A1860="","",$B$10*TAN(RADIANS(A1860)))</f>
        <v/>
      </c>
    </row>
    <row r="1861">
      <c r="A1861" s="11" t="n"/>
      <c r="B1861" s="11" t="n"/>
      <c r="C1861" s="12">
        <f>IF(A1861="","",$B$9*TAN(RADIANS(A1861)))</f>
        <v/>
      </c>
      <c r="D1861" s="12">
        <f>IF(C1861="","",C1861*(1+B1861/100))</f>
        <v/>
      </c>
      <c r="E1861" s="12">
        <f>IF(A1861="","",$B$10*TAN(RADIANS(A1861)))</f>
        <v/>
      </c>
    </row>
    <row r="1862">
      <c r="A1862" s="11" t="n"/>
      <c r="B1862" s="11" t="n"/>
      <c r="C1862" s="12">
        <f>IF(A1862="","",$B$9*TAN(RADIANS(A1862)))</f>
        <v/>
      </c>
      <c r="D1862" s="12">
        <f>IF(C1862="","",C1862*(1+B1862/100))</f>
        <v/>
      </c>
      <c r="E1862" s="12">
        <f>IF(A1862="","",$B$10*TAN(RADIANS(A1862)))</f>
        <v/>
      </c>
    </row>
    <row r="1863">
      <c r="A1863" s="11" t="n"/>
      <c r="B1863" s="11" t="n"/>
      <c r="C1863" s="12">
        <f>IF(A1863="","",$B$9*TAN(RADIANS(A1863)))</f>
        <v/>
      </c>
      <c r="D1863" s="12">
        <f>IF(C1863="","",C1863*(1+B1863/100))</f>
        <v/>
      </c>
      <c r="E1863" s="12">
        <f>IF(A1863="","",$B$10*TAN(RADIANS(A1863)))</f>
        <v/>
      </c>
    </row>
    <row r="1864">
      <c r="A1864" s="11" t="n"/>
      <c r="B1864" s="11" t="n"/>
      <c r="C1864" s="12">
        <f>IF(A1864="","",$B$9*TAN(RADIANS(A1864)))</f>
        <v/>
      </c>
      <c r="D1864" s="12">
        <f>IF(C1864="","",C1864*(1+B1864/100))</f>
        <v/>
      </c>
      <c r="E1864" s="12">
        <f>IF(A1864="","",$B$10*TAN(RADIANS(A1864)))</f>
        <v/>
      </c>
    </row>
    <row r="1865">
      <c r="A1865" s="11" t="n"/>
      <c r="B1865" s="11" t="n"/>
      <c r="C1865" s="12">
        <f>IF(A1865="","",$B$9*TAN(RADIANS(A1865)))</f>
        <v/>
      </c>
      <c r="D1865" s="12">
        <f>IF(C1865="","",C1865*(1+B1865/100))</f>
        <v/>
      </c>
      <c r="E1865" s="12">
        <f>IF(A1865="","",$B$10*TAN(RADIANS(A1865)))</f>
        <v/>
      </c>
    </row>
    <row r="1866">
      <c r="A1866" s="11" t="n"/>
      <c r="B1866" s="11" t="n"/>
      <c r="C1866" s="12">
        <f>IF(A1866="","",$B$9*TAN(RADIANS(A1866)))</f>
        <v/>
      </c>
      <c r="D1866" s="12">
        <f>IF(C1866="","",C1866*(1+B1866/100))</f>
        <v/>
      </c>
      <c r="E1866" s="12">
        <f>IF(A1866="","",$B$10*TAN(RADIANS(A1866)))</f>
        <v/>
      </c>
    </row>
    <row r="1867">
      <c r="A1867" s="11" t="n"/>
      <c r="B1867" s="11" t="n"/>
      <c r="C1867" s="12">
        <f>IF(A1867="","",$B$9*TAN(RADIANS(A1867)))</f>
        <v/>
      </c>
      <c r="D1867" s="12">
        <f>IF(C1867="","",C1867*(1+B1867/100))</f>
        <v/>
      </c>
      <c r="E1867" s="12">
        <f>IF(A1867="","",$B$10*TAN(RADIANS(A1867)))</f>
        <v/>
      </c>
    </row>
    <row r="1868">
      <c r="A1868" s="11" t="n"/>
      <c r="B1868" s="11" t="n"/>
      <c r="C1868" s="12">
        <f>IF(A1868="","",$B$9*TAN(RADIANS(A1868)))</f>
        <v/>
      </c>
      <c r="D1868" s="12">
        <f>IF(C1868="","",C1868*(1+B1868/100))</f>
        <v/>
      </c>
      <c r="E1868" s="12">
        <f>IF(A1868="","",$B$10*TAN(RADIANS(A1868)))</f>
        <v/>
      </c>
    </row>
    <row r="1869">
      <c r="A1869" s="11" t="n"/>
      <c r="B1869" s="11" t="n"/>
      <c r="C1869" s="12">
        <f>IF(A1869="","",$B$9*TAN(RADIANS(A1869)))</f>
        <v/>
      </c>
      <c r="D1869" s="12">
        <f>IF(C1869="","",C1869*(1+B1869/100))</f>
        <v/>
      </c>
      <c r="E1869" s="12">
        <f>IF(A1869="","",$B$10*TAN(RADIANS(A1869)))</f>
        <v/>
      </c>
    </row>
    <row r="1870">
      <c r="A1870" s="11" t="n"/>
      <c r="B1870" s="11" t="n"/>
      <c r="C1870" s="12">
        <f>IF(A1870="","",$B$9*TAN(RADIANS(A1870)))</f>
        <v/>
      </c>
      <c r="D1870" s="12">
        <f>IF(C1870="","",C1870*(1+B1870/100))</f>
        <v/>
      </c>
      <c r="E1870" s="12">
        <f>IF(A1870="","",$B$10*TAN(RADIANS(A1870)))</f>
        <v/>
      </c>
    </row>
    <row r="1871">
      <c r="A1871" s="11" t="n"/>
      <c r="B1871" s="11" t="n"/>
      <c r="C1871" s="12">
        <f>IF(A1871="","",$B$9*TAN(RADIANS(A1871)))</f>
        <v/>
      </c>
      <c r="D1871" s="12">
        <f>IF(C1871="","",C1871*(1+B1871/100))</f>
        <v/>
      </c>
      <c r="E1871" s="12">
        <f>IF(A1871="","",$B$10*TAN(RADIANS(A1871)))</f>
        <v/>
      </c>
    </row>
    <row r="1872">
      <c r="A1872" s="11" t="n"/>
      <c r="B1872" s="11" t="n"/>
      <c r="C1872" s="12">
        <f>IF(A1872="","",$B$9*TAN(RADIANS(A1872)))</f>
        <v/>
      </c>
      <c r="D1872" s="12">
        <f>IF(C1872="","",C1872*(1+B1872/100))</f>
        <v/>
      </c>
      <c r="E1872" s="12">
        <f>IF(A1872="","",$B$10*TAN(RADIANS(A1872)))</f>
        <v/>
      </c>
    </row>
    <row r="1873">
      <c r="A1873" s="11" t="n"/>
      <c r="B1873" s="11" t="n"/>
      <c r="C1873" s="12">
        <f>IF(A1873="","",$B$9*TAN(RADIANS(A1873)))</f>
        <v/>
      </c>
      <c r="D1873" s="12">
        <f>IF(C1873="","",C1873*(1+B1873/100))</f>
        <v/>
      </c>
      <c r="E1873" s="12">
        <f>IF(A1873="","",$B$10*TAN(RADIANS(A1873)))</f>
        <v/>
      </c>
    </row>
    <row r="1874">
      <c r="A1874" s="11" t="n"/>
      <c r="B1874" s="11" t="n"/>
      <c r="C1874" s="12">
        <f>IF(A1874="","",$B$9*TAN(RADIANS(A1874)))</f>
        <v/>
      </c>
      <c r="D1874" s="12">
        <f>IF(C1874="","",C1874*(1+B1874/100))</f>
        <v/>
      </c>
      <c r="E1874" s="12">
        <f>IF(A1874="","",$B$10*TAN(RADIANS(A1874)))</f>
        <v/>
      </c>
    </row>
    <row r="1875">
      <c r="A1875" s="11" t="n"/>
      <c r="B1875" s="11" t="n"/>
      <c r="C1875" s="12">
        <f>IF(A1875="","",$B$9*TAN(RADIANS(A1875)))</f>
        <v/>
      </c>
      <c r="D1875" s="12">
        <f>IF(C1875="","",C1875*(1+B1875/100))</f>
        <v/>
      </c>
      <c r="E1875" s="12">
        <f>IF(A1875="","",$B$10*TAN(RADIANS(A1875)))</f>
        <v/>
      </c>
    </row>
    <row r="1876">
      <c r="A1876" s="11" t="n"/>
      <c r="B1876" s="11" t="n"/>
      <c r="C1876" s="12">
        <f>IF(A1876="","",$B$9*TAN(RADIANS(A1876)))</f>
        <v/>
      </c>
      <c r="D1876" s="12">
        <f>IF(C1876="","",C1876*(1+B1876/100))</f>
        <v/>
      </c>
      <c r="E1876" s="12">
        <f>IF(A1876="","",$B$10*TAN(RADIANS(A1876)))</f>
        <v/>
      </c>
    </row>
    <row r="1877">
      <c r="A1877" s="11" t="n"/>
      <c r="B1877" s="11" t="n"/>
      <c r="C1877" s="12">
        <f>IF(A1877="","",$B$9*TAN(RADIANS(A1877)))</f>
        <v/>
      </c>
      <c r="D1877" s="12">
        <f>IF(C1877="","",C1877*(1+B1877/100))</f>
        <v/>
      </c>
      <c r="E1877" s="12">
        <f>IF(A1877="","",$B$10*TAN(RADIANS(A1877)))</f>
        <v/>
      </c>
    </row>
    <row r="1878">
      <c r="A1878" s="11" t="n"/>
      <c r="B1878" s="11" t="n"/>
      <c r="C1878" s="12">
        <f>IF(A1878="","",$B$9*TAN(RADIANS(A1878)))</f>
        <v/>
      </c>
      <c r="D1878" s="12">
        <f>IF(C1878="","",C1878*(1+B1878/100))</f>
        <v/>
      </c>
      <c r="E1878" s="12">
        <f>IF(A1878="","",$B$10*TAN(RADIANS(A1878)))</f>
        <v/>
      </c>
    </row>
    <row r="1879">
      <c r="A1879" s="11" t="n"/>
      <c r="B1879" s="11" t="n"/>
      <c r="C1879" s="12">
        <f>IF(A1879="","",$B$9*TAN(RADIANS(A1879)))</f>
        <v/>
      </c>
      <c r="D1879" s="12">
        <f>IF(C1879="","",C1879*(1+B1879/100))</f>
        <v/>
      </c>
      <c r="E1879" s="12">
        <f>IF(A1879="","",$B$10*TAN(RADIANS(A1879)))</f>
        <v/>
      </c>
    </row>
    <row r="1880">
      <c r="A1880" s="11" t="n"/>
      <c r="B1880" s="11" t="n"/>
      <c r="C1880" s="12">
        <f>IF(A1880="","",$B$9*TAN(RADIANS(A1880)))</f>
        <v/>
      </c>
      <c r="D1880" s="12">
        <f>IF(C1880="","",C1880*(1+B1880/100))</f>
        <v/>
      </c>
      <c r="E1880" s="12">
        <f>IF(A1880="","",$B$10*TAN(RADIANS(A1880)))</f>
        <v/>
      </c>
    </row>
    <row r="1881">
      <c r="A1881" s="11" t="n"/>
      <c r="B1881" s="11" t="n"/>
      <c r="C1881" s="12">
        <f>IF(A1881="","",$B$9*TAN(RADIANS(A1881)))</f>
        <v/>
      </c>
      <c r="D1881" s="12">
        <f>IF(C1881="","",C1881*(1+B1881/100))</f>
        <v/>
      </c>
      <c r="E1881" s="12">
        <f>IF(A1881="","",$B$10*TAN(RADIANS(A1881)))</f>
        <v/>
      </c>
    </row>
    <row r="1882">
      <c r="A1882" s="11" t="n"/>
      <c r="B1882" s="11" t="n"/>
      <c r="C1882" s="12">
        <f>IF(A1882="","",$B$9*TAN(RADIANS(A1882)))</f>
        <v/>
      </c>
      <c r="D1882" s="12">
        <f>IF(C1882="","",C1882*(1+B1882/100))</f>
        <v/>
      </c>
      <c r="E1882" s="12">
        <f>IF(A1882="","",$B$10*TAN(RADIANS(A1882)))</f>
        <v/>
      </c>
    </row>
    <row r="1883">
      <c r="A1883" s="11" t="n"/>
      <c r="B1883" s="11" t="n"/>
      <c r="C1883" s="12">
        <f>IF(A1883="","",$B$9*TAN(RADIANS(A1883)))</f>
        <v/>
      </c>
      <c r="D1883" s="12">
        <f>IF(C1883="","",C1883*(1+B1883/100))</f>
        <v/>
      </c>
      <c r="E1883" s="12">
        <f>IF(A1883="","",$B$10*TAN(RADIANS(A1883)))</f>
        <v/>
      </c>
    </row>
    <row r="1884">
      <c r="A1884" s="11" t="n"/>
      <c r="B1884" s="11" t="n"/>
      <c r="C1884" s="12">
        <f>IF(A1884="","",$B$9*TAN(RADIANS(A1884)))</f>
        <v/>
      </c>
      <c r="D1884" s="12">
        <f>IF(C1884="","",C1884*(1+B1884/100))</f>
        <v/>
      </c>
      <c r="E1884" s="12">
        <f>IF(A1884="","",$B$10*TAN(RADIANS(A1884)))</f>
        <v/>
      </c>
    </row>
    <row r="1885">
      <c r="A1885" s="11" t="n"/>
      <c r="B1885" s="11" t="n"/>
      <c r="C1885" s="12">
        <f>IF(A1885="","",$B$9*TAN(RADIANS(A1885)))</f>
        <v/>
      </c>
      <c r="D1885" s="12">
        <f>IF(C1885="","",C1885*(1+B1885/100))</f>
        <v/>
      </c>
      <c r="E1885" s="12">
        <f>IF(A1885="","",$B$10*TAN(RADIANS(A1885)))</f>
        <v/>
      </c>
    </row>
    <row r="1886">
      <c r="A1886" s="11" t="n"/>
      <c r="B1886" s="11" t="n"/>
      <c r="C1886" s="12">
        <f>IF(A1886="","",$B$9*TAN(RADIANS(A1886)))</f>
        <v/>
      </c>
      <c r="D1886" s="12">
        <f>IF(C1886="","",C1886*(1+B1886/100))</f>
        <v/>
      </c>
      <c r="E1886" s="12">
        <f>IF(A1886="","",$B$10*TAN(RADIANS(A1886)))</f>
        <v/>
      </c>
    </row>
    <row r="1887">
      <c r="A1887" s="11" t="n"/>
      <c r="B1887" s="11" t="n"/>
      <c r="C1887" s="12">
        <f>IF(A1887="","",$B$9*TAN(RADIANS(A1887)))</f>
        <v/>
      </c>
      <c r="D1887" s="12">
        <f>IF(C1887="","",C1887*(1+B1887/100))</f>
        <v/>
      </c>
      <c r="E1887" s="12">
        <f>IF(A1887="","",$B$10*TAN(RADIANS(A1887)))</f>
        <v/>
      </c>
    </row>
    <row r="1888">
      <c r="A1888" s="11" t="n"/>
      <c r="B1888" s="11" t="n"/>
      <c r="C1888" s="12">
        <f>IF(A1888="","",$B$9*TAN(RADIANS(A1888)))</f>
        <v/>
      </c>
      <c r="D1888" s="12">
        <f>IF(C1888="","",C1888*(1+B1888/100))</f>
        <v/>
      </c>
      <c r="E1888" s="12">
        <f>IF(A1888="","",$B$10*TAN(RADIANS(A1888)))</f>
        <v/>
      </c>
    </row>
    <row r="1889">
      <c r="A1889" s="11" t="n"/>
      <c r="B1889" s="11" t="n"/>
      <c r="C1889" s="12">
        <f>IF(A1889="","",$B$9*TAN(RADIANS(A1889)))</f>
        <v/>
      </c>
      <c r="D1889" s="12">
        <f>IF(C1889="","",C1889*(1+B1889/100))</f>
        <v/>
      </c>
      <c r="E1889" s="12">
        <f>IF(A1889="","",$B$10*TAN(RADIANS(A1889)))</f>
        <v/>
      </c>
    </row>
    <row r="1890">
      <c r="A1890" s="11" t="n"/>
      <c r="B1890" s="11" t="n"/>
      <c r="C1890" s="12">
        <f>IF(A1890="","",$B$9*TAN(RADIANS(A1890)))</f>
        <v/>
      </c>
      <c r="D1890" s="12">
        <f>IF(C1890="","",C1890*(1+B1890/100))</f>
        <v/>
      </c>
      <c r="E1890" s="12">
        <f>IF(A1890="","",$B$10*TAN(RADIANS(A1890)))</f>
        <v/>
      </c>
    </row>
    <row r="1891">
      <c r="A1891" s="11" t="n"/>
      <c r="B1891" s="11" t="n"/>
      <c r="C1891" s="12">
        <f>IF(A1891="","",$B$9*TAN(RADIANS(A1891)))</f>
        <v/>
      </c>
      <c r="D1891" s="12">
        <f>IF(C1891="","",C1891*(1+B1891/100))</f>
        <v/>
      </c>
      <c r="E1891" s="12">
        <f>IF(A1891="","",$B$10*TAN(RADIANS(A1891)))</f>
        <v/>
      </c>
    </row>
    <row r="1892">
      <c r="A1892" s="11" t="n"/>
      <c r="B1892" s="11" t="n"/>
      <c r="C1892" s="12">
        <f>IF(A1892="","",$B$9*TAN(RADIANS(A1892)))</f>
        <v/>
      </c>
      <c r="D1892" s="12">
        <f>IF(C1892="","",C1892*(1+B1892/100))</f>
        <v/>
      </c>
      <c r="E1892" s="12">
        <f>IF(A1892="","",$B$10*TAN(RADIANS(A1892)))</f>
        <v/>
      </c>
    </row>
    <row r="1893">
      <c r="A1893" s="11" t="n"/>
      <c r="B1893" s="11" t="n"/>
      <c r="C1893" s="12">
        <f>IF(A1893="","",$B$9*TAN(RADIANS(A1893)))</f>
        <v/>
      </c>
      <c r="D1893" s="12">
        <f>IF(C1893="","",C1893*(1+B1893/100))</f>
        <v/>
      </c>
      <c r="E1893" s="12">
        <f>IF(A1893="","",$B$10*TAN(RADIANS(A1893)))</f>
        <v/>
      </c>
    </row>
    <row r="1894">
      <c r="A1894" s="11" t="n"/>
      <c r="B1894" s="11" t="n"/>
      <c r="C1894" s="12">
        <f>IF(A1894="","",$B$9*TAN(RADIANS(A1894)))</f>
        <v/>
      </c>
      <c r="D1894" s="12">
        <f>IF(C1894="","",C1894*(1+B1894/100))</f>
        <v/>
      </c>
      <c r="E1894" s="12">
        <f>IF(A1894="","",$B$10*TAN(RADIANS(A1894)))</f>
        <v/>
      </c>
    </row>
    <row r="1895">
      <c r="A1895" s="11" t="n"/>
      <c r="B1895" s="11" t="n"/>
      <c r="C1895" s="12">
        <f>IF(A1895="","",$B$9*TAN(RADIANS(A1895)))</f>
        <v/>
      </c>
      <c r="D1895" s="12">
        <f>IF(C1895="","",C1895*(1+B1895/100))</f>
        <v/>
      </c>
      <c r="E1895" s="12">
        <f>IF(A1895="","",$B$10*TAN(RADIANS(A1895)))</f>
        <v/>
      </c>
    </row>
    <row r="1896">
      <c r="A1896" s="11" t="n"/>
      <c r="B1896" s="11" t="n"/>
      <c r="C1896" s="12">
        <f>IF(A1896="","",$B$9*TAN(RADIANS(A1896)))</f>
        <v/>
      </c>
      <c r="D1896" s="12">
        <f>IF(C1896="","",C1896*(1+B1896/100))</f>
        <v/>
      </c>
      <c r="E1896" s="12">
        <f>IF(A1896="","",$B$10*TAN(RADIANS(A1896)))</f>
        <v/>
      </c>
    </row>
    <row r="1897">
      <c r="A1897" s="11" t="n"/>
      <c r="B1897" s="11" t="n"/>
      <c r="C1897" s="12">
        <f>IF(A1897="","",$B$9*TAN(RADIANS(A1897)))</f>
        <v/>
      </c>
      <c r="D1897" s="12">
        <f>IF(C1897="","",C1897*(1+B1897/100))</f>
        <v/>
      </c>
      <c r="E1897" s="12">
        <f>IF(A1897="","",$B$10*TAN(RADIANS(A1897)))</f>
        <v/>
      </c>
    </row>
    <row r="1898">
      <c r="A1898" s="11" t="n"/>
      <c r="B1898" s="11" t="n"/>
      <c r="C1898" s="12">
        <f>IF(A1898="","",$B$9*TAN(RADIANS(A1898)))</f>
        <v/>
      </c>
      <c r="D1898" s="12">
        <f>IF(C1898="","",C1898*(1+B1898/100))</f>
        <v/>
      </c>
      <c r="E1898" s="12">
        <f>IF(A1898="","",$B$10*TAN(RADIANS(A1898)))</f>
        <v/>
      </c>
    </row>
    <row r="1899">
      <c r="A1899" s="11" t="n"/>
      <c r="B1899" s="11" t="n"/>
      <c r="C1899" s="12">
        <f>IF(A1899="","",$B$9*TAN(RADIANS(A1899)))</f>
        <v/>
      </c>
      <c r="D1899" s="12">
        <f>IF(C1899="","",C1899*(1+B1899/100))</f>
        <v/>
      </c>
      <c r="E1899" s="12">
        <f>IF(A1899="","",$B$10*TAN(RADIANS(A1899)))</f>
        <v/>
      </c>
    </row>
    <row r="1900">
      <c r="A1900" s="11" t="n"/>
      <c r="B1900" s="11" t="n"/>
      <c r="C1900" s="12">
        <f>IF(A1900="","",$B$9*TAN(RADIANS(A1900)))</f>
        <v/>
      </c>
      <c r="D1900" s="12">
        <f>IF(C1900="","",C1900*(1+B1900/100))</f>
        <v/>
      </c>
      <c r="E1900" s="12">
        <f>IF(A1900="","",$B$10*TAN(RADIANS(A1900)))</f>
        <v/>
      </c>
    </row>
    <row r="1901">
      <c r="A1901" s="11" t="n"/>
      <c r="B1901" s="11" t="n"/>
      <c r="C1901" s="12">
        <f>IF(A1901="","",$B$9*TAN(RADIANS(A1901)))</f>
        <v/>
      </c>
      <c r="D1901" s="12">
        <f>IF(C1901="","",C1901*(1+B1901/100))</f>
        <v/>
      </c>
      <c r="E1901" s="12">
        <f>IF(A1901="","",$B$10*TAN(RADIANS(A1901)))</f>
        <v/>
      </c>
    </row>
    <row r="1902">
      <c r="A1902" s="11" t="n"/>
      <c r="B1902" s="11" t="n"/>
      <c r="C1902" s="12">
        <f>IF(A1902="","",$B$9*TAN(RADIANS(A1902)))</f>
        <v/>
      </c>
      <c r="D1902" s="12">
        <f>IF(C1902="","",C1902*(1+B1902/100))</f>
        <v/>
      </c>
      <c r="E1902" s="12">
        <f>IF(A1902="","",$B$10*TAN(RADIANS(A1902)))</f>
        <v/>
      </c>
    </row>
    <row r="1903">
      <c r="A1903" s="11" t="n"/>
      <c r="B1903" s="11" t="n"/>
      <c r="C1903" s="12">
        <f>IF(A1903="","",$B$9*TAN(RADIANS(A1903)))</f>
        <v/>
      </c>
      <c r="D1903" s="12">
        <f>IF(C1903="","",C1903*(1+B1903/100))</f>
        <v/>
      </c>
      <c r="E1903" s="12">
        <f>IF(A1903="","",$B$10*TAN(RADIANS(A1903)))</f>
        <v/>
      </c>
    </row>
    <row r="1904">
      <c r="A1904" s="11" t="n"/>
      <c r="B1904" s="11" t="n"/>
      <c r="C1904" s="12">
        <f>IF(A1904="","",$B$9*TAN(RADIANS(A1904)))</f>
        <v/>
      </c>
      <c r="D1904" s="12">
        <f>IF(C1904="","",C1904*(1+B1904/100))</f>
        <v/>
      </c>
      <c r="E1904" s="12">
        <f>IF(A1904="","",$B$10*TAN(RADIANS(A1904)))</f>
        <v/>
      </c>
    </row>
    <row r="1905">
      <c r="A1905" s="11" t="n"/>
      <c r="B1905" s="11" t="n"/>
      <c r="C1905" s="12">
        <f>IF(A1905="","",$B$9*TAN(RADIANS(A1905)))</f>
        <v/>
      </c>
      <c r="D1905" s="12">
        <f>IF(C1905="","",C1905*(1+B1905/100))</f>
        <v/>
      </c>
      <c r="E1905" s="12">
        <f>IF(A1905="","",$B$10*TAN(RADIANS(A1905)))</f>
        <v/>
      </c>
    </row>
    <row r="1906">
      <c r="A1906" s="11" t="n"/>
      <c r="B1906" s="11" t="n"/>
      <c r="C1906" s="12">
        <f>IF(A1906="","",$B$9*TAN(RADIANS(A1906)))</f>
        <v/>
      </c>
      <c r="D1906" s="12">
        <f>IF(C1906="","",C1906*(1+B1906/100))</f>
        <v/>
      </c>
      <c r="E1906" s="12">
        <f>IF(A1906="","",$B$10*TAN(RADIANS(A1906)))</f>
        <v/>
      </c>
    </row>
    <row r="1907">
      <c r="A1907" s="11" t="n"/>
      <c r="B1907" s="11" t="n"/>
      <c r="C1907" s="12">
        <f>IF(A1907="","",$B$9*TAN(RADIANS(A1907)))</f>
        <v/>
      </c>
      <c r="D1907" s="12">
        <f>IF(C1907="","",C1907*(1+B1907/100))</f>
        <v/>
      </c>
      <c r="E1907" s="12">
        <f>IF(A1907="","",$B$10*TAN(RADIANS(A1907)))</f>
        <v/>
      </c>
    </row>
    <row r="1908">
      <c r="A1908" s="11" t="n"/>
      <c r="B1908" s="11" t="n"/>
      <c r="C1908" s="12">
        <f>IF(A1908="","",$B$9*TAN(RADIANS(A1908)))</f>
        <v/>
      </c>
      <c r="D1908" s="12">
        <f>IF(C1908="","",C1908*(1+B1908/100))</f>
        <v/>
      </c>
      <c r="E1908" s="12">
        <f>IF(A1908="","",$B$10*TAN(RADIANS(A1908)))</f>
        <v/>
      </c>
    </row>
    <row r="1909">
      <c r="A1909" s="11" t="n"/>
      <c r="B1909" s="11" t="n"/>
      <c r="C1909" s="12">
        <f>IF(A1909="","",$B$9*TAN(RADIANS(A1909)))</f>
        <v/>
      </c>
      <c r="D1909" s="12">
        <f>IF(C1909="","",C1909*(1+B1909/100))</f>
        <v/>
      </c>
      <c r="E1909" s="12">
        <f>IF(A1909="","",$B$10*TAN(RADIANS(A1909)))</f>
        <v/>
      </c>
    </row>
    <row r="1910">
      <c r="A1910" s="11" t="n"/>
      <c r="B1910" s="11" t="n"/>
      <c r="C1910" s="12">
        <f>IF(A1910="","",$B$9*TAN(RADIANS(A1910)))</f>
        <v/>
      </c>
      <c r="D1910" s="12">
        <f>IF(C1910="","",C1910*(1+B1910/100))</f>
        <v/>
      </c>
      <c r="E1910" s="12">
        <f>IF(A1910="","",$B$10*TAN(RADIANS(A1910)))</f>
        <v/>
      </c>
    </row>
    <row r="1911">
      <c r="A1911" s="11" t="n"/>
      <c r="B1911" s="11" t="n"/>
      <c r="C1911" s="12">
        <f>IF(A1911="","",$B$9*TAN(RADIANS(A1911)))</f>
        <v/>
      </c>
      <c r="D1911" s="12">
        <f>IF(C1911="","",C1911*(1+B1911/100))</f>
        <v/>
      </c>
      <c r="E1911" s="12">
        <f>IF(A1911="","",$B$10*TAN(RADIANS(A1911)))</f>
        <v/>
      </c>
    </row>
    <row r="1912">
      <c r="A1912" s="11" t="n"/>
      <c r="B1912" s="11" t="n"/>
      <c r="C1912" s="12">
        <f>IF(A1912="","",$B$9*TAN(RADIANS(A1912)))</f>
        <v/>
      </c>
      <c r="D1912" s="12">
        <f>IF(C1912="","",C1912*(1+B1912/100))</f>
        <v/>
      </c>
      <c r="E1912" s="12">
        <f>IF(A1912="","",$B$10*TAN(RADIANS(A1912)))</f>
        <v/>
      </c>
    </row>
    <row r="1913">
      <c r="A1913" s="11" t="n"/>
      <c r="B1913" s="11" t="n"/>
      <c r="C1913" s="12">
        <f>IF(A1913="","",$B$9*TAN(RADIANS(A1913)))</f>
        <v/>
      </c>
      <c r="D1913" s="12">
        <f>IF(C1913="","",C1913*(1+B1913/100))</f>
        <v/>
      </c>
      <c r="E1913" s="12">
        <f>IF(A1913="","",$B$10*TAN(RADIANS(A1913)))</f>
        <v/>
      </c>
    </row>
    <row r="1914">
      <c r="A1914" s="11" t="n"/>
      <c r="B1914" s="11" t="n"/>
      <c r="C1914" s="12">
        <f>IF(A1914="","",$B$9*TAN(RADIANS(A1914)))</f>
        <v/>
      </c>
      <c r="D1914" s="12">
        <f>IF(C1914="","",C1914*(1+B1914/100))</f>
        <v/>
      </c>
      <c r="E1914" s="12">
        <f>IF(A1914="","",$B$10*TAN(RADIANS(A1914)))</f>
        <v/>
      </c>
    </row>
    <row r="1915">
      <c r="A1915" s="11" t="n"/>
      <c r="B1915" s="11" t="n"/>
      <c r="C1915" s="12">
        <f>IF(A1915="","",$B$9*TAN(RADIANS(A1915)))</f>
        <v/>
      </c>
      <c r="D1915" s="12">
        <f>IF(C1915="","",C1915*(1+B1915/100))</f>
        <v/>
      </c>
      <c r="E1915" s="12">
        <f>IF(A1915="","",$B$10*TAN(RADIANS(A1915)))</f>
        <v/>
      </c>
    </row>
    <row r="1916">
      <c r="A1916" s="11" t="n"/>
      <c r="B1916" s="11" t="n"/>
      <c r="C1916" s="12">
        <f>IF(A1916="","",$B$9*TAN(RADIANS(A1916)))</f>
        <v/>
      </c>
      <c r="D1916" s="12">
        <f>IF(C1916="","",C1916*(1+B1916/100))</f>
        <v/>
      </c>
      <c r="E1916" s="12">
        <f>IF(A1916="","",$B$10*TAN(RADIANS(A1916)))</f>
        <v/>
      </c>
    </row>
    <row r="1917">
      <c r="A1917" s="11" t="n"/>
      <c r="B1917" s="11" t="n"/>
      <c r="C1917" s="12">
        <f>IF(A1917="","",$B$9*TAN(RADIANS(A1917)))</f>
        <v/>
      </c>
      <c r="D1917" s="12">
        <f>IF(C1917="","",C1917*(1+B1917/100))</f>
        <v/>
      </c>
      <c r="E1917" s="12">
        <f>IF(A1917="","",$B$10*TAN(RADIANS(A1917)))</f>
        <v/>
      </c>
    </row>
    <row r="1918">
      <c r="A1918" s="11" t="n"/>
      <c r="B1918" s="11" t="n"/>
      <c r="C1918" s="12">
        <f>IF(A1918="","",$B$9*TAN(RADIANS(A1918)))</f>
        <v/>
      </c>
      <c r="D1918" s="12">
        <f>IF(C1918="","",C1918*(1+B1918/100))</f>
        <v/>
      </c>
      <c r="E1918" s="12">
        <f>IF(A1918="","",$B$10*TAN(RADIANS(A1918)))</f>
        <v/>
      </c>
    </row>
    <row r="1919">
      <c r="A1919" s="11" t="n"/>
      <c r="B1919" s="11" t="n"/>
      <c r="C1919" s="12">
        <f>IF(A1919="","",$B$9*TAN(RADIANS(A1919)))</f>
        <v/>
      </c>
      <c r="D1919" s="12">
        <f>IF(C1919="","",C1919*(1+B1919/100))</f>
        <v/>
      </c>
      <c r="E1919" s="12">
        <f>IF(A1919="","",$B$10*TAN(RADIANS(A1919)))</f>
        <v/>
      </c>
    </row>
    <row r="1920">
      <c r="A1920" s="11" t="n"/>
      <c r="B1920" s="11" t="n"/>
      <c r="C1920" s="12">
        <f>IF(A1920="","",$B$9*TAN(RADIANS(A1920)))</f>
        <v/>
      </c>
      <c r="D1920" s="12">
        <f>IF(C1920="","",C1920*(1+B1920/100))</f>
        <v/>
      </c>
      <c r="E1920" s="12">
        <f>IF(A1920="","",$B$10*TAN(RADIANS(A1920)))</f>
        <v/>
      </c>
    </row>
    <row r="1921">
      <c r="A1921" s="11" t="n"/>
      <c r="B1921" s="11" t="n"/>
      <c r="C1921" s="12">
        <f>IF(A1921="","",$B$9*TAN(RADIANS(A1921)))</f>
        <v/>
      </c>
      <c r="D1921" s="12">
        <f>IF(C1921="","",C1921*(1+B1921/100))</f>
        <v/>
      </c>
      <c r="E1921" s="12">
        <f>IF(A1921="","",$B$10*TAN(RADIANS(A1921)))</f>
        <v/>
      </c>
    </row>
    <row r="1922">
      <c r="A1922" s="11" t="n"/>
      <c r="B1922" s="11" t="n"/>
      <c r="C1922" s="12">
        <f>IF(A1922="","",$B$9*TAN(RADIANS(A1922)))</f>
        <v/>
      </c>
      <c r="D1922" s="12">
        <f>IF(C1922="","",C1922*(1+B1922/100))</f>
        <v/>
      </c>
      <c r="E1922" s="12">
        <f>IF(A1922="","",$B$10*TAN(RADIANS(A1922)))</f>
        <v/>
      </c>
    </row>
    <row r="1923">
      <c r="A1923" s="11" t="n"/>
      <c r="B1923" s="11" t="n"/>
      <c r="C1923" s="12">
        <f>IF(A1923="","",$B$9*TAN(RADIANS(A1923)))</f>
        <v/>
      </c>
      <c r="D1923" s="12">
        <f>IF(C1923="","",C1923*(1+B1923/100))</f>
        <v/>
      </c>
      <c r="E1923" s="12">
        <f>IF(A1923="","",$B$10*TAN(RADIANS(A1923)))</f>
        <v/>
      </c>
    </row>
    <row r="1924">
      <c r="A1924" s="11" t="n"/>
      <c r="B1924" s="11" t="n"/>
      <c r="C1924" s="12">
        <f>IF(A1924="","",$B$9*TAN(RADIANS(A1924)))</f>
        <v/>
      </c>
      <c r="D1924" s="12">
        <f>IF(C1924="","",C1924*(1+B1924/100))</f>
        <v/>
      </c>
      <c r="E1924" s="12">
        <f>IF(A1924="","",$B$10*TAN(RADIANS(A1924)))</f>
        <v/>
      </c>
    </row>
    <row r="1925">
      <c r="A1925" s="11" t="n"/>
      <c r="B1925" s="11" t="n"/>
      <c r="C1925" s="12">
        <f>IF(A1925="","",$B$9*TAN(RADIANS(A1925)))</f>
        <v/>
      </c>
      <c r="D1925" s="12">
        <f>IF(C1925="","",C1925*(1+B1925/100))</f>
        <v/>
      </c>
      <c r="E1925" s="12">
        <f>IF(A1925="","",$B$10*TAN(RADIANS(A1925)))</f>
        <v/>
      </c>
    </row>
    <row r="1926">
      <c r="A1926" s="11" t="n"/>
      <c r="B1926" s="11" t="n"/>
      <c r="C1926" s="12">
        <f>IF(A1926="","",$B$9*TAN(RADIANS(A1926)))</f>
        <v/>
      </c>
      <c r="D1926" s="12">
        <f>IF(C1926="","",C1926*(1+B1926/100))</f>
        <v/>
      </c>
      <c r="E1926" s="12">
        <f>IF(A1926="","",$B$10*TAN(RADIANS(A1926)))</f>
        <v/>
      </c>
    </row>
    <row r="1927">
      <c r="A1927" s="11" t="n"/>
      <c r="B1927" s="11" t="n"/>
      <c r="C1927" s="12">
        <f>IF(A1927="","",$B$9*TAN(RADIANS(A1927)))</f>
        <v/>
      </c>
      <c r="D1927" s="12">
        <f>IF(C1927="","",C1927*(1+B1927/100))</f>
        <v/>
      </c>
      <c r="E1927" s="12">
        <f>IF(A1927="","",$B$10*TAN(RADIANS(A1927)))</f>
        <v/>
      </c>
    </row>
    <row r="1928">
      <c r="A1928" s="11" t="n"/>
      <c r="B1928" s="11" t="n"/>
      <c r="C1928" s="12">
        <f>IF(A1928="","",$B$9*TAN(RADIANS(A1928)))</f>
        <v/>
      </c>
      <c r="D1928" s="12">
        <f>IF(C1928="","",C1928*(1+B1928/100))</f>
        <v/>
      </c>
      <c r="E1928" s="12">
        <f>IF(A1928="","",$B$10*TAN(RADIANS(A1928)))</f>
        <v/>
      </c>
    </row>
    <row r="1929">
      <c r="A1929" s="11" t="n"/>
      <c r="B1929" s="11" t="n"/>
      <c r="C1929" s="12">
        <f>IF(A1929="","",$B$9*TAN(RADIANS(A1929)))</f>
        <v/>
      </c>
      <c r="D1929" s="12">
        <f>IF(C1929="","",C1929*(1+B1929/100))</f>
        <v/>
      </c>
      <c r="E1929" s="12">
        <f>IF(A1929="","",$B$10*TAN(RADIANS(A1929)))</f>
        <v/>
      </c>
    </row>
    <row r="1930">
      <c r="A1930" s="11" t="n"/>
      <c r="B1930" s="11" t="n"/>
      <c r="C1930" s="12">
        <f>IF(A1930="","",$B$9*TAN(RADIANS(A1930)))</f>
        <v/>
      </c>
      <c r="D1930" s="12">
        <f>IF(C1930="","",C1930*(1+B1930/100))</f>
        <v/>
      </c>
      <c r="E1930" s="12">
        <f>IF(A1930="","",$B$10*TAN(RADIANS(A1930)))</f>
        <v/>
      </c>
    </row>
    <row r="1931">
      <c r="A1931" s="11" t="n"/>
      <c r="B1931" s="11" t="n"/>
      <c r="C1931" s="12">
        <f>IF(A1931="","",$B$9*TAN(RADIANS(A1931)))</f>
        <v/>
      </c>
      <c r="D1931" s="12">
        <f>IF(C1931="","",C1931*(1+B1931/100))</f>
        <v/>
      </c>
      <c r="E1931" s="12">
        <f>IF(A1931="","",$B$10*TAN(RADIANS(A1931)))</f>
        <v/>
      </c>
    </row>
    <row r="1932">
      <c r="A1932" s="11" t="n"/>
      <c r="B1932" s="11" t="n"/>
      <c r="C1932" s="12">
        <f>IF(A1932="","",$B$9*TAN(RADIANS(A1932)))</f>
        <v/>
      </c>
      <c r="D1932" s="12">
        <f>IF(C1932="","",C1932*(1+B1932/100))</f>
        <v/>
      </c>
      <c r="E1932" s="12">
        <f>IF(A1932="","",$B$10*TAN(RADIANS(A1932)))</f>
        <v/>
      </c>
    </row>
    <row r="1933">
      <c r="A1933" s="11" t="n"/>
      <c r="B1933" s="11" t="n"/>
      <c r="C1933" s="12">
        <f>IF(A1933="","",$B$9*TAN(RADIANS(A1933)))</f>
        <v/>
      </c>
      <c r="D1933" s="12">
        <f>IF(C1933="","",C1933*(1+B1933/100))</f>
        <v/>
      </c>
      <c r="E1933" s="12">
        <f>IF(A1933="","",$B$10*TAN(RADIANS(A1933)))</f>
        <v/>
      </c>
    </row>
    <row r="1934">
      <c r="A1934" s="11" t="n"/>
      <c r="B1934" s="11" t="n"/>
      <c r="C1934" s="12">
        <f>IF(A1934="","",$B$9*TAN(RADIANS(A1934)))</f>
        <v/>
      </c>
      <c r="D1934" s="12">
        <f>IF(C1934="","",C1934*(1+B1934/100))</f>
        <v/>
      </c>
      <c r="E1934" s="12">
        <f>IF(A1934="","",$B$10*TAN(RADIANS(A1934)))</f>
        <v/>
      </c>
    </row>
    <row r="1935">
      <c r="A1935" s="11" t="n"/>
      <c r="B1935" s="11" t="n"/>
      <c r="C1935" s="12">
        <f>IF(A1935="","",$B$9*TAN(RADIANS(A1935)))</f>
        <v/>
      </c>
      <c r="D1935" s="12">
        <f>IF(C1935="","",C1935*(1+B1935/100))</f>
        <v/>
      </c>
      <c r="E1935" s="12">
        <f>IF(A1935="","",$B$10*TAN(RADIANS(A1935)))</f>
        <v/>
      </c>
    </row>
    <row r="1936">
      <c r="A1936" s="11" t="n"/>
      <c r="B1936" s="11" t="n"/>
      <c r="C1936" s="12">
        <f>IF(A1936="","",$B$9*TAN(RADIANS(A1936)))</f>
        <v/>
      </c>
      <c r="D1936" s="12">
        <f>IF(C1936="","",C1936*(1+B1936/100))</f>
        <v/>
      </c>
      <c r="E1936" s="12">
        <f>IF(A1936="","",$B$10*TAN(RADIANS(A1936)))</f>
        <v/>
      </c>
    </row>
    <row r="1937">
      <c r="A1937" s="11" t="n"/>
      <c r="B1937" s="11" t="n"/>
      <c r="C1937" s="12">
        <f>IF(A1937="","",$B$9*TAN(RADIANS(A1937)))</f>
        <v/>
      </c>
      <c r="D1937" s="12">
        <f>IF(C1937="","",C1937*(1+B1937/100))</f>
        <v/>
      </c>
      <c r="E1937" s="12">
        <f>IF(A1937="","",$B$10*TAN(RADIANS(A1937)))</f>
        <v/>
      </c>
    </row>
    <row r="1938">
      <c r="A1938" s="11" t="n"/>
      <c r="B1938" s="11" t="n"/>
      <c r="C1938" s="12">
        <f>IF(A1938="","",$B$9*TAN(RADIANS(A1938)))</f>
        <v/>
      </c>
      <c r="D1938" s="12">
        <f>IF(C1938="","",C1938*(1+B1938/100))</f>
        <v/>
      </c>
      <c r="E1938" s="12">
        <f>IF(A1938="","",$B$10*TAN(RADIANS(A1938)))</f>
        <v/>
      </c>
    </row>
    <row r="1939">
      <c r="A1939" s="11" t="n"/>
      <c r="B1939" s="11" t="n"/>
      <c r="C1939" s="12">
        <f>IF(A1939="","",$B$9*TAN(RADIANS(A1939)))</f>
        <v/>
      </c>
      <c r="D1939" s="12">
        <f>IF(C1939="","",C1939*(1+B1939/100))</f>
        <v/>
      </c>
      <c r="E1939" s="12">
        <f>IF(A1939="","",$B$10*TAN(RADIANS(A1939)))</f>
        <v/>
      </c>
    </row>
    <row r="1940">
      <c r="A1940" s="11" t="n"/>
      <c r="B1940" s="11" t="n"/>
      <c r="C1940" s="12">
        <f>IF(A1940="","",$B$9*TAN(RADIANS(A1940)))</f>
        <v/>
      </c>
      <c r="D1940" s="12">
        <f>IF(C1940="","",C1940*(1+B1940/100))</f>
        <v/>
      </c>
      <c r="E1940" s="12">
        <f>IF(A1940="","",$B$10*TAN(RADIANS(A1940)))</f>
        <v/>
      </c>
    </row>
    <row r="1941">
      <c r="A1941" s="11" t="n"/>
      <c r="B1941" s="11" t="n"/>
      <c r="C1941" s="12">
        <f>IF(A1941="","",$B$9*TAN(RADIANS(A1941)))</f>
        <v/>
      </c>
      <c r="D1941" s="12">
        <f>IF(C1941="","",C1941*(1+B1941/100))</f>
        <v/>
      </c>
      <c r="E1941" s="12">
        <f>IF(A1941="","",$B$10*TAN(RADIANS(A1941)))</f>
        <v/>
      </c>
    </row>
    <row r="1942">
      <c r="A1942" s="11" t="n"/>
      <c r="B1942" s="11" t="n"/>
      <c r="C1942" s="12">
        <f>IF(A1942="","",$B$9*TAN(RADIANS(A1942)))</f>
        <v/>
      </c>
      <c r="D1942" s="12">
        <f>IF(C1942="","",C1942*(1+B1942/100))</f>
        <v/>
      </c>
      <c r="E1942" s="12">
        <f>IF(A1942="","",$B$10*TAN(RADIANS(A1942)))</f>
        <v/>
      </c>
    </row>
    <row r="1943">
      <c r="A1943" s="11" t="n"/>
      <c r="B1943" s="11" t="n"/>
      <c r="C1943" s="12">
        <f>IF(A1943="","",$B$9*TAN(RADIANS(A1943)))</f>
        <v/>
      </c>
      <c r="D1943" s="12">
        <f>IF(C1943="","",C1943*(1+B1943/100))</f>
        <v/>
      </c>
      <c r="E1943" s="12">
        <f>IF(A1943="","",$B$10*TAN(RADIANS(A1943)))</f>
        <v/>
      </c>
    </row>
    <row r="1944">
      <c r="A1944" s="11" t="n"/>
      <c r="B1944" s="11" t="n"/>
      <c r="C1944" s="12">
        <f>IF(A1944="","",$B$9*TAN(RADIANS(A1944)))</f>
        <v/>
      </c>
      <c r="D1944" s="12">
        <f>IF(C1944="","",C1944*(1+B1944/100))</f>
        <v/>
      </c>
      <c r="E1944" s="12">
        <f>IF(A1944="","",$B$10*TAN(RADIANS(A1944)))</f>
        <v/>
      </c>
    </row>
    <row r="1945">
      <c r="A1945" s="11" t="n"/>
      <c r="B1945" s="11" t="n"/>
      <c r="C1945" s="12">
        <f>IF(A1945="","",$B$9*TAN(RADIANS(A1945)))</f>
        <v/>
      </c>
      <c r="D1945" s="12">
        <f>IF(C1945="","",C1945*(1+B1945/100))</f>
        <v/>
      </c>
      <c r="E1945" s="12">
        <f>IF(A1945="","",$B$10*TAN(RADIANS(A1945)))</f>
        <v/>
      </c>
    </row>
    <row r="1946">
      <c r="A1946" s="11" t="n"/>
      <c r="B1946" s="11" t="n"/>
      <c r="C1946" s="12">
        <f>IF(A1946="","",$B$9*TAN(RADIANS(A1946)))</f>
        <v/>
      </c>
      <c r="D1946" s="12">
        <f>IF(C1946="","",C1946*(1+B1946/100))</f>
        <v/>
      </c>
      <c r="E1946" s="12">
        <f>IF(A1946="","",$B$10*TAN(RADIANS(A1946)))</f>
        <v/>
      </c>
    </row>
    <row r="1947">
      <c r="A1947" s="11" t="n"/>
      <c r="B1947" s="11" t="n"/>
      <c r="C1947" s="12">
        <f>IF(A1947="","",$B$9*TAN(RADIANS(A1947)))</f>
        <v/>
      </c>
      <c r="D1947" s="12">
        <f>IF(C1947="","",C1947*(1+B1947/100))</f>
        <v/>
      </c>
      <c r="E1947" s="12">
        <f>IF(A1947="","",$B$10*TAN(RADIANS(A1947)))</f>
        <v/>
      </c>
    </row>
    <row r="1948">
      <c r="A1948" s="11" t="n"/>
      <c r="B1948" s="11" t="n"/>
      <c r="C1948" s="12">
        <f>IF(A1948="","",$B$9*TAN(RADIANS(A1948)))</f>
        <v/>
      </c>
      <c r="D1948" s="12">
        <f>IF(C1948="","",C1948*(1+B1948/100))</f>
        <v/>
      </c>
      <c r="E1948" s="12">
        <f>IF(A1948="","",$B$10*TAN(RADIANS(A1948)))</f>
        <v/>
      </c>
    </row>
    <row r="1949">
      <c r="A1949" s="11" t="n"/>
      <c r="B1949" s="11" t="n"/>
      <c r="C1949" s="12">
        <f>IF(A1949="","",$B$9*TAN(RADIANS(A1949)))</f>
        <v/>
      </c>
      <c r="D1949" s="12">
        <f>IF(C1949="","",C1949*(1+B1949/100))</f>
        <v/>
      </c>
      <c r="E1949" s="12">
        <f>IF(A1949="","",$B$10*TAN(RADIANS(A1949)))</f>
        <v/>
      </c>
    </row>
    <row r="1950">
      <c r="A1950" s="11" t="n"/>
      <c r="B1950" s="11" t="n"/>
      <c r="C1950" s="12">
        <f>IF(A1950="","",$B$9*TAN(RADIANS(A1950)))</f>
        <v/>
      </c>
      <c r="D1950" s="12">
        <f>IF(C1950="","",C1950*(1+B1950/100))</f>
        <v/>
      </c>
      <c r="E1950" s="12">
        <f>IF(A1950="","",$B$10*TAN(RADIANS(A1950)))</f>
        <v/>
      </c>
    </row>
    <row r="1951">
      <c r="A1951" s="11" t="n"/>
      <c r="B1951" s="11" t="n"/>
      <c r="C1951" s="12">
        <f>IF(A1951="","",$B$9*TAN(RADIANS(A1951)))</f>
        <v/>
      </c>
      <c r="D1951" s="12">
        <f>IF(C1951="","",C1951*(1+B1951/100))</f>
        <v/>
      </c>
      <c r="E1951" s="12">
        <f>IF(A1951="","",$B$10*TAN(RADIANS(A1951)))</f>
        <v/>
      </c>
    </row>
    <row r="1952">
      <c r="A1952" s="11" t="n"/>
      <c r="B1952" s="11" t="n"/>
      <c r="C1952" s="12">
        <f>IF(A1952="","",$B$9*TAN(RADIANS(A1952)))</f>
        <v/>
      </c>
      <c r="D1952" s="12">
        <f>IF(C1952="","",C1952*(1+B1952/100))</f>
        <v/>
      </c>
      <c r="E1952" s="12">
        <f>IF(A1952="","",$B$10*TAN(RADIANS(A1952)))</f>
        <v/>
      </c>
    </row>
    <row r="1953">
      <c r="A1953" s="11" t="n"/>
      <c r="B1953" s="11" t="n"/>
      <c r="C1953" s="12">
        <f>IF(A1953="","",$B$9*TAN(RADIANS(A1953)))</f>
        <v/>
      </c>
      <c r="D1953" s="12">
        <f>IF(C1953="","",C1953*(1+B1953/100))</f>
        <v/>
      </c>
      <c r="E1953" s="12">
        <f>IF(A1953="","",$B$10*TAN(RADIANS(A1953)))</f>
        <v/>
      </c>
    </row>
    <row r="1954">
      <c r="A1954" s="11" t="n"/>
      <c r="B1954" s="11" t="n"/>
      <c r="C1954" s="12">
        <f>IF(A1954="","",$B$9*TAN(RADIANS(A1954)))</f>
        <v/>
      </c>
      <c r="D1954" s="12">
        <f>IF(C1954="","",C1954*(1+B1954/100))</f>
        <v/>
      </c>
      <c r="E1954" s="12">
        <f>IF(A1954="","",$B$10*TAN(RADIANS(A1954)))</f>
        <v/>
      </c>
    </row>
    <row r="1955">
      <c r="A1955" s="11" t="n"/>
      <c r="B1955" s="11" t="n"/>
      <c r="C1955" s="12">
        <f>IF(A1955="","",$B$9*TAN(RADIANS(A1955)))</f>
        <v/>
      </c>
      <c r="D1955" s="12">
        <f>IF(C1955="","",C1955*(1+B1955/100))</f>
        <v/>
      </c>
      <c r="E1955" s="12">
        <f>IF(A1955="","",$B$10*TAN(RADIANS(A1955)))</f>
        <v/>
      </c>
    </row>
    <row r="1956">
      <c r="A1956" s="11" t="n"/>
      <c r="B1956" s="11" t="n"/>
      <c r="C1956" s="12">
        <f>IF(A1956="","",$B$9*TAN(RADIANS(A1956)))</f>
        <v/>
      </c>
      <c r="D1956" s="12">
        <f>IF(C1956="","",C1956*(1+B1956/100))</f>
        <v/>
      </c>
      <c r="E1956" s="12">
        <f>IF(A1956="","",$B$10*TAN(RADIANS(A1956)))</f>
        <v/>
      </c>
    </row>
    <row r="1957">
      <c r="A1957" s="11" t="n"/>
      <c r="B1957" s="11" t="n"/>
      <c r="C1957" s="12">
        <f>IF(A1957="","",$B$9*TAN(RADIANS(A1957)))</f>
        <v/>
      </c>
      <c r="D1957" s="12">
        <f>IF(C1957="","",C1957*(1+B1957/100))</f>
        <v/>
      </c>
      <c r="E1957" s="12">
        <f>IF(A1957="","",$B$10*TAN(RADIANS(A1957)))</f>
        <v/>
      </c>
    </row>
    <row r="1958">
      <c r="A1958" s="11" t="n"/>
      <c r="B1958" s="11" t="n"/>
      <c r="C1958" s="12">
        <f>IF(A1958="","",$B$9*TAN(RADIANS(A1958)))</f>
        <v/>
      </c>
      <c r="D1958" s="12">
        <f>IF(C1958="","",C1958*(1+B1958/100))</f>
        <v/>
      </c>
      <c r="E1958" s="12">
        <f>IF(A1958="","",$B$10*TAN(RADIANS(A1958)))</f>
        <v/>
      </c>
    </row>
    <row r="1959">
      <c r="A1959" s="11" t="n"/>
      <c r="B1959" s="11" t="n"/>
      <c r="C1959" s="12">
        <f>IF(A1959="","",$B$9*TAN(RADIANS(A1959)))</f>
        <v/>
      </c>
      <c r="D1959" s="12">
        <f>IF(C1959="","",C1959*(1+B1959/100))</f>
        <v/>
      </c>
      <c r="E1959" s="12">
        <f>IF(A1959="","",$B$10*TAN(RADIANS(A1959)))</f>
        <v/>
      </c>
    </row>
    <row r="1960">
      <c r="A1960" s="11" t="n"/>
      <c r="B1960" s="11" t="n"/>
      <c r="C1960" s="12">
        <f>IF(A1960="","",$B$9*TAN(RADIANS(A1960)))</f>
        <v/>
      </c>
      <c r="D1960" s="12">
        <f>IF(C1960="","",C1960*(1+B1960/100))</f>
        <v/>
      </c>
      <c r="E1960" s="12">
        <f>IF(A1960="","",$B$10*TAN(RADIANS(A1960)))</f>
        <v/>
      </c>
    </row>
    <row r="1961">
      <c r="A1961" s="11" t="n"/>
      <c r="B1961" s="11" t="n"/>
      <c r="C1961" s="12">
        <f>IF(A1961="","",$B$9*TAN(RADIANS(A1961)))</f>
        <v/>
      </c>
      <c r="D1961" s="12">
        <f>IF(C1961="","",C1961*(1+B1961/100))</f>
        <v/>
      </c>
      <c r="E1961" s="12">
        <f>IF(A1961="","",$B$10*TAN(RADIANS(A1961)))</f>
        <v/>
      </c>
    </row>
    <row r="1962">
      <c r="A1962" s="11" t="n"/>
      <c r="B1962" s="11" t="n"/>
      <c r="C1962" s="12">
        <f>IF(A1962="","",$B$9*TAN(RADIANS(A1962)))</f>
        <v/>
      </c>
      <c r="D1962" s="12">
        <f>IF(C1962="","",C1962*(1+B1962/100))</f>
        <v/>
      </c>
      <c r="E1962" s="12">
        <f>IF(A1962="","",$B$10*TAN(RADIANS(A1962)))</f>
        <v/>
      </c>
    </row>
    <row r="1963">
      <c r="A1963" s="11" t="n"/>
      <c r="B1963" s="11" t="n"/>
      <c r="C1963" s="12">
        <f>IF(A1963="","",$B$9*TAN(RADIANS(A1963)))</f>
        <v/>
      </c>
      <c r="D1963" s="12">
        <f>IF(C1963="","",C1963*(1+B1963/100))</f>
        <v/>
      </c>
      <c r="E1963" s="12">
        <f>IF(A1963="","",$B$10*TAN(RADIANS(A1963)))</f>
        <v/>
      </c>
    </row>
    <row r="1964">
      <c r="A1964" s="11" t="n"/>
      <c r="B1964" s="11" t="n"/>
      <c r="C1964" s="12">
        <f>IF(A1964="","",$B$9*TAN(RADIANS(A1964)))</f>
        <v/>
      </c>
      <c r="D1964" s="12">
        <f>IF(C1964="","",C1964*(1+B1964/100))</f>
        <v/>
      </c>
      <c r="E1964" s="12">
        <f>IF(A1964="","",$B$10*TAN(RADIANS(A1964)))</f>
        <v/>
      </c>
    </row>
    <row r="1965">
      <c r="A1965" s="11" t="n"/>
      <c r="B1965" s="11" t="n"/>
      <c r="C1965" s="12">
        <f>IF(A1965="","",$B$9*TAN(RADIANS(A1965)))</f>
        <v/>
      </c>
      <c r="D1965" s="12">
        <f>IF(C1965="","",C1965*(1+B1965/100))</f>
        <v/>
      </c>
      <c r="E1965" s="12">
        <f>IF(A1965="","",$B$10*TAN(RADIANS(A1965)))</f>
        <v/>
      </c>
    </row>
    <row r="1966">
      <c r="A1966" s="11" t="n"/>
      <c r="B1966" s="11" t="n"/>
      <c r="C1966" s="12">
        <f>IF(A1966="","",$B$9*TAN(RADIANS(A1966)))</f>
        <v/>
      </c>
      <c r="D1966" s="12">
        <f>IF(C1966="","",C1966*(1+B1966/100))</f>
        <v/>
      </c>
      <c r="E1966" s="12">
        <f>IF(A1966="","",$B$10*TAN(RADIANS(A1966)))</f>
        <v/>
      </c>
    </row>
    <row r="1967">
      <c r="A1967" s="11" t="n"/>
      <c r="B1967" s="11" t="n"/>
      <c r="C1967" s="12">
        <f>IF(A1967="","",$B$9*TAN(RADIANS(A1967)))</f>
        <v/>
      </c>
      <c r="D1967" s="12">
        <f>IF(C1967="","",C1967*(1+B1967/100))</f>
        <v/>
      </c>
      <c r="E1967" s="12">
        <f>IF(A1967="","",$B$10*TAN(RADIANS(A1967)))</f>
        <v/>
      </c>
    </row>
    <row r="1968">
      <c r="A1968" s="11" t="n"/>
      <c r="B1968" s="11" t="n"/>
      <c r="C1968" s="12">
        <f>IF(A1968="","",$B$9*TAN(RADIANS(A1968)))</f>
        <v/>
      </c>
      <c r="D1968" s="12">
        <f>IF(C1968="","",C1968*(1+B1968/100))</f>
        <v/>
      </c>
      <c r="E1968" s="12">
        <f>IF(A1968="","",$B$10*TAN(RADIANS(A1968)))</f>
        <v/>
      </c>
    </row>
    <row r="1969">
      <c r="A1969" s="11" t="n"/>
      <c r="B1969" s="11" t="n"/>
      <c r="C1969" s="12">
        <f>IF(A1969="","",$B$9*TAN(RADIANS(A1969)))</f>
        <v/>
      </c>
      <c r="D1969" s="12">
        <f>IF(C1969="","",C1969*(1+B1969/100))</f>
        <v/>
      </c>
      <c r="E1969" s="12">
        <f>IF(A1969="","",$B$10*TAN(RADIANS(A1969)))</f>
        <v/>
      </c>
    </row>
    <row r="1970">
      <c r="A1970" s="11" t="n"/>
      <c r="B1970" s="11" t="n"/>
      <c r="C1970" s="12">
        <f>IF(A1970="","",$B$9*TAN(RADIANS(A1970)))</f>
        <v/>
      </c>
      <c r="D1970" s="12">
        <f>IF(C1970="","",C1970*(1+B1970/100))</f>
        <v/>
      </c>
      <c r="E1970" s="12">
        <f>IF(A1970="","",$B$10*TAN(RADIANS(A1970)))</f>
        <v/>
      </c>
    </row>
    <row r="1971">
      <c r="A1971" s="11" t="n"/>
      <c r="B1971" s="11" t="n"/>
      <c r="C1971" s="12">
        <f>IF(A1971="","",$B$9*TAN(RADIANS(A1971)))</f>
        <v/>
      </c>
      <c r="D1971" s="12">
        <f>IF(C1971="","",C1971*(1+B1971/100))</f>
        <v/>
      </c>
      <c r="E1971" s="12">
        <f>IF(A1971="","",$B$10*TAN(RADIANS(A1971)))</f>
        <v/>
      </c>
    </row>
    <row r="1972">
      <c r="A1972" s="11" t="n"/>
      <c r="B1972" s="11" t="n"/>
      <c r="C1972" s="12">
        <f>IF(A1972="","",$B$9*TAN(RADIANS(A1972)))</f>
        <v/>
      </c>
      <c r="D1972" s="12">
        <f>IF(C1972="","",C1972*(1+B1972/100))</f>
        <v/>
      </c>
      <c r="E1972" s="12">
        <f>IF(A1972="","",$B$10*TAN(RADIANS(A1972)))</f>
        <v/>
      </c>
    </row>
    <row r="1973">
      <c r="A1973" s="11" t="n"/>
      <c r="B1973" s="11" t="n"/>
      <c r="C1973" s="12">
        <f>IF(A1973="","",$B$9*TAN(RADIANS(A1973)))</f>
        <v/>
      </c>
      <c r="D1973" s="12">
        <f>IF(C1973="","",C1973*(1+B1973/100))</f>
        <v/>
      </c>
      <c r="E1973" s="12">
        <f>IF(A1973="","",$B$10*TAN(RADIANS(A1973)))</f>
        <v/>
      </c>
    </row>
    <row r="1974">
      <c r="A1974" s="11" t="n"/>
      <c r="B1974" s="11" t="n"/>
      <c r="C1974" s="12">
        <f>IF(A1974="","",$B$9*TAN(RADIANS(A1974)))</f>
        <v/>
      </c>
      <c r="D1974" s="12">
        <f>IF(C1974="","",C1974*(1+B1974/100))</f>
        <v/>
      </c>
      <c r="E1974" s="12">
        <f>IF(A1974="","",$B$10*TAN(RADIANS(A1974)))</f>
        <v/>
      </c>
    </row>
    <row r="1975">
      <c r="A1975" s="11" t="n"/>
      <c r="B1975" s="11" t="n"/>
      <c r="C1975" s="12">
        <f>IF(A1975="","",$B$9*TAN(RADIANS(A1975)))</f>
        <v/>
      </c>
      <c r="D1975" s="12">
        <f>IF(C1975="","",C1975*(1+B1975/100))</f>
        <v/>
      </c>
      <c r="E1975" s="12">
        <f>IF(A1975="","",$B$10*TAN(RADIANS(A1975)))</f>
        <v/>
      </c>
    </row>
    <row r="1976">
      <c r="A1976" s="11" t="n"/>
      <c r="B1976" s="11" t="n"/>
      <c r="C1976" s="12">
        <f>IF(A1976="","",$B$9*TAN(RADIANS(A1976)))</f>
        <v/>
      </c>
      <c r="D1976" s="12">
        <f>IF(C1976="","",C1976*(1+B1976/100))</f>
        <v/>
      </c>
      <c r="E1976" s="12">
        <f>IF(A1976="","",$B$10*TAN(RADIANS(A1976)))</f>
        <v/>
      </c>
    </row>
    <row r="1977">
      <c r="A1977" s="11" t="n"/>
      <c r="B1977" s="11" t="n"/>
      <c r="C1977" s="12">
        <f>IF(A1977="","",$B$9*TAN(RADIANS(A1977)))</f>
        <v/>
      </c>
      <c r="D1977" s="12">
        <f>IF(C1977="","",C1977*(1+B1977/100))</f>
        <v/>
      </c>
      <c r="E1977" s="12">
        <f>IF(A1977="","",$B$10*TAN(RADIANS(A1977)))</f>
        <v/>
      </c>
    </row>
    <row r="1978">
      <c r="A1978" s="11" t="n"/>
      <c r="B1978" s="11" t="n"/>
      <c r="C1978" s="12">
        <f>IF(A1978="","",$B$9*TAN(RADIANS(A1978)))</f>
        <v/>
      </c>
      <c r="D1978" s="12">
        <f>IF(C1978="","",C1978*(1+B1978/100))</f>
        <v/>
      </c>
      <c r="E1978" s="12">
        <f>IF(A1978="","",$B$10*TAN(RADIANS(A1978)))</f>
        <v/>
      </c>
    </row>
    <row r="1979">
      <c r="A1979" s="11" t="n"/>
      <c r="B1979" s="11" t="n"/>
      <c r="C1979" s="12">
        <f>IF(A1979="","",$B$9*TAN(RADIANS(A1979)))</f>
        <v/>
      </c>
      <c r="D1979" s="12">
        <f>IF(C1979="","",C1979*(1+B1979/100))</f>
        <v/>
      </c>
      <c r="E1979" s="12">
        <f>IF(A1979="","",$B$10*TAN(RADIANS(A1979)))</f>
        <v/>
      </c>
    </row>
    <row r="1980">
      <c r="A1980" s="11" t="n"/>
      <c r="B1980" s="11" t="n"/>
      <c r="C1980" s="12">
        <f>IF(A1980="","",$B$9*TAN(RADIANS(A1980)))</f>
        <v/>
      </c>
      <c r="D1980" s="12">
        <f>IF(C1980="","",C1980*(1+B1980/100))</f>
        <v/>
      </c>
      <c r="E1980" s="12">
        <f>IF(A1980="","",$B$10*TAN(RADIANS(A1980)))</f>
        <v/>
      </c>
    </row>
    <row r="1981">
      <c r="A1981" s="11" t="n"/>
      <c r="B1981" s="11" t="n"/>
      <c r="C1981" s="12">
        <f>IF(A1981="","",$B$9*TAN(RADIANS(A1981)))</f>
        <v/>
      </c>
      <c r="D1981" s="12">
        <f>IF(C1981="","",C1981*(1+B1981/100))</f>
        <v/>
      </c>
      <c r="E1981" s="12">
        <f>IF(A1981="","",$B$10*TAN(RADIANS(A1981)))</f>
        <v/>
      </c>
    </row>
    <row r="1982">
      <c r="A1982" s="11" t="n"/>
      <c r="B1982" s="11" t="n"/>
      <c r="C1982" s="12">
        <f>IF(A1982="","",$B$9*TAN(RADIANS(A1982)))</f>
        <v/>
      </c>
      <c r="D1982" s="12">
        <f>IF(C1982="","",C1982*(1+B1982/100))</f>
        <v/>
      </c>
      <c r="E1982" s="12">
        <f>IF(A1982="","",$B$10*TAN(RADIANS(A1982)))</f>
        <v/>
      </c>
    </row>
    <row r="1983">
      <c r="A1983" s="11" t="n"/>
      <c r="B1983" s="11" t="n"/>
      <c r="C1983" s="12">
        <f>IF(A1983="","",$B$9*TAN(RADIANS(A1983)))</f>
        <v/>
      </c>
      <c r="D1983" s="12">
        <f>IF(C1983="","",C1983*(1+B1983/100))</f>
        <v/>
      </c>
      <c r="E1983" s="12">
        <f>IF(A1983="","",$B$10*TAN(RADIANS(A1983)))</f>
        <v/>
      </c>
    </row>
    <row r="1984">
      <c r="A1984" s="11" t="n"/>
      <c r="B1984" s="11" t="n"/>
      <c r="C1984" s="12">
        <f>IF(A1984="","",$B$9*TAN(RADIANS(A1984)))</f>
        <v/>
      </c>
      <c r="D1984" s="12">
        <f>IF(C1984="","",C1984*(1+B1984/100))</f>
        <v/>
      </c>
      <c r="E1984" s="12">
        <f>IF(A1984="","",$B$10*TAN(RADIANS(A1984)))</f>
        <v/>
      </c>
    </row>
    <row r="1985">
      <c r="A1985" s="11" t="n"/>
      <c r="B1985" s="11" t="n"/>
      <c r="C1985" s="12">
        <f>IF(A1985="","",$B$9*TAN(RADIANS(A1985)))</f>
        <v/>
      </c>
      <c r="D1985" s="12">
        <f>IF(C1985="","",C1985*(1+B1985/100))</f>
        <v/>
      </c>
      <c r="E1985" s="12">
        <f>IF(A1985="","",$B$10*TAN(RADIANS(A1985)))</f>
        <v/>
      </c>
    </row>
    <row r="1986">
      <c r="A1986" s="11" t="n"/>
      <c r="B1986" s="11" t="n"/>
      <c r="C1986" s="12">
        <f>IF(A1986="","",$B$9*TAN(RADIANS(A1986)))</f>
        <v/>
      </c>
      <c r="D1986" s="12">
        <f>IF(C1986="","",C1986*(1+B1986/100))</f>
        <v/>
      </c>
      <c r="E1986" s="12">
        <f>IF(A1986="","",$B$10*TAN(RADIANS(A1986)))</f>
        <v/>
      </c>
    </row>
    <row r="1987">
      <c r="A1987" s="11" t="n"/>
      <c r="B1987" s="11" t="n"/>
      <c r="C1987" s="12">
        <f>IF(A1987="","",$B$9*TAN(RADIANS(A1987)))</f>
        <v/>
      </c>
      <c r="D1987" s="12">
        <f>IF(C1987="","",C1987*(1+B1987/100))</f>
        <v/>
      </c>
      <c r="E1987" s="12">
        <f>IF(A1987="","",$B$10*TAN(RADIANS(A1987)))</f>
        <v/>
      </c>
    </row>
    <row r="1988">
      <c r="A1988" s="11" t="n"/>
      <c r="B1988" s="11" t="n"/>
      <c r="C1988" s="12">
        <f>IF(A1988="","",$B$9*TAN(RADIANS(A1988)))</f>
        <v/>
      </c>
      <c r="D1988" s="12">
        <f>IF(C1988="","",C1988*(1+B1988/100))</f>
        <v/>
      </c>
      <c r="E1988" s="12">
        <f>IF(A1988="","",$B$10*TAN(RADIANS(A1988)))</f>
        <v/>
      </c>
    </row>
    <row r="1989">
      <c r="A1989" s="11" t="n"/>
      <c r="B1989" s="11" t="n"/>
      <c r="C1989" s="12">
        <f>IF(A1989="","",$B$9*TAN(RADIANS(A1989)))</f>
        <v/>
      </c>
      <c r="D1989" s="12">
        <f>IF(C1989="","",C1989*(1+B1989/100))</f>
        <v/>
      </c>
      <c r="E1989" s="12">
        <f>IF(A1989="","",$B$10*TAN(RADIANS(A1989)))</f>
        <v/>
      </c>
    </row>
    <row r="1990">
      <c r="A1990" s="11" t="n"/>
      <c r="B1990" s="11" t="n"/>
      <c r="C1990" s="12">
        <f>IF(A1990="","",$B$9*TAN(RADIANS(A1990)))</f>
        <v/>
      </c>
      <c r="D1990" s="12">
        <f>IF(C1990="","",C1990*(1+B1990/100))</f>
        <v/>
      </c>
      <c r="E1990" s="12">
        <f>IF(A1990="","",$B$10*TAN(RADIANS(A1990)))</f>
        <v/>
      </c>
    </row>
    <row r="1991">
      <c r="A1991" s="11" t="n"/>
      <c r="B1991" s="11" t="n"/>
      <c r="C1991" s="12">
        <f>IF(A1991="","",$B$9*TAN(RADIANS(A1991)))</f>
        <v/>
      </c>
      <c r="D1991" s="12">
        <f>IF(C1991="","",C1991*(1+B1991/100))</f>
        <v/>
      </c>
      <c r="E1991" s="12">
        <f>IF(A1991="","",$B$10*TAN(RADIANS(A1991)))</f>
        <v/>
      </c>
    </row>
    <row r="1992">
      <c r="A1992" s="11" t="n"/>
      <c r="B1992" s="11" t="n"/>
      <c r="C1992" s="12">
        <f>IF(A1992="","",$B$9*TAN(RADIANS(A1992)))</f>
        <v/>
      </c>
      <c r="D1992" s="12">
        <f>IF(C1992="","",C1992*(1+B1992/100))</f>
        <v/>
      </c>
      <c r="E1992" s="12">
        <f>IF(A1992="","",$B$10*TAN(RADIANS(A1992)))</f>
        <v/>
      </c>
    </row>
    <row r="1993">
      <c r="A1993" s="11" t="n"/>
      <c r="B1993" s="11" t="n"/>
      <c r="C1993" s="12">
        <f>IF(A1993="","",$B$9*TAN(RADIANS(A1993)))</f>
        <v/>
      </c>
      <c r="D1993" s="12">
        <f>IF(C1993="","",C1993*(1+B1993/100))</f>
        <v/>
      </c>
      <c r="E1993" s="12">
        <f>IF(A1993="","",$B$10*TAN(RADIANS(A1993)))</f>
        <v/>
      </c>
    </row>
    <row r="1994">
      <c r="A1994" s="11" t="n"/>
      <c r="B1994" s="11" t="n"/>
      <c r="C1994" s="12">
        <f>IF(A1994="","",$B$9*TAN(RADIANS(A1994)))</f>
        <v/>
      </c>
      <c r="D1994" s="12">
        <f>IF(C1994="","",C1994*(1+B1994/100))</f>
        <v/>
      </c>
      <c r="E1994" s="12">
        <f>IF(A1994="","",$B$10*TAN(RADIANS(A1994)))</f>
        <v/>
      </c>
    </row>
    <row r="1995">
      <c r="A1995" s="11" t="n"/>
      <c r="B1995" s="11" t="n"/>
      <c r="C1995" s="12">
        <f>IF(A1995="","",$B$9*TAN(RADIANS(A1995)))</f>
        <v/>
      </c>
      <c r="D1995" s="12">
        <f>IF(C1995="","",C1995*(1+B1995/100))</f>
        <v/>
      </c>
      <c r="E1995" s="12">
        <f>IF(A1995="","",$B$10*TAN(RADIANS(A1995)))</f>
        <v/>
      </c>
    </row>
    <row r="1996">
      <c r="A1996" s="11" t="n"/>
      <c r="B1996" s="11" t="n"/>
      <c r="C1996" s="12">
        <f>IF(A1996="","",$B$9*TAN(RADIANS(A1996)))</f>
        <v/>
      </c>
      <c r="D1996" s="12">
        <f>IF(C1996="","",C1996*(1+B1996/100))</f>
        <v/>
      </c>
      <c r="E1996" s="12">
        <f>IF(A1996="","",$B$10*TAN(RADIANS(A1996)))</f>
        <v/>
      </c>
    </row>
    <row r="1997">
      <c r="A1997" s="11" t="n"/>
      <c r="B1997" s="11" t="n"/>
      <c r="C1997" s="12">
        <f>IF(A1997="","",$B$9*TAN(RADIANS(A1997)))</f>
        <v/>
      </c>
      <c r="D1997" s="12">
        <f>IF(C1997="","",C1997*(1+B1997/100))</f>
        <v/>
      </c>
      <c r="E1997" s="12">
        <f>IF(A1997="","",$B$10*TAN(RADIANS(A1997)))</f>
        <v/>
      </c>
    </row>
    <row r="1998">
      <c r="A1998" s="11" t="n"/>
      <c r="B1998" s="11" t="n"/>
      <c r="C1998" s="12">
        <f>IF(A1998="","",$B$9*TAN(RADIANS(A1998)))</f>
        <v/>
      </c>
      <c r="D1998" s="12">
        <f>IF(C1998="","",C1998*(1+B1998/100))</f>
        <v/>
      </c>
      <c r="E1998" s="12">
        <f>IF(A1998="","",$B$10*TAN(RADIANS(A1998)))</f>
        <v/>
      </c>
    </row>
    <row r="1999">
      <c r="A1999" s="11" t="n"/>
      <c r="B1999" s="11" t="n"/>
      <c r="C1999" s="12">
        <f>IF(A1999="","",$B$9*TAN(RADIANS(A1999)))</f>
        <v/>
      </c>
      <c r="D1999" s="12">
        <f>IF(C1999="","",C1999*(1+B1999/100))</f>
        <v/>
      </c>
      <c r="E1999" s="12">
        <f>IF(A1999="","",$B$10*TAN(RADIANS(A1999)))</f>
        <v/>
      </c>
    </row>
    <row r="2000">
      <c r="A2000" s="11" t="n"/>
      <c r="B2000" s="11" t="n"/>
      <c r="C2000" s="12">
        <f>IF(A2000="","",$B$9*TAN(RADIANS(A2000)))</f>
        <v/>
      </c>
      <c r="D2000" s="12">
        <f>IF(C2000="","",C2000*(1+B2000/100))</f>
        <v/>
      </c>
      <c r="E2000" s="12">
        <f>IF(A2000="","",$B$10*TAN(RADIANS(A2000)))</f>
        <v/>
      </c>
    </row>
    <row r="2001">
      <c r="A2001" s="11" t="n"/>
      <c r="B2001" s="11" t="n"/>
      <c r="C2001" s="12">
        <f>IF(A2001="","",$B$9*TAN(RADIANS(A2001)))</f>
        <v/>
      </c>
      <c r="D2001" s="12">
        <f>IF(C2001="","",C2001*(1+B2001/100))</f>
        <v/>
      </c>
      <c r="E2001" s="12">
        <f>IF(A2001="","",$B$10*TAN(RADIANS(A2001)))</f>
        <v/>
      </c>
    </row>
    <row r="2002">
      <c r="A2002" s="11" t="n"/>
      <c r="B2002" s="11" t="n"/>
      <c r="C2002" s="12">
        <f>IF(A2002="","",$B$9*TAN(RADIANS(A2002)))</f>
        <v/>
      </c>
      <c r="D2002" s="12">
        <f>IF(C2002="","",C2002*(1+B2002/100))</f>
        <v/>
      </c>
      <c r="E2002" s="12">
        <f>IF(A2002="","",$B$10*TAN(RADIANS(A2002)))</f>
        <v/>
      </c>
    </row>
    <row r="2003">
      <c r="A2003" s="11" t="n"/>
      <c r="B2003" s="11" t="n"/>
      <c r="C2003" s="12">
        <f>IF(A2003="","",$B$9*TAN(RADIANS(A2003)))</f>
        <v/>
      </c>
      <c r="D2003" s="12">
        <f>IF(C2003="","",C2003*(1+B2003/100))</f>
        <v/>
      </c>
      <c r="E2003" s="12">
        <f>IF(A2003="","",$B$10*TAN(RADIANS(A2003)))</f>
        <v/>
      </c>
    </row>
    <row r="2004">
      <c r="A2004" s="11" t="n"/>
      <c r="B2004" s="11" t="n"/>
      <c r="C2004" s="12">
        <f>IF(A2004="","",$B$9*TAN(RADIANS(A2004)))</f>
        <v/>
      </c>
      <c r="D2004" s="12">
        <f>IF(C2004="","",C2004*(1+B2004/100))</f>
        <v/>
      </c>
      <c r="E2004" s="12">
        <f>IF(A2004="","",$B$10*TAN(RADIANS(A2004)))</f>
        <v/>
      </c>
    </row>
    <row r="2005">
      <c r="A2005" s="11" t="n"/>
      <c r="B2005" s="11" t="n"/>
      <c r="C2005" s="12">
        <f>IF(A2005="","",$B$9*TAN(RADIANS(A2005)))</f>
        <v/>
      </c>
      <c r="D2005" s="12">
        <f>IF(C2005="","",C2005*(1+B2005/100))</f>
        <v/>
      </c>
      <c r="E2005" s="12">
        <f>IF(A2005="","",$B$10*TAN(RADIANS(A2005)))</f>
        <v/>
      </c>
    </row>
    <row r="2006">
      <c r="A2006" s="11" t="n"/>
      <c r="B2006" s="11" t="n"/>
      <c r="C2006" s="12">
        <f>IF(A2006="","",$B$9*TAN(RADIANS(A2006)))</f>
        <v/>
      </c>
      <c r="D2006" s="12">
        <f>IF(C2006="","",C2006*(1+B2006/100))</f>
        <v/>
      </c>
      <c r="E2006" s="12">
        <f>IF(A2006="","",$B$10*TAN(RADIANS(A2006)))</f>
        <v/>
      </c>
    </row>
    <row r="2007">
      <c r="A2007" s="11" t="n"/>
      <c r="B2007" s="11" t="n"/>
      <c r="C2007" s="12">
        <f>IF(A2007="","",$B$9*TAN(RADIANS(A2007)))</f>
        <v/>
      </c>
      <c r="D2007" s="12">
        <f>IF(C2007="","",C2007*(1+B2007/100))</f>
        <v/>
      </c>
      <c r="E2007" s="12">
        <f>IF(A2007="","",$B$10*TAN(RADIANS(A2007)))</f>
        <v/>
      </c>
    </row>
    <row r="2008">
      <c r="A2008" s="11" t="n"/>
      <c r="B2008" s="11" t="n"/>
      <c r="C2008" s="12">
        <f>IF(A2008="","",$B$9*TAN(RADIANS(A2008)))</f>
        <v/>
      </c>
      <c r="D2008" s="12">
        <f>IF(C2008="","",C2008*(1+B2008/100))</f>
        <v/>
      </c>
      <c r="E2008" s="12">
        <f>IF(A2008="","",$B$10*TAN(RADIANS(A2008)))</f>
        <v/>
      </c>
    </row>
    <row r="2009">
      <c r="A2009" s="11" t="n"/>
      <c r="B2009" s="11" t="n"/>
      <c r="C2009" s="12">
        <f>IF(A2009="","",$B$9*TAN(RADIANS(A2009)))</f>
        <v/>
      </c>
      <c r="D2009" s="12">
        <f>IF(C2009="","",C2009*(1+B2009/100))</f>
        <v/>
      </c>
      <c r="E2009" s="12">
        <f>IF(A2009="","",$B$10*TAN(RADIANS(A2009)))</f>
        <v/>
      </c>
    </row>
    <row r="2010">
      <c r="A2010" s="11" t="n"/>
      <c r="B2010" s="11" t="n"/>
      <c r="C2010" s="12">
        <f>IF(A2010="","",$B$9*TAN(RADIANS(A2010)))</f>
        <v/>
      </c>
      <c r="D2010" s="12">
        <f>IF(C2010="","",C2010*(1+B2010/100))</f>
        <v/>
      </c>
      <c r="E2010" s="12">
        <f>IF(A2010="","",$B$10*TAN(RADIANS(A2010)))</f>
        <v/>
      </c>
    </row>
    <row r="2011">
      <c r="A2011" s="11" t="n"/>
      <c r="B2011" s="11" t="n"/>
      <c r="C2011" s="12">
        <f>IF(A2011="","",$B$9*TAN(RADIANS(A2011)))</f>
        <v/>
      </c>
      <c r="D2011" s="12">
        <f>IF(C2011="","",C2011*(1+B2011/100))</f>
        <v/>
      </c>
      <c r="E2011" s="12">
        <f>IF(A2011="","",$B$10*TAN(RADIANS(A2011)))</f>
        <v/>
      </c>
    </row>
    <row r="2012">
      <c r="A2012" s="11" t="n"/>
      <c r="B2012" s="11" t="n"/>
      <c r="C2012" s="12">
        <f>IF(A2012="","",$B$9*TAN(RADIANS(A2012)))</f>
        <v/>
      </c>
      <c r="D2012" s="12">
        <f>IF(C2012="","",C2012*(1+B2012/100))</f>
        <v/>
      </c>
      <c r="E2012" s="12">
        <f>IF(A2012="","",$B$10*TAN(RADIANS(A2012)))</f>
        <v/>
      </c>
    </row>
    <row r="2013">
      <c r="A2013" s="11" t="n"/>
      <c r="B2013" s="11" t="n"/>
      <c r="C2013" s="12">
        <f>IF(A2013="","",$B$9*TAN(RADIANS(A2013)))</f>
        <v/>
      </c>
      <c r="D2013" s="12">
        <f>IF(C2013="","",C2013*(1+B2013/100))</f>
        <v/>
      </c>
      <c r="E2013" s="12">
        <f>IF(A2013="","",$B$10*TAN(RADIANS(A2013)))</f>
        <v/>
      </c>
    </row>
    <row r="2014">
      <c r="A2014" s="11" t="n"/>
      <c r="B2014" s="11" t="n"/>
      <c r="C2014" s="12">
        <f>IF(A2014="","",$B$9*TAN(RADIANS(A2014)))</f>
        <v/>
      </c>
      <c r="D2014" s="12">
        <f>IF(C2014="","",C2014*(1+B2014/100))</f>
        <v/>
      </c>
      <c r="E2014" s="12">
        <f>IF(A2014="","",$B$10*TAN(RADIANS(A2014)))</f>
        <v/>
      </c>
    </row>
    <row r="2015">
      <c r="A2015" s="11" t="n"/>
      <c r="B2015" s="11" t="n"/>
      <c r="C2015" s="12">
        <f>IF(A2015="","",$B$9*TAN(RADIANS(A2015)))</f>
        <v/>
      </c>
      <c r="D2015" s="12">
        <f>IF(C2015="","",C2015*(1+B2015/100))</f>
        <v/>
      </c>
      <c r="E2015" s="12">
        <f>IF(A2015="","",$B$10*TAN(RADIANS(A2015)))</f>
        <v/>
      </c>
    </row>
    <row r="2016">
      <c r="A2016" s="11" t="n"/>
      <c r="B2016" s="11" t="n"/>
      <c r="C2016" s="12">
        <f>IF(A2016="","",$B$9*TAN(RADIANS(A2016)))</f>
        <v/>
      </c>
      <c r="D2016" s="12">
        <f>IF(C2016="","",C2016*(1+B2016/100))</f>
        <v/>
      </c>
      <c r="E2016" s="12">
        <f>IF(A2016="","",$B$10*TAN(RADIANS(A2016)))</f>
        <v/>
      </c>
    </row>
    <row r="2017">
      <c r="A2017" s="11" t="n"/>
      <c r="B2017" s="11" t="n"/>
      <c r="C2017" s="12">
        <f>IF(A2017="","",$B$9*TAN(RADIANS(A2017)))</f>
        <v/>
      </c>
      <c r="D2017" s="12">
        <f>IF(C2017="","",C2017*(1+B2017/100))</f>
        <v/>
      </c>
      <c r="E2017" s="12">
        <f>IF(A2017="","",$B$10*TAN(RADIANS(A2017)))</f>
        <v/>
      </c>
    </row>
    <row r="2018">
      <c r="A2018" s="11" t="n"/>
      <c r="B2018" s="11" t="n"/>
      <c r="C2018" s="12">
        <f>IF(A2018="","",$B$9*TAN(RADIANS(A2018)))</f>
        <v/>
      </c>
      <c r="D2018" s="12">
        <f>IF(C2018="","",C2018*(1+B2018/100))</f>
        <v/>
      </c>
      <c r="E2018" s="12">
        <f>IF(A2018="","",$B$10*TAN(RADIANS(A2018)))</f>
        <v/>
      </c>
    </row>
  </sheetData>
  <autoFilter ref="A18:B2018"/>
  <mergeCells count="8">
    <mergeCell ref="A2:V2"/>
    <mergeCell ref="A1:V1"/>
    <mergeCell ref="D9:F12"/>
    <mergeCell ref="G17:V17"/>
    <mergeCell ref="D3:F3"/>
    <mergeCell ref="A3:C3"/>
    <mergeCell ref="G3:I3"/>
    <mergeCell ref="A17:E17"/>
  </mergeCells>
  <conditionalFormatting sqref="H4:H9">
    <cfRule type="expression" priority="1" dxfId="0">
      <formula>LEFT(H4,2)&lt;&gt;"OK"</formula>
    </cfRule>
  </conditionalFormatting>
  <dataValidations count="2">
    <dataValidation sqref="B4:B6 B9:B10 E4:E5" showDropDown="0" showInputMessage="0" showErrorMessage="1" allowBlank="0" error="請輸入大於 0 的數值" type="decimal" operator="greaterThan">
      <formula1>0</formula1>
    </dataValidation>
    <dataValidation sqref="E6" showDropDown="0" showInputMessage="0" showErrorMessage="1" allowBlank="0" error="視場位置須介於 0～1" type="decimal" operator="between">
      <formula1>0</formula1>
      <formula2>1</formula2>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1" customWidth="1" min="1" max="1"/>
    <col width="110" customWidth="1" min="2" max="2"/>
  </cols>
  <sheetData>
    <row r="1">
      <c r="A1" s="1" t="inlineStr">
        <is>
          <t>第一象限 TV本 Chart：定義與使用說明</t>
        </is>
      </c>
    </row>
    <row r="3" ht="68" customHeight="1">
      <c r="A3" s="13" t="inlineStr">
        <is>
          <t>位置</t>
        </is>
      </c>
      <c r="B3" s="14" t="inlineStr">
        <is>
          <t>只生成第一象限。Sensor 中心為座標中心；第一象限是 X 向右、Y 向上。指定 TV本的橫線組與豎線組之組合中心位於中心至右上角半對角線的指定倍率，預設 0.7。</t>
        </is>
      </c>
    </row>
    <row r="4" ht="68" customHeight="1">
      <c r="A4" s="13" t="inlineStr">
        <is>
          <t>11 級 TV本</t>
        </is>
      </c>
      <c r="B4" s="14" t="inlineStr">
        <is>
          <t>預設指定 1500 TV本、間隔 100 TV本，自動產生 1000～2000 TV本，共 11 級。相鄰圖樣的間隔採兩級中較細的線寬。</t>
        </is>
      </c>
    </row>
    <row r="5" ht="68" customHeight="1">
      <c r="A5" s="13" t="inlineStr">
        <is>
          <t>線條幾何</t>
        </is>
      </c>
      <c r="B5" s="14" t="inlineStr">
        <is>
          <t>每級包含 5 條橫線與 5 條豎線。線寬=Sensor 高度/TV本；線間空白等於線寬。5 條線加 4 個空白形成邊長 9×線寬的正方形線組；橫線組在左、豎線組在右，兩組間隔一個線寬。</t>
        </is>
      </c>
    </row>
    <row r="6" ht="68" customHeight="1">
      <c r="A6" s="13" t="inlineStr">
        <is>
          <t>440 點</t>
        </is>
      </c>
      <c r="B6" s="14" t="inlineStr">
        <is>
          <t>11級×2方向×5條線×4角=440點。每條線以四個角點輸出，不重複首點。這是直邊四角近似；若需要補償每條邊的微小曲率，點數必須增加。</t>
        </is>
      </c>
    </row>
    <row r="7" ht="68" customHeight="1">
      <c r="A7" s="13" t="inlineStr">
        <is>
          <t>CAD 座標</t>
        </is>
      </c>
      <c r="B7" s="14" t="inlineStr">
        <is>
          <t>Sensor 與 CAD 均為 1 unit = 1 mm。CAD 原點為光軸在物平面的投影，X 向右、Y 向上，並包含鏡頭倒像。</t>
        </is>
      </c>
    </row>
    <row r="8" ht="68" customHeight="1">
      <c r="A8" s="13" t="inlineStr">
        <is>
          <t>畸變模型</t>
        </is>
      </c>
      <c r="B8" s="14" t="inlineStr">
        <is>
          <t>由最多 2000 筆半視角／Optical distortion 建立半視角與畸變像高 LUT，分段線性反查後以 R=Z·tan(θ) 求 CAD 座標。</t>
        </is>
      </c>
    </row>
    <row r="9" ht="68" customHeight="1">
      <c r="A9" s="13" t="inlineStr">
        <is>
          <t>中心 Chart</t>
        </is>
      </c>
      <c r="B9" s="14" t="inlineStr">
        <is>
          <t>本工作簿不生成中心 chart；目前只有第一象限的 0.7 視場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