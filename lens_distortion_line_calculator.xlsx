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畸變線計算器" sheetId="1" state="visible" r:id="rId1"/>
    <sheet name="使用說明" sheetId="2" state="visible" r:id="rId2"/>
  </sheets>
  <definedNames>
    <definedName name="_xlnm._FilterDatabase" localSheetId="0" hidden="1">'畸變線計算器'!$A$14:$B$34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</font>
    <font>
      <b val="1"/>
      <color rgb="00FFFFFF"/>
    </font>
    <font>
      <i val="1"/>
      <color rgb="009C0006"/>
    </font>
  </fonts>
  <fills count="7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E7E6E6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3" borderId="1" pivotButton="0" quotePrefix="0" xfId="0"/>
    <xf numFmtId="0" fontId="0" fillId="4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/>
    </xf>
    <xf numFmtId="0" fontId="0" fillId="5" borderId="1" pivotButton="0" quotePrefix="0" xfId="0"/>
    <xf numFmtId="0" fontId="0" fillId="6" borderId="1" pivotButton="0" quotePrefix="0" xfId="0"/>
    <xf numFmtId="0" fontId="0" fillId="0" borderId="1" pivotButton="0" quotePrefix="0" xfId="0"/>
    <xf numFmtId="0" fontId="4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/>
    </xf>
    <xf numFmtId="164" fontId="0" fillId="6" borderId="1" applyAlignment="1" pivotButton="0" quotePrefix="0" xfId="0">
      <alignment horizontal="center"/>
    </xf>
    <xf numFmtId="0" fontId="3" fillId="2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畸變後 4 點（影像 pixel 座標）</a:t>
            </a:r>
          </a:p>
        </rich>
      </tx>
    </title>
    <plotArea>
      <scatterChart>
        <ser>
          <idx val="0"/>
          <order val="0"/>
          <tx>
            <v>畸變後線段</v>
          </tx>
          <spPr>
            <a:solidFill>
              <a:srgbClr val="C00000"/>
            </a:solidFill>
            <a:ln w="28575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xVal>
            <numRef>
              <f>'畸變線計算器'!$M$39:$M$42</f>
            </numRef>
          </xVal>
          <yVal>
            <numRef>
              <f>'畸變線計算器'!$N$39:$N$42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 (pixel)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axMin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Y (pixel，向下為正)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46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5" customWidth="1" min="4" max="4"/>
    <col width="15" customWidth="1" min="5" max="5"/>
    <col width="15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width="18" customWidth="1" min="12" max="12"/>
    <col width="15" customWidth="1" min="13" max="13"/>
    <col width="15" customWidth="1" min="14" max="14"/>
  </cols>
  <sheetData>
    <row r="1" ht="30" customHeight="1">
      <c r="A1" s="1" t="inlineStr">
        <is>
          <t>Lens Distortion 歪斜線 4 點座標計算器</t>
        </is>
      </c>
    </row>
    <row r="2">
      <c r="A2" s="2" t="inlineStr">
        <is>
          <t>黃色儲存格為輸入；輸出以光軸為原點，亦可加上影像中心轉為絕對 pixel 座標。</t>
        </is>
      </c>
    </row>
    <row r="3">
      <c r="A3" s="3" t="inlineStr">
        <is>
          <t>鏡頭／感測器輸入</t>
        </is>
      </c>
      <c r="D3" s="3" t="inlineStr">
        <is>
          <t>物方直線輸入</t>
        </is>
      </c>
      <c r="E3" s="3" t="inlineStr">
        <is>
          <t>X (mm)</t>
        </is>
      </c>
      <c r="F3" s="3" t="inlineStr">
        <is>
          <t>Y (mm)</t>
        </is>
      </c>
    </row>
    <row r="4">
      <c r="A4" t="inlineStr">
        <is>
          <t>Sensor pixel size</t>
        </is>
      </c>
      <c r="B4" s="4" t="n">
        <v>3.45</v>
      </c>
      <c r="C4" t="inlineStr">
        <is>
          <t>µm/pixel</t>
        </is>
      </c>
      <c r="D4" t="inlineStr">
        <is>
          <t>線段起點</t>
        </is>
      </c>
      <c r="E4" s="4" t="n">
        <v>-100</v>
      </c>
      <c r="F4" s="4" t="n">
        <v>50</v>
      </c>
    </row>
    <row r="5">
      <c r="A5" t="inlineStr">
        <is>
          <t>Lens 焦距</t>
        </is>
      </c>
      <c r="B5" s="4" t="n">
        <v>4</v>
      </c>
      <c r="C5" t="inlineStr">
        <is>
          <t>mm</t>
        </is>
      </c>
      <c r="D5" t="inlineStr">
        <is>
          <t>線段終點</t>
        </is>
      </c>
      <c r="E5" s="4" t="n">
        <v>100</v>
      </c>
      <c r="F5" s="4" t="n">
        <v>100</v>
      </c>
    </row>
    <row r="6">
      <c r="A6" t="inlineStr">
        <is>
          <t>物體至 lens 距離</t>
        </is>
      </c>
      <c r="B6" s="4" t="n">
        <v>1000</v>
      </c>
      <c r="C6" t="inlineStr">
        <is>
          <t>mm</t>
        </is>
      </c>
    </row>
    <row r="7">
      <c r="A7" t="inlineStr">
        <is>
          <t>影像中心 X</t>
        </is>
      </c>
      <c r="B7" s="4" t="n">
        <v>960</v>
      </c>
      <c r="C7" t="inlineStr">
        <is>
          <t>pixel</t>
        </is>
      </c>
      <c r="D7" s="5" t="inlineStr">
        <is>
          <t>座標假設：物體平面與 sensor 平行，光軸穿過物方 (0,0)。
X 向右、物方 Y 向上；輸出影像 Y 為向下增加。
4 點為線段 t = 0、1/3、2/3、1 的畸變後位置。</t>
        </is>
      </c>
    </row>
    <row r="8">
      <c r="A8" t="inlineStr">
        <is>
          <t>影像中心 Y</t>
        </is>
      </c>
      <c r="B8" s="4" t="n">
        <v>540</v>
      </c>
      <c r="C8" t="inlineStr">
        <is>
          <t>pixel</t>
        </is>
      </c>
    </row>
    <row r="9">
      <c r="A9" t="inlineStr">
        <is>
          <t>表格 FOV 定義</t>
        </is>
      </c>
      <c r="B9" s="4" t="inlineStr">
        <is>
          <t>全視場角</t>
        </is>
      </c>
      <c r="C9" t="inlineStr">
        <is>
          <t>全角或半角</t>
        </is>
      </c>
    </row>
    <row r="10"/>
    <row r="11">
      <c r="A11" t="inlineStr">
        <is>
          <t>有效表格列數</t>
        </is>
      </c>
      <c r="B11">
        <f>COUNT(A15:A34)</f>
        <v/>
      </c>
    </row>
    <row r="12">
      <c r="A12" t="inlineStr">
        <is>
          <t>表格狀態</t>
        </is>
      </c>
      <c r="B12">
        <f>IF(B11&lt;2,"錯誤：至少輸入 2 列",IF(SUMPRODUCT(--(A16:INDEX(A:A,14+B11)&lt;=A15:INDEX(A:A,13+B11)))&gt;0,"錯誤：FOV 必須遞增","OK"))</f>
        <v/>
      </c>
    </row>
    <row r="13">
      <c r="A13" s="3" t="inlineStr">
        <is>
          <t>Lens distortion table</t>
        </is>
      </c>
      <c r="E13" s="3" t="inlineStr">
        <is>
          <t>輸入檢查</t>
        </is>
      </c>
    </row>
    <row r="14">
      <c r="A14" s="6" t="inlineStr">
        <is>
          <t>FOV (degree)</t>
        </is>
      </c>
      <c r="B14" s="6" t="inlineStr">
        <is>
          <t>Distortion (%)</t>
        </is>
      </c>
      <c r="C14" s="6" t="inlineStr">
        <is>
          <t>至下一列斜率</t>
        </is>
      </c>
      <c r="E14" s="7" t="inlineStr">
        <is>
          <t>Pixel size &gt; 0</t>
        </is>
      </c>
      <c r="F14" s="8">
        <f>IF(B4&gt;0,"OK","錯誤")</f>
        <v/>
      </c>
    </row>
    <row r="15">
      <c r="A15" s="4" t="n">
        <v>0</v>
      </c>
      <c r="B15" s="4" t="n">
        <v>0</v>
      </c>
      <c r="C15" s="9">
        <f>IF(OR(A15="",A16=""),"",IFERROR((B16-B15)/(A16-A15),""))</f>
        <v/>
      </c>
      <c r="E15" s="7" t="inlineStr">
        <is>
          <t>焦距 &gt; 0</t>
        </is>
      </c>
      <c r="F15" s="8">
        <f>IF(B5&gt;0,"OK","錯誤")</f>
        <v/>
      </c>
    </row>
    <row r="16">
      <c r="A16" s="4" t="n">
        <v>20</v>
      </c>
      <c r="B16" s="4" t="n">
        <v>-1</v>
      </c>
      <c r="C16" s="9">
        <f>IF(OR(A16="",A17=""),"",IFERROR((B17-B16)/(A17-A16),""))</f>
        <v/>
      </c>
      <c r="E16" s="7" t="inlineStr">
        <is>
          <t>物距 &gt; 0</t>
        </is>
      </c>
      <c r="F16" s="8">
        <f>IF(B6&gt;0,"OK","錯誤")</f>
        <v/>
      </c>
    </row>
    <row r="17">
      <c r="A17" s="4" t="n">
        <v>40</v>
      </c>
      <c r="B17" s="4" t="n">
        <v>-3</v>
      </c>
      <c r="C17" s="9">
        <f>IF(OR(A17="",A18=""),"",IFERROR((B18-B17)/(A18-A17),""))</f>
        <v/>
      </c>
      <c r="E17" s="7" t="inlineStr">
        <is>
          <t>畸變表</t>
        </is>
      </c>
      <c r="F17" s="8">
        <f>B12</f>
        <v/>
      </c>
    </row>
    <row r="18">
      <c r="A18" s="4" t="n">
        <v>60</v>
      </c>
      <c r="B18" s="4" t="n">
        <v>-6</v>
      </c>
      <c r="C18" s="9">
        <f>IF(OR(A18="",A19=""),"",IFERROR((B19-B18)/(A19-A18),""))</f>
        <v/>
      </c>
      <c r="E18" s="7" t="inlineStr">
        <is>
          <t>FOV 範圍</t>
        </is>
      </c>
      <c r="F18" s="8">
        <f>IF(MAX(I39:I42)&gt;MAX(A15:A34),"警告：超出表格，使用端點值","OK")</f>
        <v/>
      </c>
    </row>
    <row r="19">
      <c r="A19" s="4" t="n">
        <v>80</v>
      </c>
      <c r="B19" s="4" t="n">
        <v>-10</v>
      </c>
      <c r="C19" s="9">
        <f>IF(OR(A19="",A20=""),"",IFERROR((B20-B19)/(A20-A19),""))</f>
        <v/>
      </c>
    </row>
    <row r="20">
      <c r="A20" s="4" t="n"/>
      <c r="B20" s="4" t="n"/>
      <c r="C20" s="9">
        <f>IF(OR(A20="",A21=""),"",IFERROR((B21-B20)/(A21-A20),""))</f>
        <v/>
      </c>
    </row>
    <row r="21">
      <c r="A21" s="4" t="n"/>
      <c r="B21" s="4" t="n"/>
      <c r="C21" s="9">
        <f>IF(OR(A21="",A22=""),"",IFERROR((B22-B21)/(A22-A21),""))</f>
        <v/>
      </c>
    </row>
    <row r="22">
      <c r="A22" s="4" t="n"/>
      <c r="B22" s="4" t="n"/>
      <c r="C22" s="9">
        <f>IF(OR(A22="",A23=""),"",IFERROR((B23-B22)/(A23-A22),""))</f>
        <v/>
      </c>
    </row>
    <row r="23">
      <c r="A23" s="4" t="n"/>
      <c r="B23" s="4" t="n"/>
      <c r="C23" s="9">
        <f>IF(OR(A23="",A24=""),"",IFERROR((B24-B23)/(A24-A23),""))</f>
        <v/>
      </c>
    </row>
    <row r="24">
      <c r="A24" s="4" t="n"/>
      <c r="B24" s="4" t="n"/>
      <c r="C24" s="9">
        <f>IF(OR(A24="",A25=""),"",IFERROR((B25-B24)/(A25-A24),""))</f>
        <v/>
      </c>
    </row>
    <row r="25">
      <c r="A25" s="4" t="n"/>
      <c r="B25" s="4" t="n"/>
      <c r="C25" s="9">
        <f>IF(OR(A25="",A26=""),"",IFERROR((B26-B25)/(A26-A25),""))</f>
        <v/>
      </c>
    </row>
    <row r="26">
      <c r="A26" s="4" t="n"/>
      <c r="B26" s="4" t="n"/>
      <c r="C26" s="9">
        <f>IF(OR(A26="",A27=""),"",IFERROR((B27-B26)/(A27-A26),""))</f>
        <v/>
      </c>
    </row>
    <row r="27">
      <c r="A27" s="4" t="n"/>
      <c r="B27" s="4" t="n"/>
      <c r="C27" s="9">
        <f>IF(OR(A27="",A28=""),"",IFERROR((B28-B27)/(A28-A27),""))</f>
        <v/>
      </c>
    </row>
    <row r="28">
      <c r="A28" s="4" t="n"/>
      <c r="B28" s="4" t="n"/>
      <c r="C28" s="9">
        <f>IF(OR(A28="",A29=""),"",IFERROR((B29-B28)/(A29-A28),""))</f>
        <v/>
      </c>
    </row>
    <row r="29">
      <c r="A29" s="4" t="n"/>
      <c r="B29" s="4" t="n"/>
      <c r="C29" s="9">
        <f>IF(OR(A29="",A30=""),"",IFERROR((B30-B29)/(A30-A29),""))</f>
        <v/>
      </c>
    </row>
    <row r="30">
      <c r="A30" s="4" t="n"/>
      <c r="B30" s="4" t="n"/>
      <c r="C30" s="9">
        <f>IF(OR(A30="",A31=""),"",IFERROR((B31-B30)/(A31-A30),""))</f>
        <v/>
      </c>
    </row>
    <row r="31">
      <c r="A31" s="4" t="n"/>
      <c r="B31" s="4" t="n"/>
      <c r="C31" s="9">
        <f>IF(OR(A31="",A32=""),"",IFERROR((B32-B31)/(A32-A31),""))</f>
        <v/>
      </c>
    </row>
    <row r="32">
      <c r="A32" s="4" t="n"/>
      <c r="B32" s="4" t="n"/>
      <c r="C32" s="9">
        <f>IF(OR(A32="",A33=""),"",IFERROR((B33-B32)/(A33-A32),""))</f>
        <v/>
      </c>
    </row>
    <row r="33">
      <c r="A33" s="4" t="n"/>
      <c r="B33" s="4" t="n"/>
      <c r="C33" s="9">
        <f>IF(OR(A33="",A34=""),"",IFERROR((B34-B33)/(A34-A33),""))</f>
        <v/>
      </c>
    </row>
    <row r="34">
      <c r="A34" s="4" t="n"/>
      <c r="B34" s="4" t="n"/>
      <c r="C34" s="9">
        <f>IF(OR(A34="",A35=""),"",IFERROR((B35-B34)/(A35-A34),""))</f>
        <v/>
      </c>
    </row>
    <row r="35">
      <c r="A35" t="inlineStr">
        <is>
          <t>注意</t>
        </is>
      </c>
      <c r="B35" s="10" t="inlineStr">
        <is>
          <t>目前為示例值，請換成實際 lens table；Distortion 正值向外、負值向內。</t>
        </is>
      </c>
    </row>
    <row r="37">
      <c r="A37" s="3" t="inlineStr">
        <is>
          <t>四點座標輸出</t>
        </is>
      </c>
    </row>
    <row r="38" ht="42" customHeight="1">
      <c r="A38" s="11" t="inlineStr">
        <is>
          <t>點</t>
        </is>
      </c>
      <c r="B38" s="11" t="inlineStr">
        <is>
          <t>t</t>
        </is>
      </c>
      <c r="C38" s="11" t="inlineStr">
        <is>
          <t>物方 X
(mm)</t>
        </is>
      </c>
      <c r="D38" s="11" t="inlineStr">
        <is>
          <t>物方 Y
(mm)</t>
        </is>
      </c>
      <c r="E38" s="11" t="inlineStr">
        <is>
          <t>理想像 X
(mm)</t>
        </is>
      </c>
      <c r="F38" s="11" t="inlineStr">
        <is>
          <t>理想像 Y
(mm)</t>
        </is>
      </c>
      <c r="G38" s="11" t="inlineStr">
        <is>
          <t>理想半徑
(mm)</t>
        </is>
      </c>
      <c r="H38" s="11" t="inlineStr">
        <is>
          <t>半視場角
(deg)</t>
        </is>
      </c>
      <c r="I38" s="11" t="inlineStr">
        <is>
          <t>查表 FOV
(deg)</t>
        </is>
      </c>
      <c r="J38" s="11" t="inlineStr">
        <is>
          <t>內插 Dist.
(%)</t>
        </is>
      </c>
      <c r="K38" s="11" t="inlineStr">
        <is>
          <t>畸變後 X
(pixel,中心=0)</t>
        </is>
      </c>
      <c r="L38" s="11" t="inlineStr">
        <is>
          <t>畸變後 Y
(pixel,中心=0)</t>
        </is>
      </c>
      <c r="M38" s="11" t="inlineStr">
        <is>
          <t>絕對 X
(pixel)</t>
        </is>
      </c>
      <c r="N38" s="11" t="inlineStr">
        <is>
          <t>絕對 Y
(pixel)</t>
        </is>
      </c>
    </row>
    <row r="39">
      <c r="A39" s="12" t="inlineStr">
        <is>
          <t>P1</t>
        </is>
      </c>
      <c r="B39" s="12" t="n">
        <v>0</v>
      </c>
      <c r="C39" s="13">
        <f>$E$4+B39*($E$5-$E$4)</f>
        <v/>
      </c>
      <c r="D39" s="13">
        <f>$F$4+B39*($F$5-$F$4)</f>
        <v/>
      </c>
      <c r="E39" s="13">
        <f>IFERROR($B$5*C39/$B$6,"")</f>
        <v/>
      </c>
      <c r="F39" s="13">
        <f>IFERROR($B$5*D39/$B$6,"")</f>
        <v/>
      </c>
      <c r="G39" s="13">
        <f>IFERROR(SQRT(E39^2+F39^2),"")</f>
        <v/>
      </c>
      <c r="H39" s="13">
        <f>IFERROR(DEGREES(ATAN(G39/$B$5)),"")</f>
        <v/>
      </c>
      <c r="I39" s="13">
        <f>IF($B$9="全視場角",2*H39,H39)</f>
        <v/>
      </c>
      <c r="J39" s="13">
        <f>IF(OR($B$12&lt;&gt;"OK",I39=""),"",IF(I39&lt;=$A$15,$B$15,IF(I39&gt;=INDEX($A$15:$A$34,$B$11),INDEX($B$15:$B$34,$B$11),INDEX($B$15:$B$34,MATCH(I39,$A$15:INDEX($A$15:$A$34,$B$11),1))+(I39-INDEX($A$15:$A$34,MATCH(I39,$A$15:INDEX($A$15:$A$34,$B$11),1)))*INDEX($C$15:$C$34,MATCH(I39,$A$15:INDEX($A$15:$A$34,$B$11),1)))))</f>
        <v/>
      </c>
      <c r="K39" s="13">
        <f>IFERROR(E39*(1+J39/100)*1000/$B$4,"")</f>
        <v/>
      </c>
      <c r="L39" s="13">
        <f>IFERROR(-F39*(1+J39/100)*1000/$B$4,"")</f>
        <v/>
      </c>
      <c r="M39" s="13">
        <f>IFERROR($B$7+K39,"")</f>
        <v/>
      </c>
      <c r="N39" s="13">
        <f>IFERROR($B$8+L39,"")</f>
        <v/>
      </c>
    </row>
    <row r="40">
      <c r="A40" s="12" t="inlineStr">
        <is>
          <t>P2</t>
        </is>
      </c>
      <c r="B40" s="12" t="n">
        <v>0.3333333333333333</v>
      </c>
      <c r="C40" s="13">
        <f>$E$4+B40*($E$5-$E$4)</f>
        <v/>
      </c>
      <c r="D40" s="13">
        <f>$F$4+B40*($F$5-$F$4)</f>
        <v/>
      </c>
      <c r="E40" s="13">
        <f>IFERROR($B$5*C40/$B$6,"")</f>
        <v/>
      </c>
      <c r="F40" s="13">
        <f>IFERROR($B$5*D40/$B$6,"")</f>
        <v/>
      </c>
      <c r="G40" s="13">
        <f>IFERROR(SQRT(E40^2+F40^2),"")</f>
        <v/>
      </c>
      <c r="H40" s="13">
        <f>IFERROR(DEGREES(ATAN(G40/$B$5)),"")</f>
        <v/>
      </c>
      <c r="I40" s="13">
        <f>IF($B$9="全視場角",2*H40,H40)</f>
        <v/>
      </c>
      <c r="J40" s="13">
        <f>IF(OR($B$12&lt;&gt;"OK",I40=""),"",IF(I40&lt;=$A$15,$B$15,IF(I40&gt;=INDEX($A$15:$A$34,$B$11),INDEX($B$15:$B$34,$B$11),INDEX($B$15:$B$34,MATCH(I40,$A$15:INDEX($A$15:$A$34,$B$11),1))+(I40-INDEX($A$15:$A$34,MATCH(I40,$A$15:INDEX($A$15:$A$34,$B$11),1)))*INDEX($C$15:$C$34,MATCH(I40,$A$15:INDEX($A$15:$A$34,$B$11),1)))))</f>
        <v/>
      </c>
      <c r="K40" s="13">
        <f>IFERROR(E40*(1+J40/100)*1000/$B$4,"")</f>
        <v/>
      </c>
      <c r="L40" s="13">
        <f>IFERROR(-F40*(1+J40/100)*1000/$B$4,"")</f>
        <v/>
      </c>
      <c r="M40" s="13">
        <f>IFERROR($B$7+K40,"")</f>
        <v/>
      </c>
      <c r="N40" s="13">
        <f>IFERROR($B$8+L40,"")</f>
        <v/>
      </c>
    </row>
    <row r="41">
      <c r="A41" s="12" t="inlineStr">
        <is>
          <t>P3</t>
        </is>
      </c>
      <c r="B41" s="12" t="n">
        <v>0.6666666666666666</v>
      </c>
      <c r="C41" s="13">
        <f>$E$4+B41*($E$5-$E$4)</f>
        <v/>
      </c>
      <c r="D41" s="13">
        <f>$F$4+B41*($F$5-$F$4)</f>
        <v/>
      </c>
      <c r="E41" s="13">
        <f>IFERROR($B$5*C41/$B$6,"")</f>
        <v/>
      </c>
      <c r="F41" s="13">
        <f>IFERROR($B$5*D41/$B$6,"")</f>
        <v/>
      </c>
      <c r="G41" s="13">
        <f>IFERROR(SQRT(E41^2+F41^2),"")</f>
        <v/>
      </c>
      <c r="H41" s="13">
        <f>IFERROR(DEGREES(ATAN(G41/$B$5)),"")</f>
        <v/>
      </c>
      <c r="I41" s="13">
        <f>IF($B$9="全視場角",2*H41,H41)</f>
        <v/>
      </c>
      <c r="J41" s="13">
        <f>IF(OR($B$12&lt;&gt;"OK",I41=""),"",IF(I41&lt;=$A$15,$B$15,IF(I41&gt;=INDEX($A$15:$A$34,$B$11),INDEX($B$15:$B$34,$B$11),INDEX($B$15:$B$34,MATCH(I41,$A$15:INDEX($A$15:$A$34,$B$11),1))+(I41-INDEX($A$15:$A$34,MATCH(I41,$A$15:INDEX($A$15:$A$34,$B$11),1)))*INDEX($C$15:$C$34,MATCH(I41,$A$15:INDEX($A$15:$A$34,$B$11),1)))))</f>
        <v/>
      </c>
      <c r="K41" s="13">
        <f>IFERROR(E41*(1+J41/100)*1000/$B$4,"")</f>
        <v/>
      </c>
      <c r="L41" s="13">
        <f>IFERROR(-F41*(1+J41/100)*1000/$B$4,"")</f>
        <v/>
      </c>
      <c r="M41" s="13">
        <f>IFERROR($B$7+K41,"")</f>
        <v/>
      </c>
      <c r="N41" s="13">
        <f>IFERROR($B$8+L41,"")</f>
        <v/>
      </c>
    </row>
    <row r="42">
      <c r="A42" s="12" t="inlineStr">
        <is>
          <t>P4</t>
        </is>
      </c>
      <c r="B42" s="12" t="n">
        <v>1</v>
      </c>
      <c r="C42" s="13">
        <f>$E$4+B42*($E$5-$E$4)</f>
        <v/>
      </c>
      <c r="D42" s="13">
        <f>$F$4+B42*($F$5-$F$4)</f>
        <v/>
      </c>
      <c r="E42" s="13">
        <f>IFERROR($B$5*C42/$B$6,"")</f>
        <v/>
      </c>
      <c r="F42" s="13">
        <f>IFERROR($B$5*D42/$B$6,"")</f>
        <v/>
      </c>
      <c r="G42" s="13">
        <f>IFERROR(SQRT(E42^2+F42^2),"")</f>
        <v/>
      </c>
      <c r="H42" s="13">
        <f>IFERROR(DEGREES(ATAN(G42/$B$5)),"")</f>
        <v/>
      </c>
      <c r="I42" s="13">
        <f>IF($B$9="全視場角",2*H42,H42)</f>
        <v/>
      </c>
      <c r="J42" s="13">
        <f>IF(OR($B$12&lt;&gt;"OK",I42=""),"",IF(I42&lt;=$A$15,$B$15,IF(I42&gt;=INDEX($A$15:$A$34,$B$11),INDEX($B$15:$B$34,$B$11),INDEX($B$15:$B$34,MATCH(I42,$A$15:INDEX($A$15:$A$34,$B$11),1))+(I42-INDEX($A$15:$A$34,MATCH(I42,$A$15:INDEX($A$15:$A$34,$B$11),1)))*INDEX($C$15:$C$34,MATCH(I42,$A$15:INDEX($A$15:$A$34,$B$11),1)))))</f>
        <v/>
      </c>
      <c r="K42" s="13">
        <f>IFERROR(E42*(1+J42/100)*1000/$B$4,"")</f>
        <v/>
      </c>
      <c r="L42" s="13">
        <f>IFERROR(-F42*(1+J42/100)*1000/$B$4,"")</f>
        <v/>
      </c>
      <c r="M42" s="13">
        <f>IFERROR($B$7+K42,"")</f>
        <v/>
      </c>
      <c r="N42" s="13">
        <f>IFERROR($B$8+L42,"")</f>
        <v/>
      </c>
    </row>
    <row r="44">
      <c r="A44" t="inlineStr">
        <is>
          <t>計算模型</t>
        </is>
      </c>
      <c r="B44" s="5" t="inlineStr">
        <is>
          <t>針孔投影：x=f·X/Z、y=f·Y/Z；徑向畸變：r_distorted=r_ideal·(1+Distortion%/100)。Distortion 依查表 FOV 線性內插；低於／高於表格時固定使用第一／最後一列，不外插。</t>
        </is>
      </c>
    </row>
    <row r="45"/>
  </sheetData>
  <autoFilter ref="A14:B34"/>
  <mergeCells count="9">
    <mergeCell ref="D7:F10"/>
    <mergeCell ref="A13:C13"/>
    <mergeCell ref="B44:N45"/>
    <mergeCell ref="A2:N2"/>
    <mergeCell ref="E13:F13"/>
    <mergeCell ref="A37:N37"/>
    <mergeCell ref="B35:C35"/>
    <mergeCell ref="A3:B3"/>
    <mergeCell ref="A1:N1"/>
  </mergeCells>
  <conditionalFormatting sqref="F14:F18">
    <cfRule type="expression" priority="1" dxfId="0">
      <formula>LEFT(F14,2)&lt;&gt;"OK"</formula>
    </cfRule>
  </conditionalFormatting>
  <conditionalFormatting sqref="B12">
    <cfRule type="cellIs" priority="2" operator="notEqual" dxfId="0">
      <formula>"OK"</formula>
    </cfRule>
  </conditionalFormatting>
  <dataValidations count="2">
    <dataValidation sqref="B4:B6" showDropDown="0" showInputMessage="0" showErrorMessage="1" allowBlank="0" errorTitle="輸入錯誤" error="請輸入大於 0 的數值" type="decimal" operator="greaterThan">
      <formula1>0</formula1>
    </dataValidation>
    <dataValidation sqref="B9" showDropDown="0" showInputMessage="0" showErrorMessage="0" allowBlank="0" type="list">
      <formula1>"全視場角,半視場角"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5" customWidth="1" min="2" max="2"/>
  </cols>
  <sheetData>
    <row r="1">
      <c r="A1" s="1" t="inlineStr">
        <is>
          <t>使用說明與假設</t>
        </is>
      </c>
    </row>
    <row r="3" ht="62" customHeight="1">
      <c r="A3" s="14" t="inlineStr">
        <is>
          <t>操作步驟</t>
        </is>
      </c>
      <c r="B3" s="15" t="inlineStr">
        <is>
          <t>1. 在黃色欄位輸入 pixel size、焦距、物距與影像中心。\n2. 輸入物方直線的起點與終點 X/Y。\n3. 以 lens datasheet 的 FOV/Distortion 取代示例表格，FOV 必須由小到大且不可留空列。\n4. 由「四點座標輸出」讀取 P1～P4。</t>
        </is>
      </c>
    </row>
    <row r="4" ht="62" customHeight="1">
      <c r="A4" s="14" t="inlineStr">
        <is>
          <t>FOV 定義</t>
        </is>
      </c>
      <c r="B4" s="15" t="inlineStr">
        <is>
          <t>若 datasheet 的 FOV 是左右（或對角線）兩側合計角度，選「全視場角」；若是從光軸到單側的 field angle，選「半視場角」。FOV 必須與物方 X/Y 所代表的同一像面方向相符。</t>
        </is>
      </c>
    </row>
    <row r="5" ht="62" customHeight="1">
      <c r="A5" s="14" t="inlineStr">
        <is>
          <t>Distortion 定義</t>
        </is>
      </c>
      <c r="B5" s="15" t="inlineStr">
        <is>
          <t>本檔使用 Distortion(%)=(畸變像高/理想像高-1)×100%。正值是向外位移（通常稱 pincushion），負值是向內位移（通常稱 barrel）。若鏡頭資料表使用相反符號或 TV distortion，需先轉換，不能直接套用。</t>
        </is>
      </c>
    </row>
    <row r="6" ht="62" customHeight="1">
      <c r="A6" s="14" t="inlineStr">
        <is>
          <t>座標系</t>
        </is>
      </c>
      <c r="B6" s="15" t="inlineStr">
        <is>
          <t>物方 X 向右、Y 向上，光軸穿過 (0,0)，物體平面與 sensor 平行。相對 pixel X 向右、Y 向下；絕對座標再加上影像中心。</t>
        </is>
      </c>
    </row>
    <row r="7" ht="62" customHeight="1">
      <c r="A7" s="14" t="inlineStr">
        <is>
          <t>四點意義</t>
        </is>
      </c>
      <c r="B7" s="15" t="inlineStr">
        <is>
          <t>P1/P4 是起點/終點；P2/P3 位於線段的 1/3 與 2/3。徑向畸變後直線通常成曲線，四點只是三段折線近似；高畸變時應增加取樣點。</t>
        </is>
      </c>
    </row>
    <row r="8" ht="62" customHeight="1">
      <c r="A8" s="14" t="inlineStr">
        <is>
          <t>適用限制</t>
        </is>
      </c>
      <c r="B8" s="15" t="inlineStr">
        <is>
          <t>模型只處理以光軸為中心、旋轉對稱的徑向 distortion。不包含 decentering/tangential distortion、sensor tilt、鏡頭姿態或不同深度的 3D 物體。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2000-01-01T00:00:00Z</dcterms:modified>
</cp:coreProperties>
</file>