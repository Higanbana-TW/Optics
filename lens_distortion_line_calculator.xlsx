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逆畸變計算器" sheetId="1" state="visible" r:id="rId1"/>
    <sheet name="使用說明" sheetId="2" state="visible" r:id="rId2"/>
  </sheets>
  <definedNames>
    <definedName name="_xlnm._FilterDatabase" localSheetId="0" hidden="1">'逆畸變計算器'!$A$18:$B$2018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E2F0D9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3" borderId="1" pivotButton="0" quotePrefix="0" xfId="0"/>
    <xf numFmtId="0" fontId="3" fillId="2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3" borderId="1" pivotButton="0" quotePrefix="0" xfId="0"/>
    <xf numFmtId="164" fontId="0" fillId="0" borderId="1" pivotButton="0" quotePrefix="0" xfId="0"/>
    <xf numFmtId="164" fontId="0" fillId="5" borderId="1" pivotButton="0" quotePrefix="0" xfId="0"/>
    <xf numFmtId="0" fontId="3" fillId="2" borderId="1" applyAlignment="1" pivotButton="0" quotePrefix="0" xfId="0">
      <alignment vertical="top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Sensor：目標長方形與正向驗證</a:t>
            </a:r>
          </a:p>
        </rich>
      </tx>
    </title>
    <plotArea>
      <scatterChart>
        <ser>
          <idx val="0"/>
          <order val="0"/>
          <tx>
            <v>Sensor 目標</v>
          </tx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'逆畸變計算器'!$H$27:$H$227</f>
            </numRef>
          </xVal>
          <yVal>
            <numRef>
              <f>'逆畸變計算器'!$I$27:$I$227</f>
            </numRef>
          </yVal>
        </ser>
        <ser>
          <idx val="1"/>
          <order val="1"/>
          <tx>
            <v>正向驗證</v>
          </tx>
          <spPr>
            <a:ln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'逆畸變計算器'!$Q$27:$Q$227</f>
            </numRef>
          </xVal>
          <yVal>
            <numRef>
              <f>'逆畸變計算器'!$R$27:$R$227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 (pixel)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axMin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Y (pixel，向下為正)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物方：需要製作的預變形曲邊</a:t>
            </a:r>
          </a:p>
        </rich>
      </tx>
    </title>
    <plotArea>
      <scatterChart>
        <ser>
          <idx val="0"/>
          <order val="0"/>
          <tx>
            <v>物方預變形</v>
          </tx>
          <spPr>
            <a:ln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'逆畸變計算器'!$O$27:$O$227</f>
            </numRef>
          </xVal>
          <yVal>
            <numRef>
              <f>'逆畸變計算器'!$P$27:$P$227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物方 X (mm)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物方 Y (mm)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230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250</row>
      <rowOff>0</rowOff>
    </from>
    <ext cx="61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18"/>
  <sheetViews>
    <sheetView showGridLines="0"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9" customWidth="1" min="4" max="4"/>
    <col width="18" customWidth="1" min="5" max="5"/>
    <col width="16" customWidth="1" min="6" max="6"/>
    <col width="9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6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 ht="30" customHeight="1">
      <c r="A1" s="1" t="inlineStr">
        <is>
          <t>Lens Distortion 長方形逆向預變形計算器</t>
        </is>
      </c>
    </row>
    <row r="2">
      <c r="A2" s="2" t="inlineStr">
        <is>
          <t>先定義 sensor 上希望看到的正常長方形，再反算物方預變形邊界；黃色欄位為輸入。</t>
        </is>
      </c>
    </row>
    <row r="3">
      <c r="A3" s="3" t="inlineStr">
        <is>
          <t>鏡頭／Sensor 輸入</t>
        </is>
      </c>
      <c r="D3" s="3" t="inlineStr">
        <is>
          <t>Sensor 目標長方形</t>
        </is>
      </c>
    </row>
    <row r="4">
      <c r="A4" t="inlineStr">
        <is>
          <t>Sensor pixel size</t>
        </is>
      </c>
      <c r="B4" s="4" t="n">
        <v>3.45</v>
      </c>
      <c r="C4" t="inlineStr">
        <is>
          <t>µm/pixel</t>
        </is>
      </c>
      <c r="D4" t="inlineStr">
        <is>
          <t>中心 X</t>
        </is>
      </c>
      <c r="E4" s="4" t="n">
        <v>960</v>
      </c>
      <c r="F4" t="inlineStr">
        <is>
          <t>pixel</t>
        </is>
      </c>
    </row>
    <row r="5">
      <c r="A5" t="inlineStr">
        <is>
          <t>Lens 有效焦距 EFL</t>
        </is>
      </c>
      <c r="B5" s="4" t="n">
        <v>4</v>
      </c>
      <c r="C5" t="inlineStr">
        <is>
          <t>mm</t>
        </is>
      </c>
      <c r="D5" t="inlineStr">
        <is>
          <t>中心 Y</t>
        </is>
      </c>
      <c r="E5" s="4" t="n">
        <v>540</v>
      </c>
      <c r="F5" t="inlineStr">
        <is>
          <t>pixel</t>
        </is>
      </c>
    </row>
    <row r="6">
      <c r="A6" t="inlineStr">
        <is>
          <t>物方平面至入瞳距離</t>
        </is>
      </c>
      <c r="B6" s="4" t="n">
        <v>1000</v>
      </c>
      <c r="C6" t="inlineStr">
        <is>
          <t>mm</t>
        </is>
      </c>
      <c r="D6" t="inlineStr">
        <is>
          <t>寬度</t>
        </is>
      </c>
      <c r="E6" s="4" t="n">
        <v>800</v>
      </c>
      <c r="F6" t="inlineStr">
        <is>
          <t>pixel</t>
        </is>
      </c>
    </row>
    <row r="7">
      <c r="A7" t="inlineStr">
        <is>
          <t>光軸中心 X</t>
        </is>
      </c>
      <c r="B7" s="4" t="n">
        <v>960</v>
      </c>
      <c r="C7" t="inlineStr">
        <is>
          <t>pixel</t>
        </is>
      </c>
      <c r="D7" t="inlineStr">
        <is>
          <t>高度</t>
        </is>
      </c>
      <c r="E7" s="4" t="n">
        <v>400</v>
      </c>
      <c r="F7" t="inlineStr">
        <is>
          <t>pixel</t>
        </is>
      </c>
    </row>
    <row r="8">
      <c r="A8" t="inlineStr">
        <is>
          <t>光軸中心 Y</t>
        </is>
      </c>
      <c r="B8" s="4" t="n">
        <v>540</v>
      </c>
      <c r="C8" t="inlineStr">
        <is>
          <t>pixel</t>
        </is>
      </c>
      <c r="D8" t="inlineStr">
        <is>
          <t>旋轉角</t>
        </is>
      </c>
      <c r="E8" s="4" t="n">
        <v>0</v>
      </c>
      <c r="F8" t="inlineStr">
        <is>
          <t>degree，順時針</t>
        </is>
      </c>
    </row>
    <row r="9">
      <c r="D9" t="inlineStr">
        <is>
          <t>每邊取樣段數</t>
        </is>
      </c>
      <c r="E9" s="4" t="n">
        <v>25</v>
      </c>
      <c r="F9" t="inlineStr">
        <is>
          <t>2～50</t>
        </is>
      </c>
    </row>
    <row r="11">
      <c r="A11" s="5" t="inlineStr">
        <is>
          <t>輸入檢查</t>
        </is>
      </c>
      <c r="B11" s="6">
        <f>IF(AND(B4&gt;0,B5&gt;0,B6&gt;0,E6&gt;0,E7&gt;0,E9&gt;=2,E9&lt;=50),"OK","錯誤：數值範圍")</f>
        <v/>
      </c>
      <c r="C11" s="6" t="n"/>
      <c r="D11" s="6" t="inlineStr">
        <is>
          <t>最大邊界點數</t>
        </is>
      </c>
      <c r="E11" s="6">
        <f>4*E9+1</f>
        <v/>
      </c>
    </row>
    <row r="12">
      <c r="A12" s="6" t="n"/>
      <c r="B12" s="6" t="n"/>
      <c r="C12" s="6" t="n"/>
      <c r="D12" s="7" t="inlineStr">
        <is>
          <t>有效畸變表列數</t>
        </is>
      </c>
      <c r="E12" s="8">
        <f>COUNT(A19:A2018)</f>
        <v/>
      </c>
    </row>
    <row r="13">
      <c r="A13" s="6" t="n"/>
      <c r="B13" s="6" t="n"/>
      <c r="C13" s="6" t="n"/>
      <c r="D13" s="7" t="inlineStr">
        <is>
          <t>畸變表狀態</t>
        </is>
      </c>
      <c r="E13" s="8">
        <f>IF(E12&lt;2,"錯誤：至少 2 列",IF(A19&lt;&gt;0,"錯誤：首列半視角須為 0",IF(COUNTBLANK(A19:INDEX(A:A,18+E12))+COUNTBLANK(B19:INDEX(B:B,18+E12))&gt;0,"錯誤：中間不可空白",IF(SUMPRODUCT(--(A20:INDEX(A:A,18+E12)&lt;=A19:INDEX(A:A,17+E12)))&gt;0,"錯誤：半視角須遞增",IF(SUMPRODUCT(--(D20:INDEX(D:D,18+E12)&lt;=D19:INDEX(D:D,17+E12)))&gt;0,"錯誤：畸變像高須遞增","OK")))))</f>
        <v/>
      </c>
    </row>
    <row r="14">
      <c r="A14" s="6" t="n"/>
      <c r="B14" s="6" t="n"/>
      <c r="C14" s="6" t="n"/>
      <c r="D14" s="7" t="inlineStr">
        <is>
          <t>目標範圍</t>
        </is>
      </c>
      <c r="E14" s="8">
        <f>IF(MAX(L19:L22)&gt;MAX(D19:D2018),"警告：超出表格，使用端點角度","OK")</f>
        <v/>
      </c>
    </row>
    <row r="17">
      <c r="A17" s="3" t="inlineStr">
        <is>
          <t>Lens distortion table（最多 2000 筆）</t>
        </is>
      </c>
      <c r="G17" s="3" t="inlineStr">
        <is>
          <t>物方預變形四角與正向驗證</t>
        </is>
      </c>
    </row>
    <row r="18" ht="42" customHeight="1">
      <c r="A18" s="9" t="inlineStr">
        <is>
          <t>半視角 θ
(degree)</t>
        </is>
      </c>
      <c r="B18" s="9" t="inlineStr">
        <is>
          <t>Optical distortion
(%)</t>
        </is>
      </c>
      <c r="C18" s="9" t="inlineStr">
        <is>
          <t>理想 sensor 半徑
(mm)</t>
        </is>
      </c>
      <c r="D18" s="9" t="inlineStr">
        <is>
          <t>畸變 sensor 半徑
(mm)</t>
        </is>
      </c>
      <c r="E18" s="9" t="inlineStr">
        <is>
          <t>物方半徑
(mm)</t>
        </is>
      </c>
      <c r="G18" s="9" t="inlineStr">
        <is>
          <t>點</t>
        </is>
      </c>
      <c r="H18" s="9" t="inlineStr">
        <is>
          <t>目標 X
(pixel)</t>
        </is>
      </c>
      <c r="I18" s="9" t="inlineStr">
        <is>
          <t>目標 Y
(pixel)</t>
        </is>
      </c>
      <c r="J18" s="9" t="inlineStr">
        <is>
          <t>相對 X
(pixel)</t>
        </is>
      </c>
      <c r="K18" s="9" t="inlineStr">
        <is>
          <t>相對 Y
(pixel)</t>
        </is>
      </c>
      <c r="L18" s="9" t="inlineStr">
        <is>
          <t>目標半徑
(mm)</t>
        </is>
      </c>
      <c r="M18" s="9" t="inlineStr">
        <is>
          <t>反查半視角
(degree)</t>
        </is>
      </c>
      <c r="N18" s="9" t="inlineStr">
        <is>
          <t>物方半徑
(mm)</t>
        </is>
      </c>
      <c r="O18" s="9" t="inlineStr">
        <is>
          <t>物方 X
(mm)</t>
        </is>
      </c>
      <c r="P18" s="9" t="inlineStr">
        <is>
          <t>物方 Y
(mm)</t>
        </is>
      </c>
      <c r="Q18" s="9" t="inlineStr">
        <is>
          <t>驗證 X
(pixel)</t>
        </is>
      </c>
      <c r="R18" s="9" t="inlineStr">
        <is>
          <t>驗證 Y
(pixel)</t>
        </is>
      </c>
      <c r="S18" s="9" t="inlineStr">
        <is>
          <t>誤差
(pixel)</t>
        </is>
      </c>
    </row>
    <row r="19">
      <c r="A19" s="10" t="n">
        <v>0</v>
      </c>
      <c r="B19" s="10" t="n">
        <v>0</v>
      </c>
      <c r="C19" s="11">
        <f>IF(A19="","",$B$5*TAN(RADIANS(A19)))</f>
        <v/>
      </c>
      <c r="D19" s="11">
        <f>IF(C19="","",C19*(1+B19/100))</f>
        <v/>
      </c>
      <c r="E19" s="11">
        <f>IF(A19="","",$B$6*TAN(RADIANS(A19)))</f>
        <v/>
      </c>
      <c r="G19" s="12" t="inlineStr">
        <is>
          <t>P1</t>
        </is>
      </c>
      <c r="H19" s="12">
        <f>$E$4+V19*COS(RADIANS($E$8))-W19*SIN(RADIANS($E$8))</f>
        <v/>
      </c>
      <c r="I19" s="12">
        <f>$E$5+V19*SIN(RADIANS($E$8))+W19*COS(RADIANS($E$8))</f>
        <v/>
      </c>
      <c r="J19" s="12">
        <f>IF(H19="","",H19-$B$7)</f>
        <v/>
      </c>
      <c r="K19" s="12">
        <f>IF(I19="","",I19-$B$8)</f>
        <v/>
      </c>
      <c r="L19" s="12">
        <f>IFERROR(SQRT(J19^2+K19^2)*$B$4/1000,"")</f>
        <v/>
      </c>
      <c r="M19" s="12">
        <f>IF(OR($E$13&lt;&gt;"OK",L19=""),"",IF(L19&lt;=$D$19,$A$19,IF(L19&gt;=INDEX($D$19:$D$2018,$E$12),INDEX($A$19:$A$2018,$E$12),INDEX($A$19:$A$2018,MATCH(L19,$D$19:INDEX($D$19:$D$2018,$E$12),1))+(L19-INDEX($D$19:$D$2018,MATCH(L19,$D$19:INDEX($D$19:$D$2018,$E$12),1)))*(INDEX($A$19:$A$2018,MATCH(L19,$D$19:INDEX($D$19:$D$2018,$E$12),1)+1)-INDEX($A$19:$A$2018,MATCH(L19,$D$19:INDEX($D$19:$D$2018,$E$12),1)))/(INDEX($D$19:$D$2018,MATCH(L19,$D$19:INDEX($D$19:$D$2018,$E$12),1)+1)-INDEX($D$19:$D$2018,MATCH(L19,$D$19:INDEX($D$19:$D$2018,$E$12),1))))))</f>
        <v/>
      </c>
      <c r="N19" s="12">
        <f>IF(M19="","",$B$6*TAN(RADIANS(M19)))</f>
        <v/>
      </c>
      <c r="O19" s="12">
        <f>IF(N19="","",IF(L19=0,0,-N19*J19/SQRT(J19^2+K19^2)))</f>
        <v/>
      </c>
      <c r="P19" s="12">
        <f>IF(N19="","",IF(L19=0,0,N19*K19/SQRT(J19^2+K19^2)))</f>
        <v/>
      </c>
      <c r="Q19" s="12">
        <f>IF(N19="","",IF(N19=0,$B$7,$B$7-Y19*O19/N19))</f>
        <v/>
      </c>
      <c r="R19" s="12">
        <f>IF(N19="","",IF(N19=0,$B$8,$B$8+Y19*P19/N19))</f>
        <v/>
      </c>
      <c r="S19" s="12">
        <f>IFERROR(SQRT((Q19-H19)^2+(R19-I19)^2),"")</f>
        <v/>
      </c>
      <c r="V19">
        <f>-$E$6/2</f>
        <v/>
      </c>
      <c r="W19">
        <f>-$E$7/2</f>
        <v/>
      </c>
      <c r="X19">
        <f>IF(OR($E$13&lt;&gt;"OK",M19=""),"",IF(M19&lt;=$A$19,$D$19,IF(M19&gt;=INDEX($A$19:$A$2018,$E$12),INDEX($D$19:$D$2018,$E$12),INDEX($D$19:$D$2018,MATCH(M19,$A$19:INDEX($A$19:$A$2018,$E$12),1))+(M19-INDEX($A$19:$A$2018,MATCH(M19,$A$19:INDEX($A$19:$A$2018,$E$12),1)))*(INDEX($D$19:$D$2018,MATCH(M19,$A$19:INDEX($A$19:$A$2018,$E$12),1)+1)-INDEX($D$19:$D$2018,MATCH(M19,$A$19:INDEX($A$19:$A$2018,$E$12),1)))/(INDEX($A$19:$A$2018,MATCH(M19,$A$19:INDEX($A$19:$A$2018,$E$12),1)+1)-INDEX($A$19:$A$2018,MATCH(M19,$A$19:INDEX($A$19:$A$2018,$E$12),1))))))</f>
        <v/>
      </c>
      <c r="Y19">
        <f>IF(X19="","",X19*1000/$B$4)</f>
        <v/>
      </c>
    </row>
    <row r="20">
      <c r="A20" s="10" t="n">
        <v>10</v>
      </c>
      <c r="B20" s="10" t="n">
        <v>-0.5</v>
      </c>
      <c r="C20" s="11">
        <f>IF(A20="","",$B$5*TAN(RADIANS(A20)))</f>
        <v/>
      </c>
      <c r="D20" s="11">
        <f>IF(C20="","",C20*(1+B20/100))</f>
        <v/>
      </c>
      <c r="E20" s="11">
        <f>IF(A20="","",$B$6*TAN(RADIANS(A20)))</f>
        <v/>
      </c>
      <c r="G20" s="12" t="inlineStr">
        <is>
          <t>P2</t>
        </is>
      </c>
      <c r="H20" s="12">
        <f>$E$4+V20*COS(RADIANS($E$8))-W20*SIN(RADIANS($E$8))</f>
        <v/>
      </c>
      <c r="I20" s="12">
        <f>$E$5+V20*SIN(RADIANS($E$8))+W20*COS(RADIANS($E$8))</f>
        <v/>
      </c>
      <c r="J20" s="12">
        <f>IF(H20="","",H20-$B$7)</f>
        <v/>
      </c>
      <c r="K20" s="12">
        <f>IF(I20="","",I20-$B$8)</f>
        <v/>
      </c>
      <c r="L20" s="12">
        <f>IFERROR(SQRT(J20^2+K20^2)*$B$4/1000,"")</f>
        <v/>
      </c>
      <c r="M20" s="12">
        <f>IF(OR($E$13&lt;&gt;"OK",L20=""),"",IF(L20&lt;=$D$19,$A$19,IF(L20&gt;=INDEX($D$19:$D$2018,$E$12),INDEX($A$19:$A$2018,$E$12),INDEX($A$19:$A$2018,MATCH(L20,$D$19:INDEX($D$19:$D$2018,$E$12),1))+(L20-INDEX($D$19:$D$2018,MATCH(L20,$D$19:INDEX($D$19:$D$2018,$E$12),1)))*(INDEX($A$19:$A$2018,MATCH(L20,$D$19:INDEX($D$19:$D$2018,$E$12),1)+1)-INDEX($A$19:$A$2018,MATCH(L20,$D$19:INDEX($D$19:$D$2018,$E$12),1)))/(INDEX($D$19:$D$2018,MATCH(L20,$D$19:INDEX($D$19:$D$2018,$E$12),1)+1)-INDEX($D$19:$D$2018,MATCH(L20,$D$19:INDEX($D$19:$D$2018,$E$12),1))))))</f>
        <v/>
      </c>
      <c r="N20" s="12">
        <f>IF(M20="","",$B$6*TAN(RADIANS(M20)))</f>
        <v/>
      </c>
      <c r="O20" s="12">
        <f>IF(N20="","",IF(L20=0,0,-N20*J20/SQRT(J20^2+K20^2)))</f>
        <v/>
      </c>
      <c r="P20" s="12">
        <f>IF(N20="","",IF(L20=0,0,N20*K20/SQRT(J20^2+K20^2)))</f>
        <v/>
      </c>
      <c r="Q20" s="12">
        <f>IF(N20="","",IF(N20=0,$B$7,$B$7-Y20*O20/N20))</f>
        <v/>
      </c>
      <c r="R20" s="12">
        <f>IF(N20="","",IF(N20=0,$B$8,$B$8+Y20*P20/N20))</f>
        <v/>
      </c>
      <c r="S20" s="12">
        <f>IFERROR(SQRT((Q20-H20)^2+(R20-I20)^2),"")</f>
        <v/>
      </c>
      <c r="V20">
        <f>$E$6/2</f>
        <v/>
      </c>
      <c r="W20">
        <f>-$E$7/2</f>
        <v/>
      </c>
      <c r="X20">
        <f>IF(OR($E$13&lt;&gt;"OK",M20=""),"",IF(M20&lt;=$A$19,$D$19,IF(M20&gt;=INDEX($A$19:$A$2018,$E$12),INDEX($D$19:$D$2018,$E$12),INDEX($D$19:$D$2018,MATCH(M20,$A$19:INDEX($A$19:$A$2018,$E$12),1))+(M20-INDEX($A$19:$A$2018,MATCH(M20,$A$19:INDEX($A$19:$A$2018,$E$12),1)))*(INDEX($D$19:$D$2018,MATCH(M20,$A$19:INDEX($A$19:$A$2018,$E$12),1)+1)-INDEX($D$19:$D$2018,MATCH(M20,$A$19:INDEX($A$19:$A$2018,$E$12),1)))/(INDEX($A$19:$A$2018,MATCH(M20,$A$19:INDEX($A$19:$A$2018,$E$12),1)+1)-INDEX($A$19:$A$2018,MATCH(M20,$A$19:INDEX($A$19:$A$2018,$E$12),1))))))</f>
        <v/>
      </c>
      <c r="Y20">
        <f>IF(X20="","",X20*1000/$B$4)</f>
        <v/>
      </c>
    </row>
    <row r="21">
      <c r="A21" s="10" t="n">
        <v>20</v>
      </c>
      <c r="B21" s="10" t="n">
        <v>-2</v>
      </c>
      <c r="C21" s="11">
        <f>IF(A21="","",$B$5*TAN(RADIANS(A21)))</f>
        <v/>
      </c>
      <c r="D21" s="11">
        <f>IF(C21="","",C21*(1+B21/100))</f>
        <v/>
      </c>
      <c r="E21" s="11">
        <f>IF(A21="","",$B$6*TAN(RADIANS(A21)))</f>
        <v/>
      </c>
      <c r="G21" s="12" t="inlineStr">
        <is>
          <t>P3</t>
        </is>
      </c>
      <c r="H21" s="12">
        <f>$E$4+V21*COS(RADIANS($E$8))-W21*SIN(RADIANS($E$8))</f>
        <v/>
      </c>
      <c r="I21" s="12">
        <f>$E$5+V21*SIN(RADIANS($E$8))+W21*COS(RADIANS($E$8))</f>
        <v/>
      </c>
      <c r="J21" s="12">
        <f>IF(H21="","",H21-$B$7)</f>
        <v/>
      </c>
      <c r="K21" s="12">
        <f>IF(I21="","",I21-$B$8)</f>
        <v/>
      </c>
      <c r="L21" s="12">
        <f>IFERROR(SQRT(J21^2+K21^2)*$B$4/1000,"")</f>
        <v/>
      </c>
      <c r="M21" s="12">
        <f>IF(OR($E$13&lt;&gt;"OK",L21=""),"",IF(L21&lt;=$D$19,$A$19,IF(L21&gt;=INDEX($D$19:$D$2018,$E$12),INDEX($A$19:$A$2018,$E$12),INDEX($A$19:$A$2018,MATCH(L21,$D$19:INDEX($D$19:$D$2018,$E$12),1))+(L21-INDEX($D$19:$D$2018,MATCH(L21,$D$19:INDEX($D$19:$D$2018,$E$12),1)))*(INDEX($A$19:$A$2018,MATCH(L21,$D$19:INDEX($D$19:$D$2018,$E$12),1)+1)-INDEX($A$19:$A$2018,MATCH(L21,$D$19:INDEX($D$19:$D$2018,$E$12),1)))/(INDEX($D$19:$D$2018,MATCH(L21,$D$19:INDEX($D$19:$D$2018,$E$12),1)+1)-INDEX($D$19:$D$2018,MATCH(L21,$D$19:INDEX($D$19:$D$2018,$E$12),1))))))</f>
        <v/>
      </c>
      <c r="N21" s="12">
        <f>IF(M21="","",$B$6*TAN(RADIANS(M21)))</f>
        <v/>
      </c>
      <c r="O21" s="12">
        <f>IF(N21="","",IF(L21=0,0,-N21*J21/SQRT(J21^2+K21^2)))</f>
        <v/>
      </c>
      <c r="P21" s="12">
        <f>IF(N21="","",IF(L21=0,0,N21*K21/SQRT(J21^2+K21^2)))</f>
        <v/>
      </c>
      <c r="Q21" s="12">
        <f>IF(N21="","",IF(N21=0,$B$7,$B$7-Y21*O21/N21))</f>
        <v/>
      </c>
      <c r="R21" s="12">
        <f>IF(N21="","",IF(N21=0,$B$8,$B$8+Y21*P21/N21))</f>
        <v/>
      </c>
      <c r="S21" s="12">
        <f>IFERROR(SQRT((Q21-H21)^2+(R21-I21)^2),"")</f>
        <v/>
      </c>
      <c r="V21">
        <f>$E$6/2</f>
        <v/>
      </c>
      <c r="W21">
        <f>$E$7/2</f>
        <v/>
      </c>
      <c r="X21">
        <f>IF(OR($E$13&lt;&gt;"OK",M21=""),"",IF(M21&lt;=$A$19,$D$19,IF(M21&gt;=INDEX($A$19:$A$2018,$E$12),INDEX($D$19:$D$2018,$E$12),INDEX($D$19:$D$2018,MATCH(M21,$A$19:INDEX($A$19:$A$2018,$E$12),1))+(M21-INDEX($A$19:$A$2018,MATCH(M21,$A$19:INDEX($A$19:$A$2018,$E$12),1)))*(INDEX($D$19:$D$2018,MATCH(M21,$A$19:INDEX($A$19:$A$2018,$E$12),1)+1)-INDEX($D$19:$D$2018,MATCH(M21,$A$19:INDEX($A$19:$A$2018,$E$12),1)))/(INDEX($A$19:$A$2018,MATCH(M21,$A$19:INDEX($A$19:$A$2018,$E$12),1)+1)-INDEX($A$19:$A$2018,MATCH(M21,$A$19:INDEX($A$19:$A$2018,$E$12),1))))))</f>
        <v/>
      </c>
      <c r="Y21">
        <f>IF(X21="","",X21*1000/$B$4)</f>
        <v/>
      </c>
    </row>
    <row r="22">
      <c r="A22" s="10" t="n">
        <v>30</v>
      </c>
      <c r="B22" s="10" t="n">
        <v>-4.5</v>
      </c>
      <c r="C22" s="11">
        <f>IF(A22="","",$B$5*TAN(RADIANS(A22)))</f>
        <v/>
      </c>
      <c r="D22" s="11">
        <f>IF(C22="","",C22*(1+B22/100))</f>
        <v/>
      </c>
      <c r="E22" s="11">
        <f>IF(A22="","",$B$6*TAN(RADIANS(A22)))</f>
        <v/>
      </c>
      <c r="G22" s="12" t="inlineStr">
        <is>
          <t>P4</t>
        </is>
      </c>
      <c r="H22" s="12">
        <f>$E$4+V22*COS(RADIANS($E$8))-W22*SIN(RADIANS($E$8))</f>
        <v/>
      </c>
      <c r="I22" s="12">
        <f>$E$5+V22*SIN(RADIANS($E$8))+W22*COS(RADIANS($E$8))</f>
        <v/>
      </c>
      <c r="J22" s="12">
        <f>IF(H22="","",H22-$B$7)</f>
        <v/>
      </c>
      <c r="K22" s="12">
        <f>IF(I22="","",I22-$B$8)</f>
        <v/>
      </c>
      <c r="L22" s="12">
        <f>IFERROR(SQRT(J22^2+K22^2)*$B$4/1000,"")</f>
        <v/>
      </c>
      <c r="M22" s="12">
        <f>IF(OR($E$13&lt;&gt;"OK",L22=""),"",IF(L22&lt;=$D$19,$A$19,IF(L22&gt;=INDEX($D$19:$D$2018,$E$12),INDEX($A$19:$A$2018,$E$12),INDEX($A$19:$A$2018,MATCH(L22,$D$19:INDEX($D$19:$D$2018,$E$12),1))+(L22-INDEX($D$19:$D$2018,MATCH(L22,$D$19:INDEX($D$19:$D$2018,$E$12),1)))*(INDEX($A$19:$A$2018,MATCH(L22,$D$19:INDEX($D$19:$D$2018,$E$12),1)+1)-INDEX($A$19:$A$2018,MATCH(L22,$D$19:INDEX($D$19:$D$2018,$E$12),1)))/(INDEX($D$19:$D$2018,MATCH(L22,$D$19:INDEX($D$19:$D$2018,$E$12),1)+1)-INDEX($D$19:$D$2018,MATCH(L22,$D$19:INDEX($D$19:$D$2018,$E$12),1))))))</f>
        <v/>
      </c>
      <c r="N22" s="12">
        <f>IF(M22="","",$B$6*TAN(RADIANS(M22)))</f>
        <v/>
      </c>
      <c r="O22" s="12">
        <f>IF(N22="","",IF(L22=0,0,-N22*J22/SQRT(J22^2+K22^2)))</f>
        <v/>
      </c>
      <c r="P22" s="12">
        <f>IF(N22="","",IF(L22=0,0,N22*K22/SQRT(J22^2+K22^2)))</f>
        <v/>
      </c>
      <c r="Q22" s="12">
        <f>IF(N22="","",IF(N22=0,$B$7,$B$7-Y22*O22/N22))</f>
        <v/>
      </c>
      <c r="R22" s="12">
        <f>IF(N22="","",IF(N22=0,$B$8,$B$8+Y22*P22/N22))</f>
        <v/>
      </c>
      <c r="S22" s="12">
        <f>IFERROR(SQRT((Q22-H22)^2+(R22-I22)^2),"")</f>
        <v/>
      </c>
      <c r="V22">
        <f>-$E$6/2</f>
        <v/>
      </c>
      <c r="W22">
        <f>$E$7/2</f>
        <v/>
      </c>
      <c r="X22">
        <f>IF(OR($E$13&lt;&gt;"OK",M22=""),"",IF(M22&lt;=$A$19,$D$19,IF(M22&gt;=INDEX($A$19:$A$2018,$E$12),INDEX($D$19:$D$2018,$E$12),INDEX($D$19:$D$2018,MATCH(M22,$A$19:INDEX($A$19:$A$2018,$E$12),1))+(M22-INDEX($A$19:$A$2018,MATCH(M22,$A$19:INDEX($A$19:$A$2018,$E$12),1)))*(INDEX($D$19:$D$2018,MATCH(M22,$A$19:INDEX($A$19:$A$2018,$E$12),1)+1)-INDEX($D$19:$D$2018,MATCH(M22,$A$19:INDEX($A$19:$A$2018,$E$12),1)))/(INDEX($A$19:$A$2018,MATCH(M22,$A$19:INDEX($A$19:$A$2018,$E$12),1)+1)-INDEX($A$19:$A$2018,MATCH(M22,$A$19:INDEX($A$19:$A$2018,$E$12),1))))))</f>
        <v/>
      </c>
      <c r="Y22">
        <f>IF(X22="","",X22*1000/$B$4)</f>
        <v/>
      </c>
    </row>
    <row r="23">
      <c r="A23" s="10" t="n">
        <v>40</v>
      </c>
      <c r="B23" s="10" t="n">
        <v>-8</v>
      </c>
      <c r="C23" s="11">
        <f>IF(A23="","",$B$5*TAN(RADIANS(A23)))</f>
        <v/>
      </c>
      <c r="D23" s="11">
        <f>IF(C23="","",C23*(1+B23/100))</f>
        <v/>
      </c>
      <c r="E23" s="11">
        <f>IF(A23="","",$B$6*TAN(RADIANS(A23)))</f>
        <v/>
      </c>
    </row>
    <row r="24">
      <c r="A24" s="10" t="n"/>
      <c r="B24" s="10" t="n"/>
      <c r="C24" s="11">
        <f>IF(A24="","",$B$5*TAN(RADIANS(A24)))</f>
        <v/>
      </c>
      <c r="D24" s="11">
        <f>IF(C24="","",C24*(1+B24/100))</f>
        <v/>
      </c>
      <c r="E24" s="11">
        <f>IF(A24="","",$B$6*TAN(RADIANS(A24)))</f>
        <v/>
      </c>
    </row>
    <row r="25">
      <c r="A25" s="10" t="n"/>
      <c r="B25" s="10" t="n"/>
      <c r="C25" s="11">
        <f>IF(A25="","",$B$5*TAN(RADIANS(A25)))</f>
        <v/>
      </c>
      <c r="D25" s="11">
        <f>IF(C25="","",C25*(1+B25/100))</f>
        <v/>
      </c>
      <c r="E25" s="11">
        <f>IF(A25="","",$B$6*TAN(RADIANS(A25)))</f>
        <v/>
      </c>
      <c r="G25" s="3" t="inlineStr">
        <is>
          <t>完整預變形曲邊座標（每邊最多 50 段）</t>
        </is>
      </c>
    </row>
    <row r="26" ht="42" customHeight="1">
      <c r="A26" s="10" t="n"/>
      <c r="B26" s="10" t="n"/>
      <c r="C26" s="11">
        <f>IF(A26="","",$B$5*TAN(RADIANS(A26)))</f>
        <v/>
      </c>
      <c r="D26" s="11">
        <f>IF(C26="","",C26*(1+B26/100))</f>
        <v/>
      </c>
      <c r="E26" s="11">
        <f>IF(A26="","",$B$6*TAN(RADIANS(A26)))</f>
        <v/>
      </c>
      <c r="G26" s="9" t="inlineStr">
        <is>
          <t>點</t>
        </is>
      </c>
      <c r="H26" s="9" t="inlineStr">
        <is>
          <t>目標 X
(pixel)</t>
        </is>
      </c>
      <c r="I26" s="9" t="inlineStr">
        <is>
          <t>目標 Y
(pixel)</t>
        </is>
      </c>
      <c r="J26" s="9" t="inlineStr">
        <is>
          <t>相對 X
(pixel)</t>
        </is>
      </c>
      <c r="K26" s="9" t="inlineStr">
        <is>
          <t>相對 Y
(pixel)</t>
        </is>
      </c>
      <c r="L26" s="9" t="inlineStr">
        <is>
          <t>目標半徑
(mm)</t>
        </is>
      </c>
      <c r="M26" s="9" t="inlineStr">
        <is>
          <t>反查半視角
(degree)</t>
        </is>
      </c>
      <c r="N26" s="9" t="inlineStr">
        <is>
          <t>物方半徑
(mm)</t>
        </is>
      </c>
      <c r="O26" s="9" t="inlineStr">
        <is>
          <t>物方 X
(mm)</t>
        </is>
      </c>
      <c r="P26" s="9" t="inlineStr">
        <is>
          <t>物方 Y
(mm)</t>
        </is>
      </c>
      <c r="Q26" s="9" t="inlineStr">
        <is>
          <t>驗證 X
(pixel)</t>
        </is>
      </c>
      <c r="R26" s="9" t="inlineStr">
        <is>
          <t>驗證 Y
(pixel)</t>
        </is>
      </c>
      <c r="S26" s="9" t="inlineStr">
        <is>
          <t>誤差
(pixel)</t>
        </is>
      </c>
    </row>
    <row r="27">
      <c r="A27" s="10" t="n"/>
      <c r="B27" s="10" t="n"/>
      <c r="C27" s="11">
        <f>IF(A27="","",$B$5*TAN(RADIANS(A27)))</f>
        <v/>
      </c>
      <c r="D27" s="11">
        <f>IF(C27="","",C27*(1+B27/100))</f>
        <v/>
      </c>
      <c r="E27" s="11">
        <f>IF(A27="","",$B$6*TAN(RADIANS(A27)))</f>
        <v/>
      </c>
      <c r="G27" s="12">
        <f>IF(U27="","",T27)</f>
        <v/>
      </c>
      <c r="H27" s="12">
        <f>IF(U27="","",$E$4+V27*COS(RADIANS($E$8))-W27*SIN(RADIANS($E$8)))</f>
        <v/>
      </c>
      <c r="I27" s="12">
        <f>IF(U27="","",$E$5+V27*SIN(RADIANS($E$8))+W27*COS(RADIANS($E$8)))</f>
        <v/>
      </c>
      <c r="J27" s="12">
        <f>IF(H27="","",H27-$B$7)</f>
        <v/>
      </c>
      <c r="K27" s="12">
        <f>IF(I27="","",I27-$B$8)</f>
        <v/>
      </c>
      <c r="L27" s="12">
        <f>IFERROR(SQRT(J27^2+K27^2)*$B$4/1000,"")</f>
        <v/>
      </c>
      <c r="M27" s="12">
        <f>IF(OR($E$13&lt;&gt;"OK",L27=""),"",IF(L27&lt;=$D$19,$A$19,IF(L27&gt;=INDEX($D$19:$D$2018,$E$12),INDEX($A$19:$A$2018,$E$12),INDEX($A$19:$A$2018,MATCH(L27,$D$19:INDEX($D$19:$D$2018,$E$12),1))+(L27-INDEX($D$19:$D$2018,MATCH(L27,$D$19:INDEX($D$19:$D$2018,$E$12),1)))*(INDEX($A$19:$A$2018,MATCH(L27,$D$19:INDEX($D$19:$D$2018,$E$12),1)+1)-INDEX($A$19:$A$2018,MATCH(L27,$D$19:INDEX($D$19:$D$2018,$E$12),1)))/(INDEX($D$19:$D$2018,MATCH(L27,$D$19:INDEX($D$19:$D$2018,$E$12),1)+1)-INDEX($D$19:$D$2018,MATCH(L27,$D$19:INDEX($D$19:$D$2018,$E$12),1))))))</f>
        <v/>
      </c>
      <c r="N27" s="12">
        <f>IF(M27="","",$B$6*TAN(RADIANS(M27)))</f>
        <v/>
      </c>
      <c r="O27" s="12">
        <f>IF(N27="","",IF(L27=0,0,-N27*J27/SQRT(J27^2+K27^2)))</f>
        <v/>
      </c>
      <c r="P27" s="12">
        <f>IF(N27="","",IF(L27=0,0,N27*K27/SQRT(J27^2+K27^2)))</f>
        <v/>
      </c>
      <c r="Q27" s="12">
        <f>IF(N27="","",IF(N27=0,$B$7,$B$7-Y27*O27/N27))</f>
        <v/>
      </c>
      <c r="R27" s="12">
        <f>IF(N27="","",IF(N27=0,$B$8,$B$8+Y27*P27/N27))</f>
        <v/>
      </c>
      <c r="S27" s="12">
        <f>IFERROR(SQRT((Q27-H27)^2+(R27-I27)^2),"")</f>
        <v/>
      </c>
      <c r="T27">
        <f>0</f>
        <v/>
      </c>
      <c r="U27">
        <f>IF(T27&gt;4*$E$9,"",MIN(INT(T27/$E$9)+1,4))</f>
        <v/>
      </c>
      <c r="V27">
        <f>IF(T27=4*$E$9,-$E$6/2,IF(U27="","",CHOOSE(U27,-$E$6/2+MOD(T27,$E$9)/$E$9*$E$6,$E$6/2,$E$6/2-MOD(T27,$E$9)/$E$9*$E$6,-$E$6/2)))</f>
        <v/>
      </c>
      <c r="W27">
        <f>IF(T27=4*$E$9,-$E$7/2,IF(U27="","",CHOOSE(U27,-$E$7/2,-$E$7/2+MOD(T27,$E$9)/$E$9*$E$7,$E$7/2,$E$7/2-MOD(T27,$E$9)/$E$9*$E$7)))</f>
        <v/>
      </c>
      <c r="X27">
        <f>IF(OR($E$13&lt;&gt;"OK",M27=""),"",IF(M27&lt;=$A$19,$D$19,IF(M27&gt;=INDEX($A$19:$A$2018,$E$12),INDEX($D$19:$D$2018,$E$12),INDEX($D$19:$D$2018,MATCH(M27,$A$19:INDEX($A$19:$A$2018,$E$12),1))+(M27-INDEX($A$19:$A$2018,MATCH(M27,$A$19:INDEX($A$19:$A$2018,$E$12),1)))*(INDEX($D$19:$D$2018,MATCH(M27,$A$19:INDEX($A$19:$A$2018,$E$12),1)+1)-INDEX($D$19:$D$2018,MATCH(M27,$A$19:INDEX($A$19:$A$2018,$E$12),1)))/(INDEX($A$19:$A$2018,MATCH(M27,$A$19:INDEX($A$19:$A$2018,$E$12),1)+1)-INDEX($A$19:$A$2018,MATCH(M27,$A$19:INDEX($A$19:$A$2018,$E$12),1))))))</f>
        <v/>
      </c>
      <c r="Y27">
        <f>IF(X27="","",X27*1000/$B$4)</f>
        <v/>
      </c>
    </row>
    <row r="28">
      <c r="A28" s="10" t="n"/>
      <c r="B28" s="10" t="n"/>
      <c r="C28" s="11">
        <f>IF(A28="","",$B$5*TAN(RADIANS(A28)))</f>
        <v/>
      </c>
      <c r="D28" s="11">
        <f>IF(C28="","",C28*(1+B28/100))</f>
        <v/>
      </c>
      <c r="E28" s="11">
        <f>IF(A28="","",$B$6*TAN(RADIANS(A28)))</f>
        <v/>
      </c>
      <c r="G28" s="12">
        <f>IF(U28="","",T28)</f>
        <v/>
      </c>
      <c r="H28" s="12">
        <f>IF(U28="","",$E$4+V28*COS(RADIANS($E$8))-W28*SIN(RADIANS($E$8)))</f>
        <v/>
      </c>
      <c r="I28" s="12">
        <f>IF(U28="","",$E$5+V28*SIN(RADIANS($E$8))+W28*COS(RADIANS($E$8)))</f>
        <v/>
      </c>
      <c r="J28" s="12">
        <f>IF(H28="","",H28-$B$7)</f>
        <v/>
      </c>
      <c r="K28" s="12">
        <f>IF(I28="","",I28-$B$8)</f>
        <v/>
      </c>
      <c r="L28" s="12">
        <f>IFERROR(SQRT(J28^2+K28^2)*$B$4/1000,"")</f>
        <v/>
      </c>
      <c r="M28" s="12">
        <f>IF(OR($E$13&lt;&gt;"OK",L28=""),"",IF(L28&lt;=$D$19,$A$19,IF(L28&gt;=INDEX($D$19:$D$2018,$E$12),INDEX($A$19:$A$2018,$E$12),INDEX($A$19:$A$2018,MATCH(L28,$D$19:INDEX($D$19:$D$2018,$E$12),1))+(L28-INDEX($D$19:$D$2018,MATCH(L28,$D$19:INDEX($D$19:$D$2018,$E$12),1)))*(INDEX($A$19:$A$2018,MATCH(L28,$D$19:INDEX($D$19:$D$2018,$E$12),1)+1)-INDEX($A$19:$A$2018,MATCH(L28,$D$19:INDEX($D$19:$D$2018,$E$12),1)))/(INDEX($D$19:$D$2018,MATCH(L28,$D$19:INDEX($D$19:$D$2018,$E$12),1)+1)-INDEX($D$19:$D$2018,MATCH(L28,$D$19:INDEX($D$19:$D$2018,$E$12),1))))))</f>
        <v/>
      </c>
      <c r="N28" s="12">
        <f>IF(M28="","",$B$6*TAN(RADIANS(M28)))</f>
        <v/>
      </c>
      <c r="O28" s="12">
        <f>IF(N28="","",IF(L28=0,0,-N28*J28/SQRT(J28^2+K28^2)))</f>
        <v/>
      </c>
      <c r="P28" s="12">
        <f>IF(N28="","",IF(L28=0,0,N28*K28/SQRT(J28^2+K28^2)))</f>
        <v/>
      </c>
      <c r="Q28" s="12">
        <f>IF(N28="","",IF(N28=0,$B$7,$B$7-Y28*O28/N28))</f>
        <v/>
      </c>
      <c r="R28" s="12">
        <f>IF(N28="","",IF(N28=0,$B$8,$B$8+Y28*P28/N28))</f>
        <v/>
      </c>
      <c r="S28" s="12">
        <f>IFERROR(SQRT((Q28-H28)^2+(R28-I28)^2),"")</f>
        <v/>
      </c>
      <c r="T28">
        <f>1</f>
        <v/>
      </c>
      <c r="U28">
        <f>IF(T28&gt;4*$E$9,"",MIN(INT(T28/$E$9)+1,4))</f>
        <v/>
      </c>
      <c r="V28">
        <f>IF(T28=4*$E$9,-$E$6/2,IF(U28="","",CHOOSE(U28,-$E$6/2+MOD(T28,$E$9)/$E$9*$E$6,$E$6/2,$E$6/2-MOD(T28,$E$9)/$E$9*$E$6,-$E$6/2)))</f>
        <v/>
      </c>
      <c r="W28">
        <f>IF(T28=4*$E$9,-$E$7/2,IF(U28="","",CHOOSE(U28,-$E$7/2,-$E$7/2+MOD(T28,$E$9)/$E$9*$E$7,$E$7/2,$E$7/2-MOD(T28,$E$9)/$E$9*$E$7)))</f>
        <v/>
      </c>
      <c r="X28">
        <f>IF(OR($E$13&lt;&gt;"OK",M28=""),"",IF(M28&lt;=$A$19,$D$19,IF(M28&gt;=INDEX($A$19:$A$2018,$E$12),INDEX($D$19:$D$2018,$E$12),INDEX($D$19:$D$2018,MATCH(M28,$A$19:INDEX($A$19:$A$2018,$E$12),1))+(M28-INDEX($A$19:$A$2018,MATCH(M28,$A$19:INDEX($A$19:$A$2018,$E$12),1)))*(INDEX($D$19:$D$2018,MATCH(M28,$A$19:INDEX($A$19:$A$2018,$E$12),1)+1)-INDEX($D$19:$D$2018,MATCH(M28,$A$19:INDEX($A$19:$A$2018,$E$12),1)))/(INDEX($A$19:$A$2018,MATCH(M28,$A$19:INDEX($A$19:$A$2018,$E$12),1)+1)-INDEX($A$19:$A$2018,MATCH(M28,$A$19:INDEX($A$19:$A$2018,$E$12),1))))))</f>
        <v/>
      </c>
      <c r="Y28">
        <f>IF(X28="","",X28*1000/$B$4)</f>
        <v/>
      </c>
    </row>
    <row r="29">
      <c r="A29" s="10" t="n"/>
      <c r="B29" s="10" t="n"/>
      <c r="C29" s="11">
        <f>IF(A29="","",$B$5*TAN(RADIANS(A29)))</f>
        <v/>
      </c>
      <c r="D29" s="11">
        <f>IF(C29="","",C29*(1+B29/100))</f>
        <v/>
      </c>
      <c r="E29" s="11">
        <f>IF(A29="","",$B$6*TAN(RADIANS(A29)))</f>
        <v/>
      </c>
      <c r="G29" s="12">
        <f>IF(U29="","",T29)</f>
        <v/>
      </c>
      <c r="H29" s="12">
        <f>IF(U29="","",$E$4+V29*COS(RADIANS($E$8))-W29*SIN(RADIANS($E$8)))</f>
        <v/>
      </c>
      <c r="I29" s="12">
        <f>IF(U29="","",$E$5+V29*SIN(RADIANS($E$8))+W29*COS(RADIANS($E$8)))</f>
        <v/>
      </c>
      <c r="J29" s="12">
        <f>IF(H29="","",H29-$B$7)</f>
        <v/>
      </c>
      <c r="K29" s="12">
        <f>IF(I29="","",I29-$B$8)</f>
        <v/>
      </c>
      <c r="L29" s="12">
        <f>IFERROR(SQRT(J29^2+K29^2)*$B$4/1000,"")</f>
        <v/>
      </c>
      <c r="M29" s="12">
        <f>IF(OR($E$13&lt;&gt;"OK",L29=""),"",IF(L29&lt;=$D$19,$A$19,IF(L29&gt;=INDEX($D$19:$D$2018,$E$12),INDEX($A$19:$A$2018,$E$12),INDEX($A$19:$A$2018,MATCH(L29,$D$19:INDEX($D$19:$D$2018,$E$12),1))+(L29-INDEX($D$19:$D$2018,MATCH(L29,$D$19:INDEX($D$19:$D$2018,$E$12),1)))*(INDEX($A$19:$A$2018,MATCH(L29,$D$19:INDEX($D$19:$D$2018,$E$12),1)+1)-INDEX($A$19:$A$2018,MATCH(L29,$D$19:INDEX($D$19:$D$2018,$E$12),1)))/(INDEX($D$19:$D$2018,MATCH(L29,$D$19:INDEX($D$19:$D$2018,$E$12),1)+1)-INDEX($D$19:$D$2018,MATCH(L29,$D$19:INDEX($D$19:$D$2018,$E$12),1))))))</f>
        <v/>
      </c>
      <c r="N29" s="12">
        <f>IF(M29="","",$B$6*TAN(RADIANS(M29)))</f>
        <v/>
      </c>
      <c r="O29" s="12">
        <f>IF(N29="","",IF(L29=0,0,-N29*J29/SQRT(J29^2+K29^2)))</f>
        <v/>
      </c>
      <c r="P29" s="12">
        <f>IF(N29="","",IF(L29=0,0,N29*K29/SQRT(J29^2+K29^2)))</f>
        <v/>
      </c>
      <c r="Q29" s="12">
        <f>IF(N29="","",IF(N29=0,$B$7,$B$7-Y29*O29/N29))</f>
        <v/>
      </c>
      <c r="R29" s="12">
        <f>IF(N29="","",IF(N29=0,$B$8,$B$8+Y29*P29/N29))</f>
        <v/>
      </c>
      <c r="S29" s="12">
        <f>IFERROR(SQRT((Q29-H29)^2+(R29-I29)^2),"")</f>
        <v/>
      </c>
      <c r="T29">
        <f>2</f>
        <v/>
      </c>
      <c r="U29">
        <f>IF(T29&gt;4*$E$9,"",MIN(INT(T29/$E$9)+1,4))</f>
        <v/>
      </c>
      <c r="V29">
        <f>IF(T29=4*$E$9,-$E$6/2,IF(U29="","",CHOOSE(U29,-$E$6/2+MOD(T29,$E$9)/$E$9*$E$6,$E$6/2,$E$6/2-MOD(T29,$E$9)/$E$9*$E$6,-$E$6/2)))</f>
        <v/>
      </c>
      <c r="W29">
        <f>IF(T29=4*$E$9,-$E$7/2,IF(U29="","",CHOOSE(U29,-$E$7/2,-$E$7/2+MOD(T29,$E$9)/$E$9*$E$7,$E$7/2,$E$7/2-MOD(T29,$E$9)/$E$9*$E$7)))</f>
        <v/>
      </c>
      <c r="X29">
        <f>IF(OR($E$13&lt;&gt;"OK",M29=""),"",IF(M29&lt;=$A$19,$D$19,IF(M29&gt;=INDEX($A$19:$A$2018,$E$12),INDEX($D$19:$D$2018,$E$12),INDEX($D$19:$D$2018,MATCH(M29,$A$19:INDEX($A$19:$A$2018,$E$12),1))+(M29-INDEX($A$19:$A$2018,MATCH(M29,$A$19:INDEX($A$19:$A$2018,$E$12),1)))*(INDEX($D$19:$D$2018,MATCH(M29,$A$19:INDEX($A$19:$A$2018,$E$12),1)+1)-INDEX($D$19:$D$2018,MATCH(M29,$A$19:INDEX($A$19:$A$2018,$E$12),1)))/(INDEX($A$19:$A$2018,MATCH(M29,$A$19:INDEX($A$19:$A$2018,$E$12),1)+1)-INDEX($A$19:$A$2018,MATCH(M29,$A$19:INDEX($A$19:$A$2018,$E$12),1))))))</f>
        <v/>
      </c>
      <c r="Y29">
        <f>IF(X29="","",X29*1000/$B$4)</f>
        <v/>
      </c>
    </row>
    <row r="30">
      <c r="A30" s="10" t="n"/>
      <c r="B30" s="10" t="n"/>
      <c r="C30" s="11">
        <f>IF(A30="","",$B$5*TAN(RADIANS(A30)))</f>
        <v/>
      </c>
      <c r="D30" s="11">
        <f>IF(C30="","",C30*(1+B30/100))</f>
        <v/>
      </c>
      <c r="E30" s="11">
        <f>IF(A30="","",$B$6*TAN(RADIANS(A30)))</f>
        <v/>
      </c>
      <c r="G30" s="12">
        <f>IF(U30="","",T30)</f>
        <v/>
      </c>
      <c r="H30" s="12">
        <f>IF(U30="","",$E$4+V30*COS(RADIANS($E$8))-W30*SIN(RADIANS($E$8)))</f>
        <v/>
      </c>
      <c r="I30" s="12">
        <f>IF(U30="","",$E$5+V30*SIN(RADIANS($E$8))+W30*COS(RADIANS($E$8)))</f>
        <v/>
      </c>
      <c r="J30" s="12">
        <f>IF(H30="","",H30-$B$7)</f>
        <v/>
      </c>
      <c r="K30" s="12">
        <f>IF(I30="","",I30-$B$8)</f>
        <v/>
      </c>
      <c r="L30" s="12">
        <f>IFERROR(SQRT(J30^2+K30^2)*$B$4/1000,"")</f>
        <v/>
      </c>
      <c r="M30" s="12">
        <f>IF(OR($E$13&lt;&gt;"OK",L30=""),"",IF(L30&lt;=$D$19,$A$19,IF(L30&gt;=INDEX($D$19:$D$2018,$E$12),INDEX($A$19:$A$2018,$E$12),INDEX($A$19:$A$2018,MATCH(L30,$D$19:INDEX($D$19:$D$2018,$E$12),1))+(L30-INDEX($D$19:$D$2018,MATCH(L30,$D$19:INDEX($D$19:$D$2018,$E$12),1)))*(INDEX($A$19:$A$2018,MATCH(L30,$D$19:INDEX($D$19:$D$2018,$E$12),1)+1)-INDEX($A$19:$A$2018,MATCH(L30,$D$19:INDEX($D$19:$D$2018,$E$12),1)))/(INDEX($D$19:$D$2018,MATCH(L30,$D$19:INDEX($D$19:$D$2018,$E$12),1)+1)-INDEX($D$19:$D$2018,MATCH(L30,$D$19:INDEX($D$19:$D$2018,$E$12),1))))))</f>
        <v/>
      </c>
      <c r="N30" s="12">
        <f>IF(M30="","",$B$6*TAN(RADIANS(M30)))</f>
        <v/>
      </c>
      <c r="O30" s="12">
        <f>IF(N30="","",IF(L30=0,0,-N30*J30/SQRT(J30^2+K30^2)))</f>
        <v/>
      </c>
      <c r="P30" s="12">
        <f>IF(N30="","",IF(L30=0,0,N30*K30/SQRT(J30^2+K30^2)))</f>
        <v/>
      </c>
      <c r="Q30" s="12">
        <f>IF(N30="","",IF(N30=0,$B$7,$B$7-Y30*O30/N30))</f>
        <v/>
      </c>
      <c r="R30" s="12">
        <f>IF(N30="","",IF(N30=0,$B$8,$B$8+Y30*P30/N30))</f>
        <v/>
      </c>
      <c r="S30" s="12">
        <f>IFERROR(SQRT((Q30-H30)^2+(R30-I30)^2),"")</f>
        <v/>
      </c>
      <c r="T30">
        <f>3</f>
        <v/>
      </c>
      <c r="U30">
        <f>IF(T30&gt;4*$E$9,"",MIN(INT(T30/$E$9)+1,4))</f>
        <v/>
      </c>
      <c r="V30">
        <f>IF(T30=4*$E$9,-$E$6/2,IF(U30="","",CHOOSE(U30,-$E$6/2+MOD(T30,$E$9)/$E$9*$E$6,$E$6/2,$E$6/2-MOD(T30,$E$9)/$E$9*$E$6,-$E$6/2)))</f>
        <v/>
      </c>
      <c r="W30">
        <f>IF(T30=4*$E$9,-$E$7/2,IF(U30="","",CHOOSE(U30,-$E$7/2,-$E$7/2+MOD(T30,$E$9)/$E$9*$E$7,$E$7/2,$E$7/2-MOD(T30,$E$9)/$E$9*$E$7)))</f>
        <v/>
      </c>
      <c r="X30">
        <f>IF(OR($E$13&lt;&gt;"OK",M30=""),"",IF(M30&lt;=$A$19,$D$19,IF(M30&gt;=INDEX($A$19:$A$2018,$E$12),INDEX($D$19:$D$2018,$E$12),INDEX($D$19:$D$2018,MATCH(M30,$A$19:INDEX($A$19:$A$2018,$E$12),1))+(M30-INDEX($A$19:$A$2018,MATCH(M30,$A$19:INDEX($A$19:$A$2018,$E$12),1)))*(INDEX($D$19:$D$2018,MATCH(M30,$A$19:INDEX($A$19:$A$2018,$E$12),1)+1)-INDEX($D$19:$D$2018,MATCH(M30,$A$19:INDEX($A$19:$A$2018,$E$12),1)))/(INDEX($A$19:$A$2018,MATCH(M30,$A$19:INDEX($A$19:$A$2018,$E$12),1)+1)-INDEX($A$19:$A$2018,MATCH(M30,$A$19:INDEX($A$19:$A$2018,$E$12),1))))))</f>
        <v/>
      </c>
      <c r="Y30">
        <f>IF(X30="","",X30*1000/$B$4)</f>
        <v/>
      </c>
    </row>
    <row r="31">
      <c r="A31" s="10" t="n"/>
      <c r="B31" s="10" t="n"/>
      <c r="C31" s="11">
        <f>IF(A31="","",$B$5*TAN(RADIANS(A31)))</f>
        <v/>
      </c>
      <c r="D31" s="11">
        <f>IF(C31="","",C31*(1+B31/100))</f>
        <v/>
      </c>
      <c r="E31" s="11">
        <f>IF(A31="","",$B$6*TAN(RADIANS(A31)))</f>
        <v/>
      </c>
      <c r="G31" s="12">
        <f>IF(U31="","",T31)</f>
        <v/>
      </c>
      <c r="H31" s="12">
        <f>IF(U31="","",$E$4+V31*COS(RADIANS($E$8))-W31*SIN(RADIANS($E$8)))</f>
        <v/>
      </c>
      <c r="I31" s="12">
        <f>IF(U31="","",$E$5+V31*SIN(RADIANS($E$8))+W31*COS(RADIANS($E$8)))</f>
        <v/>
      </c>
      <c r="J31" s="12">
        <f>IF(H31="","",H31-$B$7)</f>
        <v/>
      </c>
      <c r="K31" s="12">
        <f>IF(I31="","",I31-$B$8)</f>
        <v/>
      </c>
      <c r="L31" s="12">
        <f>IFERROR(SQRT(J31^2+K31^2)*$B$4/1000,"")</f>
        <v/>
      </c>
      <c r="M31" s="12">
        <f>IF(OR($E$13&lt;&gt;"OK",L31=""),"",IF(L31&lt;=$D$19,$A$19,IF(L31&gt;=INDEX($D$19:$D$2018,$E$12),INDEX($A$19:$A$2018,$E$12),INDEX($A$19:$A$2018,MATCH(L31,$D$19:INDEX($D$19:$D$2018,$E$12),1))+(L31-INDEX($D$19:$D$2018,MATCH(L31,$D$19:INDEX($D$19:$D$2018,$E$12),1)))*(INDEX($A$19:$A$2018,MATCH(L31,$D$19:INDEX($D$19:$D$2018,$E$12),1)+1)-INDEX($A$19:$A$2018,MATCH(L31,$D$19:INDEX($D$19:$D$2018,$E$12),1)))/(INDEX($D$19:$D$2018,MATCH(L31,$D$19:INDEX($D$19:$D$2018,$E$12),1)+1)-INDEX($D$19:$D$2018,MATCH(L31,$D$19:INDEX($D$19:$D$2018,$E$12),1))))))</f>
        <v/>
      </c>
      <c r="N31" s="12">
        <f>IF(M31="","",$B$6*TAN(RADIANS(M31)))</f>
        <v/>
      </c>
      <c r="O31" s="12">
        <f>IF(N31="","",IF(L31=0,0,-N31*J31/SQRT(J31^2+K31^2)))</f>
        <v/>
      </c>
      <c r="P31" s="12">
        <f>IF(N31="","",IF(L31=0,0,N31*K31/SQRT(J31^2+K31^2)))</f>
        <v/>
      </c>
      <c r="Q31" s="12">
        <f>IF(N31="","",IF(N31=0,$B$7,$B$7-Y31*O31/N31))</f>
        <v/>
      </c>
      <c r="R31" s="12">
        <f>IF(N31="","",IF(N31=0,$B$8,$B$8+Y31*P31/N31))</f>
        <v/>
      </c>
      <c r="S31" s="12">
        <f>IFERROR(SQRT((Q31-H31)^2+(R31-I31)^2),"")</f>
        <v/>
      </c>
      <c r="T31">
        <f>4</f>
        <v/>
      </c>
      <c r="U31">
        <f>IF(T31&gt;4*$E$9,"",MIN(INT(T31/$E$9)+1,4))</f>
        <v/>
      </c>
      <c r="V31">
        <f>IF(T31=4*$E$9,-$E$6/2,IF(U31="","",CHOOSE(U31,-$E$6/2+MOD(T31,$E$9)/$E$9*$E$6,$E$6/2,$E$6/2-MOD(T31,$E$9)/$E$9*$E$6,-$E$6/2)))</f>
        <v/>
      </c>
      <c r="W31">
        <f>IF(T31=4*$E$9,-$E$7/2,IF(U31="","",CHOOSE(U31,-$E$7/2,-$E$7/2+MOD(T31,$E$9)/$E$9*$E$7,$E$7/2,$E$7/2-MOD(T31,$E$9)/$E$9*$E$7)))</f>
        <v/>
      </c>
      <c r="X31">
        <f>IF(OR($E$13&lt;&gt;"OK",M31=""),"",IF(M31&lt;=$A$19,$D$19,IF(M31&gt;=INDEX($A$19:$A$2018,$E$12),INDEX($D$19:$D$2018,$E$12),INDEX($D$19:$D$2018,MATCH(M31,$A$19:INDEX($A$19:$A$2018,$E$12),1))+(M31-INDEX($A$19:$A$2018,MATCH(M31,$A$19:INDEX($A$19:$A$2018,$E$12),1)))*(INDEX($D$19:$D$2018,MATCH(M31,$A$19:INDEX($A$19:$A$2018,$E$12),1)+1)-INDEX($D$19:$D$2018,MATCH(M31,$A$19:INDEX($A$19:$A$2018,$E$12),1)))/(INDEX($A$19:$A$2018,MATCH(M31,$A$19:INDEX($A$19:$A$2018,$E$12),1)+1)-INDEX($A$19:$A$2018,MATCH(M31,$A$19:INDEX($A$19:$A$2018,$E$12),1))))))</f>
        <v/>
      </c>
      <c r="Y31">
        <f>IF(X31="","",X31*1000/$B$4)</f>
        <v/>
      </c>
    </row>
    <row r="32">
      <c r="A32" s="10" t="n"/>
      <c r="B32" s="10" t="n"/>
      <c r="C32" s="11">
        <f>IF(A32="","",$B$5*TAN(RADIANS(A32)))</f>
        <v/>
      </c>
      <c r="D32" s="11">
        <f>IF(C32="","",C32*(1+B32/100))</f>
        <v/>
      </c>
      <c r="E32" s="11">
        <f>IF(A32="","",$B$6*TAN(RADIANS(A32)))</f>
        <v/>
      </c>
      <c r="G32" s="12">
        <f>IF(U32="","",T32)</f>
        <v/>
      </c>
      <c r="H32" s="12">
        <f>IF(U32="","",$E$4+V32*COS(RADIANS($E$8))-W32*SIN(RADIANS($E$8)))</f>
        <v/>
      </c>
      <c r="I32" s="12">
        <f>IF(U32="","",$E$5+V32*SIN(RADIANS($E$8))+W32*COS(RADIANS($E$8)))</f>
        <v/>
      </c>
      <c r="J32" s="12">
        <f>IF(H32="","",H32-$B$7)</f>
        <v/>
      </c>
      <c r="K32" s="12">
        <f>IF(I32="","",I32-$B$8)</f>
        <v/>
      </c>
      <c r="L32" s="12">
        <f>IFERROR(SQRT(J32^2+K32^2)*$B$4/1000,"")</f>
        <v/>
      </c>
      <c r="M32" s="12">
        <f>IF(OR($E$13&lt;&gt;"OK",L32=""),"",IF(L32&lt;=$D$19,$A$19,IF(L32&gt;=INDEX($D$19:$D$2018,$E$12),INDEX($A$19:$A$2018,$E$12),INDEX($A$19:$A$2018,MATCH(L32,$D$19:INDEX($D$19:$D$2018,$E$12),1))+(L32-INDEX($D$19:$D$2018,MATCH(L32,$D$19:INDEX($D$19:$D$2018,$E$12),1)))*(INDEX($A$19:$A$2018,MATCH(L32,$D$19:INDEX($D$19:$D$2018,$E$12),1)+1)-INDEX($A$19:$A$2018,MATCH(L32,$D$19:INDEX($D$19:$D$2018,$E$12),1)))/(INDEX($D$19:$D$2018,MATCH(L32,$D$19:INDEX($D$19:$D$2018,$E$12),1)+1)-INDEX($D$19:$D$2018,MATCH(L32,$D$19:INDEX($D$19:$D$2018,$E$12),1))))))</f>
        <v/>
      </c>
      <c r="N32" s="12">
        <f>IF(M32="","",$B$6*TAN(RADIANS(M32)))</f>
        <v/>
      </c>
      <c r="O32" s="12">
        <f>IF(N32="","",IF(L32=0,0,-N32*J32/SQRT(J32^2+K32^2)))</f>
        <v/>
      </c>
      <c r="P32" s="12">
        <f>IF(N32="","",IF(L32=0,0,N32*K32/SQRT(J32^2+K32^2)))</f>
        <v/>
      </c>
      <c r="Q32" s="12">
        <f>IF(N32="","",IF(N32=0,$B$7,$B$7-Y32*O32/N32))</f>
        <v/>
      </c>
      <c r="R32" s="12">
        <f>IF(N32="","",IF(N32=0,$B$8,$B$8+Y32*P32/N32))</f>
        <v/>
      </c>
      <c r="S32" s="12">
        <f>IFERROR(SQRT((Q32-H32)^2+(R32-I32)^2),"")</f>
        <v/>
      </c>
      <c r="T32">
        <f>5</f>
        <v/>
      </c>
      <c r="U32">
        <f>IF(T32&gt;4*$E$9,"",MIN(INT(T32/$E$9)+1,4))</f>
        <v/>
      </c>
      <c r="V32">
        <f>IF(T32=4*$E$9,-$E$6/2,IF(U32="","",CHOOSE(U32,-$E$6/2+MOD(T32,$E$9)/$E$9*$E$6,$E$6/2,$E$6/2-MOD(T32,$E$9)/$E$9*$E$6,-$E$6/2)))</f>
        <v/>
      </c>
      <c r="W32">
        <f>IF(T32=4*$E$9,-$E$7/2,IF(U32="","",CHOOSE(U32,-$E$7/2,-$E$7/2+MOD(T32,$E$9)/$E$9*$E$7,$E$7/2,$E$7/2-MOD(T32,$E$9)/$E$9*$E$7)))</f>
        <v/>
      </c>
      <c r="X32">
        <f>IF(OR($E$13&lt;&gt;"OK",M32=""),"",IF(M32&lt;=$A$19,$D$19,IF(M32&gt;=INDEX($A$19:$A$2018,$E$12),INDEX($D$19:$D$2018,$E$12),INDEX($D$19:$D$2018,MATCH(M32,$A$19:INDEX($A$19:$A$2018,$E$12),1))+(M32-INDEX($A$19:$A$2018,MATCH(M32,$A$19:INDEX($A$19:$A$2018,$E$12),1)))*(INDEX($D$19:$D$2018,MATCH(M32,$A$19:INDEX($A$19:$A$2018,$E$12),1)+1)-INDEX($D$19:$D$2018,MATCH(M32,$A$19:INDEX($A$19:$A$2018,$E$12),1)))/(INDEX($A$19:$A$2018,MATCH(M32,$A$19:INDEX($A$19:$A$2018,$E$12),1)+1)-INDEX($A$19:$A$2018,MATCH(M32,$A$19:INDEX($A$19:$A$2018,$E$12),1))))))</f>
        <v/>
      </c>
      <c r="Y32">
        <f>IF(X32="","",X32*1000/$B$4)</f>
        <v/>
      </c>
    </row>
    <row r="33">
      <c r="A33" s="10" t="n"/>
      <c r="B33" s="10" t="n"/>
      <c r="C33" s="11">
        <f>IF(A33="","",$B$5*TAN(RADIANS(A33)))</f>
        <v/>
      </c>
      <c r="D33" s="11">
        <f>IF(C33="","",C33*(1+B33/100))</f>
        <v/>
      </c>
      <c r="E33" s="11">
        <f>IF(A33="","",$B$6*TAN(RADIANS(A33)))</f>
        <v/>
      </c>
      <c r="G33" s="12">
        <f>IF(U33="","",T33)</f>
        <v/>
      </c>
      <c r="H33" s="12">
        <f>IF(U33="","",$E$4+V33*COS(RADIANS($E$8))-W33*SIN(RADIANS($E$8)))</f>
        <v/>
      </c>
      <c r="I33" s="12">
        <f>IF(U33="","",$E$5+V33*SIN(RADIANS($E$8))+W33*COS(RADIANS($E$8)))</f>
        <v/>
      </c>
      <c r="J33" s="12">
        <f>IF(H33="","",H33-$B$7)</f>
        <v/>
      </c>
      <c r="K33" s="12">
        <f>IF(I33="","",I33-$B$8)</f>
        <v/>
      </c>
      <c r="L33" s="12">
        <f>IFERROR(SQRT(J33^2+K33^2)*$B$4/1000,"")</f>
        <v/>
      </c>
      <c r="M33" s="12">
        <f>IF(OR($E$13&lt;&gt;"OK",L33=""),"",IF(L33&lt;=$D$19,$A$19,IF(L33&gt;=INDEX($D$19:$D$2018,$E$12),INDEX($A$19:$A$2018,$E$12),INDEX($A$19:$A$2018,MATCH(L33,$D$19:INDEX($D$19:$D$2018,$E$12),1))+(L33-INDEX($D$19:$D$2018,MATCH(L33,$D$19:INDEX($D$19:$D$2018,$E$12),1)))*(INDEX($A$19:$A$2018,MATCH(L33,$D$19:INDEX($D$19:$D$2018,$E$12),1)+1)-INDEX($A$19:$A$2018,MATCH(L33,$D$19:INDEX($D$19:$D$2018,$E$12),1)))/(INDEX($D$19:$D$2018,MATCH(L33,$D$19:INDEX($D$19:$D$2018,$E$12),1)+1)-INDEX($D$19:$D$2018,MATCH(L33,$D$19:INDEX($D$19:$D$2018,$E$12),1))))))</f>
        <v/>
      </c>
      <c r="N33" s="12">
        <f>IF(M33="","",$B$6*TAN(RADIANS(M33)))</f>
        <v/>
      </c>
      <c r="O33" s="12">
        <f>IF(N33="","",IF(L33=0,0,-N33*J33/SQRT(J33^2+K33^2)))</f>
        <v/>
      </c>
      <c r="P33" s="12">
        <f>IF(N33="","",IF(L33=0,0,N33*K33/SQRT(J33^2+K33^2)))</f>
        <v/>
      </c>
      <c r="Q33" s="12">
        <f>IF(N33="","",IF(N33=0,$B$7,$B$7-Y33*O33/N33))</f>
        <v/>
      </c>
      <c r="R33" s="12">
        <f>IF(N33="","",IF(N33=0,$B$8,$B$8+Y33*P33/N33))</f>
        <v/>
      </c>
      <c r="S33" s="12">
        <f>IFERROR(SQRT((Q33-H33)^2+(R33-I33)^2),"")</f>
        <v/>
      </c>
      <c r="T33">
        <f>6</f>
        <v/>
      </c>
      <c r="U33">
        <f>IF(T33&gt;4*$E$9,"",MIN(INT(T33/$E$9)+1,4))</f>
        <v/>
      </c>
      <c r="V33">
        <f>IF(T33=4*$E$9,-$E$6/2,IF(U33="","",CHOOSE(U33,-$E$6/2+MOD(T33,$E$9)/$E$9*$E$6,$E$6/2,$E$6/2-MOD(T33,$E$9)/$E$9*$E$6,-$E$6/2)))</f>
        <v/>
      </c>
      <c r="W33">
        <f>IF(T33=4*$E$9,-$E$7/2,IF(U33="","",CHOOSE(U33,-$E$7/2,-$E$7/2+MOD(T33,$E$9)/$E$9*$E$7,$E$7/2,$E$7/2-MOD(T33,$E$9)/$E$9*$E$7)))</f>
        <v/>
      </c>
      <c r="X33">
        <f>IF(OR($E$13&lt;&gt;"OK",M33=""),"",IF(M33&lt;=$A$19,$D$19,IF(M33&gt;=INDEX($A$19:$A$2018,$E$12),INDEX($D$19:$D$2018,$E$12),INDEX($D$19:$D$2018,MATCH(M33,$A$19:INDEX($A$19:$A$2018,$E$12),1))+(M33-INDEX($A$19:$A$2018,MATCH(M33,$A$19:INDEX($A$19:$A$2018,$E$12),1)))*(INDEX($D$19:$D$2018,MATCH(M33,$A$19:INDEX($A$19:$A$2018,$E$12),1)+1)-INDEX($D$19:$D$2018,MATCH(M33,$A$19:INDEX($A$19:$A$2018,$E$12),1)))/(INDEX($A$19:$A$2018,MATCH(M33,$A$19:INDEX($A$19:$A$2018,$E$12),1)+1)-INDEX($A$19:$A$2018,MATCH(M33,$A$19:INDEX($A$19:$A$2018,$E$12),1))))))</f>
        <v/>
      </c>
      <c r="Y33">
        <f>IF(X33="","",X33*1000/$B$4)</f>
        <v/>
      </c>
    </row>
    <row r="34">
      <c r="A34" s="10" t="n"/>
      <c r="B34" s="10" t="n"/>
      <c r="C34" s="11">
        <f>IF(A34="","",$B$5*TAN(RADIANS(A34)))</f>
        <v/>
      </c>
      <c r="D34" s="11">
        <f>IF(C34="","",C34*(1+B34/100))</f>
        <v/>
      </c>
      <c r="E34" s="11">
        <f>IF(A34="","",$B$6*TAN(RADIANS(A34)))</f>
        <v/>
      </c>
      <c r="G34" s="12">
        <f>IF(U34="","",T34)</f>
        <v/>
      </c>
      <c r="H34" s="12">
        <f>IF(U34="","",$E$4+V34*COS(RADIANS($E$8))-W34*SIN(RADIANS($E$8)))</f>
        <v/>
      </c>
      <c r="I34" s="12">
        <f>IF(U34="","",$E$5+V34*SIN(RADIANS($E$8))+W34*COS(RADIANS($E$8)))</f>
        <v/>
      </c>
      <c r="J34" s="12">
        <f>IF(H34="","",H34-$B$7)</f>
        <v/>
      </c>
      <c r="K34" s="12">
        <f>IF(I34="","",I34-$B$8)</f>
        <v/>
      </c>
      <c r="L34" s="12">
        <f>IFERROR(SQRT(J34^2+K34^2)*$B$4/1000,"")</f>
        <v/>
      </c>
      <c r="M34" s="12">
        <f>IF(OR($E$13&lt;&gt;"OK",L34=""),"",IF(L34&lt;=$D$19,$A$19,IF(L34&gt;=INDEX($D$19:$D$2018,$E$12),INDEX($A$19:$A$2018,$E$12),INDEX($A$19:$A$2018,MATCH(L34,$D$19:INDEX($D$19:$D$2018,$E$12),1))+(L34-INDEX($D$19:$D$2018,MATCH(L34,$D$19:INDEX($D$19:$D$2018,$E$12),1)))*(INDEX($A$19:$A$2018,MATCH(L34,$D$19:INDEX($D$19:$D$2018,$E$12),1)+1)-INDEX($A$19:$A$2018,MATCH(L34,$D$19:INDEX($D$19:$D$2018,$E$12),1)))/(INDEX($D$19:$D$2018,MATCH(L34,$D$19:INDEX($D$19:$D$2018,$E$12),1)+1)-INDEX($D$19:$D$2018,MATCH(L34,$D$19:INDEX($D$19:$D$2018,$E$12),1))))))</f>
        <v/>
      </c>
      <c r="N34" s="12">
        <f>IF(M34="","",$B$6*TAN(RADIANS(M34)))</f>
        <v/>
      </c>
      <c r="O34" s="12">
        <f>IF(N34="","",IF(L34=0,0,-N34*J34/SQRT(J34^2+K34^2)))</f>
        <v/>
      </c>
      <c r="P34" s="12">
        <f>IF(N34="","",IF(L34=0,0,N34*K34/SQRT(J34^2+K34^2)))</f>
        <v/>
      </c>
      <c r="Q34" s="12">
        <f>IF(N34="","",IF(N34=0,$B$7,$B$7-Y34*O34/N34))</f>
        <v/>
      </c>
      <c r="R34" s="12">
        <f>IF(N34="","",IF(N34=0,$B$8,$B$8+Y34*P34/N34))</f>
        <v/>
      </c>
      <c r="S34" s="12">
        <f>IFERROR(SQRT((Q34-H34)^2+(R34-I34)^2),"")</f>
        <v/>
      </c>
      <c r="T34">
        <f>7</f>
        <v/>
      </c>
      <c r="U34">
        <f>IF(T34&gt;4*$E$9,"",MIN(INT(T34/$E$9)+1,4))</f>
        <v/>
      </c>
      <c r="V34">
        <f>IF(T34=4*$E$9,-$E$6/2,IF(U34="","",CHOOSE(U34,-$E$6/2+MOD(T34,$E$9)/$E$9*$E$6,$E$6/2,$E$6/2-MOD(T34,$E$9)/$E$9*$E$6,-$E$6/2)))</f>
        <v/>
      </c>
      <c r="W34">
        <f>IF(T34=4*$E$9,-$E$7/2,IF(U34="","",CHOOSE(U34,-$E$7/2,-$E$7/2+MOD(T34,$E$9)/$E$9*$E$7,$E$7/2,$E$7/2-MOD(T34,$E$9)/$E$9*$E$7)))</f>
        <v/>
      </c>
      <c r="X34">
        <f>IF(OR($E$13&lt;&gt;"OK",M34=""),"",IF(M34&lt;=$A$19,$D$19,IF(M34&gt;=INDEX($A$19:$A$2018,$E$12),INDEX($D$19:$D$2018,$E$12),INDEX($D$19:$D$2018,MATCH(M34,$A$19:INDEX($A$19:$A$2018,$E$12),1))+(M34-INDEX($A$19:$A$2018,MATCH(M34,$A$19:INDEX($A$19:$A$2018,$E$12),1)))*(INDEX($D$19:$D$2018,MATCH(M34,$A$19:INDEX($A$19:$A$2018,$E$12),1)+1)-INDEX($D$19:$D$2018,MATCH(M34,$A$19:INDEX($A$19:$A$2018,$E$12),1)))/(INDEX($A$19:$A$2018,MATCH(M34,$A$19:INDEX($A$19:$A$2018,$E$12),1)+1)-INDEX($A$19:$A$2018,MATCH(M34,$A$19:INDEX($A$19:$A$2018,$E$12),1))))))</f>
        <v/>
      </c>
      <c r="Y34">
        <f>IF(X34="","",X34*1000/$B$4)</f>
        <v/>
      </c>
    </row>
    <row r="35">
      <c r="A35" s="10" t="n"/>
      <c r="B35" s="10" t="n"/>
      <c r="C35" s="11">
        <f>IF(A35="","",$B$5*TAN(RADIANS(A35)))</f>
        <v/>
      </c>
      <c r="D35" s="11">
        <f>IF(C35="","",C35*(1+B35/100))</f>
        <v/>
      </c>
      <c r="E35" s="11">
        <f>IF(A35="","",$B$6*TAN(RADIANS(A35)))</f>
        <v/>
      </c>
      <c r="G35" s="12">
        <f>IF(U35="","",T35)</f>
        <v/>
      </c>
      <c r="H35" s="12">
        <f>IF(U35="","",$E$4+V35*COS(RADIANS($E$8))-W35*SIN(RADIANS($E$8)))</f>
        <v/>
      </c>
      <c r="I35" s="12">
        <f>IF(U35="","",$E$5+V35*SIN(RADIANS($E$8))+W35*COS(RADIANS($E$8)))</f>
        <v/>
      </c>
      <c r="J35" s="12">
        <f>IF(H35="","",H35-$B$7)</f>
        <v/>
      </c>
      <c r="K35" s="12">
        <f>IF(I35="","",I35-$B$8)</f>
        <v/>
      </c>
      <c r="L35" s="12">
        <f>IFERROR(SQRT(J35^2+K35^2)*$B$4/1000,"")</f>
        <v/>
      </c>
      <c r="M35" s="12">
        <f>IF(OR($E$13&lt;&gt;"OK",L35=""),"",IF(L35&lt;=$D$19,$A$19,IF(L35&gt;=INDEX($D$19:$D$2018,$E$12),INDEX($A$19:$A$2018,$E$12),INDEX($A$19:$A$2018,MATCH(L35,$D$19:INDEX($D$19:$D$2018,$E$12),1))+(L35-INDEX($D$19:$D$2018,MATCH(L35,$D$19:INDEX($D$19:$D$2018,$E$12),1)))*(INDEX($A$19:$A$2018,MATCH(L35,$D$19:INDEX($D$19:$D$2018,$E$12),1)+1)-INDEX($A$19:$A$2018,MATCH(L35,$D$19:INDEX($D$19:$D$2018,$E$12),1)))/(INDEX($D$19:$D$2018,MATCH(L35,$D$19:INDEX($D$19:$D$2018,$E$12),1)+1)-INDEX($D$19:$D$2018,MATCH(L35,$D$19:INDEX($D$19:$D$2018,$E$12),1))))))</f>
        <v/>
      </c>
      <c r="N35" s="12">
        <f>IF(M35="","",$B$6*TAN(RADIANS(M35)))</f>
        <v/>
      </c>
      <c r="O35" s="12">
        <f>IF(N35="","",IF(L35=0,0,-N35*J35/SQRT(J35^2+K35^2)))</f>
        <v/>
      </c>
      <c r="P35" s="12">
        <f>IF(N35="","",IF(L35=0,0,N35*K35/SQRT(J35^2+K35^2)))</f>
        <v/>
      </c>
      <c r="Q35" s="12">
        <f>IF(N35="","",IF(N35=0,$B$7,$B$7-Y35*O35/N35))</f>
        <v/>
      </c>
      <c r="R35" s="12">
        <f>IF(N35="","",IF(N35=0,$B$8,$B$8+Y35*P35/N35))</f>
        <v/>
      </c>
      <c r="S35" s="12">
        <f>IFERROR(SQRT((Q35-H35)^2+(R35-I35)^2),"")</f>
        <v/>
      </c>
      <c r="T35">
        <f>8</f>
        <v/>
      </c>
      <c r="U35">
        <f>IF(T35&gt;4*$E$9,"",MIN(INT(T35/$E$9)+1,4))</f>
        <v/>
      </c>
      <c r="V35">
        <f>IF(T35=4*$E$9,-$E$6/2,IF(U35="","",CHOOSE(U35,-$E$6/2+MOD(T35,$E$9)/$E$9*$E$6,$E$6/2,$E$6/2-MOD(T35,$E$9)/$E$9*$E$6,-$E$6/2)))</f>
        <v/>
      </c>
      <c r="W35">
        <f>IF(T35=4*$E$9,-$E$7/2,IF(U35="","",CHOOSE(U35,-$E$7/2,-$E$7/2+MOD(T35,$E$9)/$E$9*$E$7,$E$7/2,$E$7/2-MOD(T35,$E$9)/$E$9*$E$7)))</f>
        <v/>
      </c>
      <c r="X35">
        <f>IF(OR($E$13&lt;&gt;"OK",M35=""),"",IF(M35&lt;=$A$19,$D$19,IF(M35&gt;=INDEX($A$19:$A$2018,$E$12),INDEX($D$19:$D$2018,$E$12),INDEX($D$19:$D$2018,MATCH(M35,$A$19:INDEX($A$19:$A$2018,$E$12),1))+(M35-INDEX($A$19:$A$2018,MATCH(M35,$A$19:INDEX($A$19:$A$2018,$E$12),1)))*(INDEX($D$19:$D$2018,MATCH(M35,$A$19:INDEX($A$19:$A$2018,$E$12),1)+1)-INDEX($D$19:$D$2018,MATCH(M35,$A$19:INDEX($A$19:$A$2018,$E$12),1)))/(INDEX($A$19:$A$2018,MATCH(M35,$A$19:INDEX($A$19:$A$2018,$E$12),1)+1)-INDEX($A$19:$A$2018,MATCH(M35,$A$19:INDEX($A$19:$A$2018,$E$12),1))))))</f>
        <v/>
      </c>
      <c r="Y35">
        <f>IF(X35="","",X35*1000/$B$4)</f>
        <v/>
      </c>
    </row>
    <row r="36">
      <c r="A36" s="10" t="n"/>
      <c r="B36" s="10" t="n"/>
      <c r="C36" s="11">
        <f>IF(A36="","",$B$5*TAN(RADIANS(A36)))</f>
        <v/>
      </c>
      <c r="D36" s="11">
        <f>IF(C36="","",C36*(1+B36/100))</f>
        <v/>
      </c>
      <c r="E36" s="11">
        <f>IF(A36="","",$B$6*TAN(RADIANS(A36)))</f>
        <v/>
      </c>
      <c r="G36" s="12">
        <f>IF(U36="","",T36)</f>
        <v/>
      </c>
      <c r="H36" s="12">
        <f>IF(U36="","",$E$4+V36*COS(RADIANS($E$8))-W36*SIN(RADIANS($E$8)))</f>
        <v/>
      </c>
      <c r="I36" s="12">
        <f>IF(U36="","",$E$5+V36*SIN(RADIANS($E$8))+W36*COS(RADIANS($E$8)))</f>
        <v/>
      </c>
      <c r="J36" s="12">
        <f>IF(H36="","",H36-$B$7)</f>
        <v/>
      </c>
      <c r="K36" s="12">
        <f>IF(I36="","",I36-$B$8)</f>
        <v/>
      </c>
      <c r="L36" s="12">
        <f>IFERROR(SQRT(J36^2+K36^2)*$B$4/1000,"")</f>
        <v/>
      </c>
      <c r="M36" s="12">
        <f>IF(OR($E$13&lt;&gt;"OK",L36=""),"",IF(L36&lt;=$D$19,$A$19,IF(L36&gt;=INDEX($D$19:$D$2018,$E$12),INDEX($A$19:$A$2018,$E$12),INDEX($A$19:$A$2018,MATCH(L36,$D$19:INDEX($D$19:$D$2018,$E$12),1))+(L36-INDEX($D$19:$D$2018,MATCH(L36,$D$19:INDEX($D$19:$D$2018,$E$12),1)))*(INDEX($A$19:$A$2018,MATCH(L36,$D$19:INDEX($D$19:$D$2018,$E$12),1)+1)-INDEX($A$19:$A$2018,MATCH(L36,$D$19:INDEX($D$19:$D$2018,$E$12),1)))/(INDEX($D$19:$D$2018,MATCH(L36,$D$19:INDEX($D$19:$D$2018,$E$12),1)+1)-INDEX($D$19:$D$2018,MATCH(L36,$D$19:INDEX($D$19:$D$2018,$E$12),1))))))</f>
        <v/>
      </c>
      <c r="N36" s="12">
        <f>IF(M36="","",$B$6*TAN(RADIANS(M36)))</f>
        <v/>
      </c>
      <c r="O36" s="12">
        <f>IF(N36="","",IF(L36=0,0,-N36*J36/SQRT(J36^2+K36^2)))</f>
        <v/>
      </c>
      <c r="P36" s="12">
        <f>IF(N36="","",IF(L36=0,0,N36*K36/SQRT(J36^2+K36^2)))</f>
        <v/>
      </c>
      <c r="Q36" s="12">
        <f>IF(N36="","",IF(N36=0,$B$7,$B$7-Y36*O36/N36))</f>
        <v/>
      </c>
      <c r="R36" s="12">
        <f>IF(N36="","",IF(N36=0,$B$8,$B$8+Y36*P36/N36))</f>
        <v/>
      </c>
      <c r="S36" s="12">
        <f>IFERROR(SQRT((Q36-H36)^2+(R36-I36)^2),"")</f>
        <v/>
      </c>
      <c r="T36">
        <f>9</f>
        <v/>
      </c>
      <c r="U36">
        <f>IF(T36&gt;4*$E$9,"",MIN(INT(T36/$E$9)+1,4))</f>
        <v/>
      </c>
      <c r="V36">
        <f>IF(T36=4*$E$9,-$E$6/2,IF(U36="","",CHOOSE(U36,-$E$6/2+MOD(T36,$E$9)/$E$9*$E$6,$E$6/2,$E$6/2-MOD(T36,$E$9)/$E$9*$E$6,-$E$6/2)))</f>
        <v/>
      </c>
      <c r="W36">
        <f>IF(T36=4*$E$9,-$E$7/2,IF(U36="","",CHOOSE(U36,-$E$7/2,-$E$7/2+MOD(T36,$E$9)/$E$9*$E$7,$E$7/2,$E$7/2-MOD(T36,$E$9)/$E$9*$E$7)))</f>
        <v/>
      </c>
      <c r="X36">
        <f>IF(OR($E$13&lt;&gt;"OK",M36=""),"",IF(M36&lt;=$A$19,$D$19,IF(M36&gt;=INDEX($A$19:$A$2018,$E$12),INDEX($D$19:$D$2018,$E$12),INDEX($D$19:$D$2018,MATCH(M36,$A$19:INDEX($A$19:$A$2018,$E$12),1))+(M36-INDEX($A$19:$A$2018,MATCH(M36,$A$19:INDEX($A$19:$A$2018,$E$12),1)))*(INDEX($D$19:$D$2018,MATCH(M36,$A$19:INDEX($A$19:$A$2018,$E$12),1)+1)-INDEX($D$19:$D$2018,MATCH(M36,$A$19:INDEX($A$19:$A$2018,$E$12),1)))/(INDEX($A$19:$A$2018,MATCH(M36,$A$19:INDEX($A$19:$A$2018,$E$12),1)+1)-INDEX($A$19:$A$2018,MATCH(M36,$A$19:INDEX($A$19:$A$2018,$E$12),1))))))</f>
        <v/>
      </c>
      <c r="Y36">
        <f>IF(X36="","",X36*1000/$B$4)</f>
        <v/>
      </c>
    </row>
    <row r="37">
      <c r="A37" s="10" t="n"/>
      <c r="B37" s="10" t="n"/>
      <c r="C37" s="11">
        <f>IF(A37="","",$B$5*TAN(RADIANS(A37)))</f>
        <v/>
      </c>
      <c r="D37" s="11">
        <f>IF(C37="","",C37*(1+B37/100))</f>
        <v/>
      </c>
      <c r="E37" s="11">
        <f>IF(A37="","",$B$6*TAN(RADIANS(A37)))</f>
        <v/>
      </c>
      <c r="G37" s="12">
        <f>IF(U37="","",T37)</f>
        <v/>
      </c>
      <c r="H37" s="12">
        <f>IF(U37="","",$E$4+V37*COS(RADIANS($E$8))-W37*SIN(RADIANS($E$8)))</f>
        <v/>
      </c>
      <c r="I37" s="12">
        <f>IF(U37="","",$E$5+V37*SIN(RADIANS($E$8))+W37*COS(RADIANS($E$8)))</f>
        <v/>
      </c>
      <c r="J37" s="12">
        <f>IF(H37="","",H37-$B$7)</f>
        <v/>
      </c>
      <c r="K37" s="12">
        <f>IF(I37="","",I37-$B$8)</f>
        <v/>
      </c>
      <c r="L37" s="12">
        <f>IFERROR(SQRT(J37^2+K37^2)*$B$4/1000,"")</f>
        <v/>
      </c>
      <c r="M37" s="12">
        <f>IF(OR($E$13&lt;&gt;"OK",L37=""),"",IF(L37&lt;=$D$19,$A$19,IF(L37&gt;=INDEX($D$19:$D$2018,$E$12),INDEX($A$19:$A$2018,$E$12),INDEX($A$19:$A$2018,MATCH(L37,$D$19:INDEX($D$19:$D$2018,$E$12),1))+(L37-INDEX($D$19:$D$2018,MATCH(L37,$D$19:INDEX($D$19:$D$2018,$E$12),1)))*(INDEX($A$19:$A$2018,MATCH(L37,$D$19:INDEX($D$19:$D$2018,$E$12),1)+1)-INDEX($A$19:$A$2018,MATCH(L37,$D$19:INDEX($D$19:$D$2018,$E$12),1)))/(INDEX($D$19:$D$2018,MATCH(L37,$D$19:INDEX($D$19:$D$2018,$E$12),1)+1)-INDEX($D$19:$D$2018,MATCH(L37,$D$19:INDEX($D$19:$D$2018,$E$12),1))))))</f>
        <v/>
      </c>
      <c r="N37" s="12">
        <f>IF(M37="","",$B$6*TAN(RADIANS(M37)))</f>
        <v/>
      </c>
      <c r="O37" s="12">
        <f>IF(N37="","",IF(L37=0,0,-N37*J37/SQRT(J37^2+K37^2)))</f>
        <v/>
      </c>
      <c r="P37" s="12">
        <f>IF(N37="","",IF(L37=0,0,N37*K37/SQRT(J37^2+K37^2)))</f>
        <v/>
      </c>
      <c r="Q37" s="12">
        <f>IF(N37="","",IF(N37=0,$B$7,$B$7-Y37*O37/N37))</f>
        <v/>
      </c>
      <c r="R37" s="12">
        <f>IF(N37="","",IF(N37=0,$B$8,$B$8+Y37*P37/N37))</f>
        <v/>
      </c>
      <c r="S37" s="12">
        <f>IFERROR(SQRT((Q37-H37)^2+(R37-I37)^2),"")</f>
        <v/>
      </c>
      <c r="T37">
        <f>10</f>
        <v/>
      </c>
      <c r="U37">
        <f>IF(T37&gt;4*$E$9,"",MIN(INT(T37/$E$9)+1,4))</f>
        <v/>
      </c>
      <c r="V37">
        <f>IF(T37=4*$E$9,-$E$6/2,IF(U37="","",CHOOSE(U37,-$E$6/2+MOD(T37,$E$9)/$E$9*$E$6,$E$6/2,$E$6/2-MOD(T37,$E$9)/$E$9*$E$6,-$E$6/2)))</f>
        <v/>
      </c>
      <c r="W37">
        <f>IF(T37=4*$E$9,-$E$7/2,IF(U37="","",CHOOSE(U37,-$E$7/2,-$E$7/2+MOD(T37,$E$9)/$E$9*$E$7,$E$7/2,$E$7/2-MOD(T37,$E$9)/$E$9*$E$7)))</f>
        <v/>
      </c>
      <c r="X37">
        <f>IF(OR($E$13&lt;&gt;"OK",M37=""),"",IF(M37&lt;=$A$19,$D$19,IF(M37&gt;=INDEX($A$19:$A$2018,$E$12),INDEX($D$19:$D$2018,$E$12),INDEX($D$19:$D$2018,MATCH(M37,$A$19:INDEX($A$19:$A$2018,$E$12),1))+(M37-INDEX($A$19:$A$2018,MATCH(M37,$A$19:INDEX($A$19:$A$2018,$E$12),1)))*(INDEX($D$19:$D$2018,MATCH(M37,$A$19:INDEX($A$19:$A$2018,$E$12),1)+1)-INDEX($D$19:$D$2018,MATCH(M37,$A$19:INDEX($A$19:$A$2018,$E$12),1)))/(INDEX($A$19:$A$2018,MATCH(M37,$A$19:INDEX($A$19:$A$2018,$E$12),1)+1)-INDEX($A$19:$A$2018,MATCH(M37,$A$19:INDEX($A$19:$A$2018,$E$12),1))))))</f>
        <v/>
      </c>
      <c r="Y37">
        <f>IF(X37="","",X37*1000/$B$4)</f>
        <v/>
      </c>
    </row>
    <row r="38">
      <c r="A38" s="10" t="n"/>
      <c r="B38" s="10" t="n"/>
      <c r="C38" s="11">
        <f>IF(A38="","",$B$5*TAN(RADIANS(A38)))</f>
        <v/>
      </c>
      <c r="D38" s="11">
        <f>IF(C38="","",C38*(1+B38/100))</f>
        <v/>
      </c>
      <c r="E38" s="11">
        <f>IF(A38="","",$B$6*TAN(RADIANS(A38)))</f>
        <v/>
      </c>
      <c r="G38" s="12">
        <f>IF(U38="","",T38)</f>
        <v/>
      </c>
      <c r="H38" s="12">
        <f>IF(U38="","",$E$4+V38*COS(RADIANS($E$8))-W38*SIN(RADIANS($E$8)))</f>
        <v/>
      </c>
      <c r="I38" s="12">
        <f>IF(U38="","",$E$5+V38*SIN(RADIANS($E$8))+W38*COS(RADIANS($E$8)))</f>
        <v/>
      </c>
      <c r="J38" s="12">
        <f>IF(H38="","",H38-$B$7)</f>
        <v/>
      </c>
      <c r="K38" s="12">
        <f>IF(I38="","",I38-$B$8)</f>
        <v/>
      </c>
      <c r="L38" s="12">
        <f>IFERROR(SQRT(J38^2+K38^2)*$B$4/1000,"")</f>
        <v/>
      </c>
      <c r="M38" s="12">
        <f>IF(OR($E$13&lt;&gt;"OK",L38=""),"",IF(L38&lt;=$D$19,$A$19,IF(L38&gt;=INDEX($D$19:$D$2018,$E$12),INDEX($A$19:$A$2018,$E$12),INDEX($A$19:$A$2018,MATCH(L38,$D$19:INDEX($D$19:$D$2018,$E$12),1))+(L38-INDEX($D$19:$D$2018,MATCH(L38,$D$19:INDEX($D$19:$D$2018,$E$12),1)))*(INDEX($A$19:$A$2018,MATCH(L38,$D$19:INDEX($D$19:$D$2018,$E$12),1)+1)-INDEX($A$19:$A$2018,MATCH(L38,$D$19:INDEX($D$19:$D$2018,$E$12),1)))/(INDEX($D$19:$D$2018,MATCH(L38,$D$19:INDEX($D$19:$D$2018,$E$12),1)+1)-INDEX($D$19:$D$2018,MATCH(L38,$D$19:INDEX($D$19:$D$2018,$E$12),1))))))</f>
        <v/>
      </c>
      <c r="N38" s="12">
        <f>IF(M38="","",$B$6*TAN(RADIANS(M38)))</f>
        <v/>
      </c>
      <c r="O38" s="12">
        <f>IF(N38="","",IF(L38=0,0,-N38*J38/SQRT(J38^2+K38^2)))</f>
        <v/>
      </c>
      <c r="P38" s="12">
        <f>IF(N38="","",IF(L38=0,0,N38*K38/SQRT(J38^2+K38^2)))</f>
        <v/>
      </c>
      <c r="Q38" s="12">
        <f>IF(N38="","",IF(N38=0,$B$7,$B$7-Y38*O38/N38))</f>
        <v/>
      </c>
      <c r="R38" s="12">
        <f>IF(N38="","",IF(N38=0,$B$8,$B$8+Y38*P38/N38))</f>
        <v/>
      </c>
      <c r="S38" s="12">
        <f>IFERROR(SQRT((Q38-H38)^2+(R38-I38)^2),"")</f>
        <v/>
      </c>
      <c r="T38">
        <f>11</f>
        <v/>
      </c>
      <c r="U38">
        <f>IF(T38&gt;4*$E$9,"",MIN(INT(T38/$E$9)+1,4))</f>
        <v/>
      </c>
      <c r="V38">
        <f>IF(T38=4*$E$9,-$E$6/2,IF(U38="","",CHOOSE(U38,-$E$6/2+MOD(T38,$E$9)/$E$9*$E$6,$E$6/2,$E$6/2-MOD(T38,$E$9)/$E$9*$E$6,-$E$6/2)))</f>
        <v/>
      </c>
      <c r="W38">
        <f>IF(T38=4*$E$9,-$E$7/2,IF(U38="","",CHOOSE(U38,-$E$7/2,-$E$7/2+MOD(T38,$E$9)/$E$9*$E$7,$E$7/2,$E$7/2-MOD(T38,$E$9)/$E$9*$E$7)))</f>
        <v/>
      </c>
      <c r="X38">
        <f>IF(OR($E$13&lt;&gt;"OK",M38=""),"",IF(M38&lt;=$A$19,$D$19,IF(M38&gt;=INDEX($A$19:$A$2018,$E$12),INDEX($D$19:$D$2018,$E$12),INDEX($D$19:$D$2018,MATCH(M38,$A$19:INDEX($A$19:$A$2018,$E$12),1))+(M38-INDEX($A$19:$A$2018,MATCH(M38,$A$19:INDEX($A$19:$A$2018,$E$12),1)))*(INDEX($D$19:$D$2018,MATCH(M38,$A$19:INDEX($A$19:$A$2018,$E$12),1)+1)-INDEX($D$19:$D$2018,MATCH(M38,$A$19:INDEX($A$19:$A$2018,$E$12),1)))/(INDEX($A$19:$A$2018,MATCH(M38,$A$19:INDEX($A$19:$A$2018,$E$12),1)+1)-INDEX($A$19:$A$2018,MATCH(M38,$A$19:INDEX($A$19:$A$2018,$E$12),1))))))</f>
        <v/>
      </c>
      <c r="Y38">
        <f>IF(X38="","",X38*1000/$B$4)</f>
        <v/>
      </c>
    </row>
    <row r="39">
      <c r="A39" s="10" t="n"/>
      <c r="B39" s="10" t="n"/>
      <c r="C39" s="11">
        <f>IF(A39="","",$B$5*TAN(RADIANS(A39)))</f>
        <v/>
      </c>
      <c r="D39" s="11">
        <f>IF(C39="","",C39*(1+B39/100))</f>
        <v/>
      </c>
      <c r="E39" s="11">
        <f>IF(A39="","",$B$6*TAN(RADIANS(A39)))</f>
        <v/>
      </c>
      <c r="G39" s="12">
        <f>IF(U39="","",T39)</f>
        <v/>
      </c>
      <c r="H39" s="12">
        <f>IF(U39="","",$E$4+V39*COS(RADIANS($E$8))-W39*SIN(RADIANS($E$8)))</f>
        <v/>
      </c>
      <c r="I39" s="12">
        <f>IF(U39="","",$E$5+V39*SIN(RADIANS($E$8))+W39*COS(RADIANS($E$8)))</f>
        <v/>
      </c>
      <c r="J39" s="12">
        <f>IF(H39="","",H39-$B$7)</f>
        <v/>
      </c>
      <c r="K39" s="12">
        <f>IF(I39="","",I39-$B$8)</f>
        <v/>
      </c>
      <c r="L39" s="12">
        <f>IFERROR(SQRT(J39^2+K39^2)*$B$4/1000,"")</f>
        <v/>
      </c>
      <c r="M39" s="12">
        <f>IF(OR($E$13&lt;&gt;"OK",L39=""),"",IF(L39&lt;=$D$19,$A$19,IF(L39&gt;=INDEX($D$19:$D$2018,$E$12),INDEX($A$19:$A$2018,$E$12),INDEX($A$19:$A$2018,MATCH(L39,$D$19:INDEX($D$19:$D$2018,$E$12),1))+(L39-INDEX($D$19:$D$2018,MATCH(L39,$D$19:INDEX($D$19:$D$2018,$E$12),1)))*(INDEX($A$19:$A$2018,MATCH(L39,$D$19:INDEX($D$19:$D$2018,$E$12),1)+1)-INDEX($A$19:$A$2018,MATCH(L39,$D$19:INDEX($D$19:$D$2018,$E$12),1)))/(INDEX($D$19:$D$2018,MATCH(L39,$D$19:INDEX($D$19:$D$2018,$E$12),1)+1)-INDEX($D$19:$D$2018,MATCH(L39,$D$19:INDEX($D$19:$D$2018,$E$12),1))))))</f>
        <v/>
      </c>
      <c r="N39" s="12">
        <f>IF(M39="","",$B$6*TAN(RADIANS(M39)))</f>
        <v/>
      </c>
      <c r="O39" s="12">
        <f>IF(N39="","",IF(L39=0,0,-N39*J39/SQRT(J39^2+K39^2)))</f>
        <v/>
      </c>
      <c r="P39" s="12">
        <f>IF(N39="","",IF(L39=0,0,N39*K39/SQRT(J39^2+K39^2)))</f>
        <v/>
      </c>
      <c r="Q39" s="12">
        <f>IF(N39="","",IF(N39=0,$B$7,$B$7-Y39*O39/N39))</f>
        <v/>
      </c>
      <c r="R39" s="12">
        <f>IF(N39="","",IF(N39=0,$B$8,$B$8+Y39*P39/N39))</f>
        <v/>
      </c>
      <c r="S39" s="12">
        <f>IFERROR(SQRT((Q39-H39)^2+(R39-I39)^2),"")</f>
        <v/>
      </c>
      <c r="T39">
        <f>12</f>
        <v/>
      </c>
      <c r="U39">
        <f>IF(T39&gt;4*$E$9,"",MIN(INT(T39/$E$9)+1,4))</f>
        <v/>
      </c>
      <c r="V39">
        <f>IF(T39=4*$E$9,-$E$6/2,IF(U39="","",CHOOSE(U39,-$E$6/2+MOD(T39,$E$9)/$E$9*$E$6,$E$6/2,$E$6/2-MOD(T39,$E$9)/$E$9*$E$6,-$E$6/2)))</f>
        <v/>
      </c>
      <c r="W39">
        <f>IF(T39=4*$E$9,-$E$7/2,IF(U39="","",CHOOSE(U39,-$E$7/2,-$E$7/2+MOD(T39,$E$9)/$E$9*$E$7,$E$7/2,$E$7/2-MOD(T39,$E$9)/$E$9*$E$7)))</f>
        <v/>
      </c>
      <c r="X39">
        <f>IF(OR($E$13&lt;&gt;"OK",M39=""),"",IF(M39&lt;=$A$19,$D$19,IF(M39&gt;=INDEX($A$19:$A$2018,$E$12),INDEX($D$19:$D$2018,$E$12),INDEX($D$19:$D$2018,MATCH(M39,$A$19:INDEX($A$19:$A$2018,$E$12),1))+(M39-INDEX($A$19:$A$2018,MATCH(M39,$A$19:INDEX($A$19:$A$2018,$E$12),1)))*(INDEX($D$19:$D$2018,MATCH(M39,$A$19:INDEX($A$19:$A$2018,$E$12),1)+1)-INDEX($D$19:$D$2018,MATCH(M39,$A$19:INDEX($A$19:$A$2018,$E$12),1)))/(INDEX($A$19:$A$2018,MATCH(M39,$A$19:INDEX($A$19:$A$2018,$E$12),1)+1)-INDEX($A$19:$A$2018,MATCH(M39,$A$19:INDEX($A$19:$A$2018,$E$12),1))))))</f>
        <v/>
      </c>
      <c r="Y39">
        <f>IF(X39="","",X39*1000/$B$4)</f>
        <v/>
      </c>
    </row>
    <row r="40">
      <c r="A40" s="10" t="n"/>
      <c r="B40" s="10" t="n"/>
      <c r="C40" s="11">
        <f>IF(A40="","",$B$5*TAN(RADIANS(A40)))</f>
        <v/>
      </c>
      <c r="D40" s="11">
        <f>IF(C40="","",C40*(1+B40/100))</f>
        <v/>
      </c>
      <c r="E40" s="11">
        <f>IF(A40="","",$B$6*TAN(RADIANS(A40)))</f>
        <v/>
      </c>
      <c r="G40" s="12">
        <f>IF(U40="","",T40)</f>
        <v/>
      </c>
      <c r="H40" s="12">
        <f>IF(U40="","",$E$4+V40*COS(RADIANS($E$8))-W40*SIN(RADIANS($E$8)))</f>
        <v/>
      </c>
      <c r="I40" s="12">
        <f>IF(U40="","",$E$5+V40*SIN(RADIANS($E$8))+W40*COS(RADIANS($E$8)))</f>
        <v/>
      </c>
      <c r="J40" s="12">
        <f>IF(H40="","",H40-$B$7)</f>
        <v/>
      </c>
      <c r="K40" s="12">
        <f>IF(I40="","",I40-$B$8)</f>
        <v/>
      </c>
      <c r="L40" s="12">
        <f>IFERROR(SQRT(J40^2+K40^2)*$B$4/1000,"")</f>
        <v/>
      </c>
      <c r="M40" s="12">
        <f>IF(OR($E$13&lt;&gt;"OK",L40=""),"",IF(L40&lt;=$D$19,$A$19,IF(L40&gt;=INDEX($D$19:$D$2018,$E$12),INDEX($A$19:$A$2018,$E$12),INDEX($A$19:$A$2018,MATCH(L40,$D$19:INDEX($D$19:$D$2018,$E$12),1))+(L40-INDEX($D$19:$D$2018,MATCH(L40,$D$19:INDEX($D$19:$D$2018,$E$12),1)))*(INDEX($A$19:$A$2018,MATCH(L40,$D$19:INDEX($D$19:$D$2018,$E$12),1)+1)-INDEX($A$19:$A$2018,MATCH(L40,$D$19:INDEX($D$19:$D$2018,$E$12),1)))/(INDEX($D$19:$D$2018,MATCH(L40,$D$19:INDEX($D$19:$D$2018,$E$12),1)+1)-INDEX($D$19:$D$2018,MATCH(L40,$D$19:INDEX($D$19:$D$2018,$E$12),1))))))</f>
        <v/>
      </c>
      <c r="N40" s="12">
        <f>IF(M40="","",$B$6*TAN(RADIANS(M40)))</f>
        <v/>
      </c>
      <c r="O40" s="12">
        <f>IF(N40="","",IF(L40=0,0,-N40*J40/SQRT(J40^2+K40^2)))</f>
        <v/>
      </c>
      <c r="P40" s="12">
        <f>IF(N40="","",IF(L40=0,0,N40*K40/SQRT(J40^2+K40^2)))</f>
        <v/>
      </c>
      <c r="Q40" s="12">
        <f>IF(N40="","",IF(N40=0,$B$7,$B$7-Y40*O40/N40))</f>
        <v/>
      </c>
      <c r="R40" s="12">
        <f>IF(N40="","",IF(N40=0,$B$8,$B$8+Y40*P40/N40))</f>
        <v/>
      </c>
      <c r="S40" s="12">
        <f>IFERROR(SQRT((Q40-H40)^2+(R40-I40)^2),"")</f>
        <v/>
      </c>
      <c r="T40">
        <f>13</f>
        <v/>
      </c>
      <c r="U40">
        <f>IF(T40&gt;4*$E$9,"",MIN(INT(T40/$E$9)+1,4))</f>
        <v/>
      </c>
      <c r="V40">
        <f>IF(T40=4*$E$9,-$E$6/2,IF(U40="","",CHOOSE(U40,-$E$6/2+MOD(T40,$E$9)/$E$9*$E$6,$E$6/2,$E$6/2-MOD(T40,$E$9)/$E$9*$E$6,-$E$6/2)))</f>
        <v/>
      </c>
      <c r="W40">
        <f>IF(T40=4*$E$9,-$E$7/2,IF(U40="","",CHOOSE(U40,-$E$7/2,-$E$7/2+MOD(T40,$E$9)/$E$9*$E$7,$E$7/2,$E$7/2-MOD(T40,$E$9)/$E$9*$E$7)))</f>
        <v/>
      </c>
      <c r="X40">
        <f>IF(OR($E$13&lt;&gt;"OK",M40=""),"",IF(M40&lt;=$A$19,$D$19,IF(M40&gt;=INDEX($A$19:$A$2018,$E$12),INDEX($D$19:$D$2018,$E$12),INDEX($D$19:$D$2018,MATCH(M40,$A$19:INDEX($A$19:$A$2018,$E$12),1))+(M40-INDEX($A$19:$A$2018,MATCH(M40,$A$19:INDEX($A$19:$A$2018,$E$12),1)))*(INDEX($D$19:$D$2018,MATCH(M40,$A$19:INDEX($A$19:$A$2018,$E$12),1)+1)-INDEX($D$19:$D$2018,MATCH(M40,$A$19:INDEX($A$19:$A$2018,$E$12),1)))/(INDEX($A$19:$A$2018,MATCH(M40,$A$19:INDEX($A$19:$A$2018,$E$12),1)+1)-INDEX($A$19:$A$2018,MATCH(M40,$A$19:INDEX($A$19:$A$2018,$E$12),1))))))</f>
        <v/>
      </c>
      <c r="Y40">
        <f>IF(X40="","",X40*1000/$B$4)</f>
        <v/>
      </c>
    </row>
    <row r="41">
      <c r="A41" s="10" t="n"/>
      <c r="B41" s="10" t="n"/>
      <c r="C41" s="11">
        <f>IF(A41="","",$B$5*TAN(RADIANS(A41)))</f>
        <v/>
      </c>
      <c r="D41" s="11">
        <f>IF(C41="","",C41*(1+B41/100))</f>
        <v/>
      </c>
      <c r="E41" s="11">
        <f>IF(A41="","",$B$6*TAN(RADIANS(A41)))</f>
        <v/>
      </c>
      <c r="G41" s="12">
        <f>IF(U41="","",T41)</f>
        <v/>
      </c>
      <c r="H41" s="12">
        <f>IF(U41="","",$E$4+V41*COS(RADIANS($E$8))-W41*SIN(RADIANS($E$8)))</f>
        <v/>
      </c>
      <c r="I41" s="12">
        <f>IF(U41="","",$E$5+V41*SIN(RADIANS($E$8))+W41*COS(RADIANS($E$8)))</f>
        <v/>
      </c>
      <c r="J41" s="12">
        <f>IF(H41="","",H41-$B$7)</f>
        <v/>
      </c>
      <c r="K41" s="12">
        <f>IF(I41="","",I41-$B$8)</f>
        <v/>
      </c>
      <c r="L41" s="12">
        <f>IFERROR(SQRT(J41^2+K41^2)*$B$4/1000,"")</f>
        <v/>
      </c>
      <c r="M41" s="12">
        <f>IF(OR($E$13&lt;&gt;"OK",L41=""),"",IF(L41&lt;=$D$19,$A$19,IF(L41&gt;=INDEX($D$19:$D$2018,$E$12),INDEX($A$19:$A$2018,$E$12),INDEX($A$19:$A$2018,MATCH(L41,$D$19:INDEX($D$19:$D$2018,$E$12),1))+(L41-INDEX($D$19:$D$2018,MATCH(L41,$D$19:INDEX($D$19:$D$2018,$E$12),1)))*(INDEX($A$19:$A$2018,MATCH(L41,$D$19:INDEX($D$19:$D$2018,$E$12),1)+1)-INDEX($A$19:$A$2018,MATCH(L41,$D$19:INDEX($D$19:$D$2018,$E$12),1)))/(INDEX($D$19:$D$2018,MATCH(L41,$D$19:INDEX($D$19:$D$2018,$E$12),1)+1)-INDEX($D$19:$D$2018,MATCH(L41,$D$19:INDEX($D$19:$D$2018,$E$12),1))))))</f>
        <v/>
      </c>
      <c r="N41" s="12">
        <f>IF(M41="","",$B$6*TAN(RADIANS(M41)))</f>
        <v/>
      </c>
      <c r="O41" s="12">
        <f>IF(N41="","",IF(L41=0,0,-N41*J41/SQRT(J41^2+K41^2)))</f>
        <v/>
      </c>
      <c r="P41" s="12">
        <f>IF(N41="","",IF(L41=0,0,N41*K41/SQRT(J41^2+K41^2)))</f>
        <v/>
      </c>
      <c r="Q41" s="12">
        <f>IF(N41="","",IF(N41=0,$B$7,$B$7-Y41*O41/N41))</f>
        <v/>
      </c>
      <c r="R41" s="12">
        <f>IF(N41="","",IF(N41=0,$B$8,$B$8+Y41*P41/N41))</f>
        <v/>
      </c>
      <c r="S41" s="12">
        <f>IFERROR(SQRT((Q41-H41)^2+(R41-I41)^2),"")</f>
        <v/>
      </c>
      <c r="T41">
        <f>14</f>
        <v/>
      </c>
      <c r="U41">
        <f>IF(T41&gt;4*$E$9,"",MIN(INT(T41/$E$9)+1,4))</f>
        <v/>
      </c>
      <c r="V41">
        <f>IF(T41=4*$E$9,-$E$6/2,IF(U41="","",CHOOSE(U41,-$E$6/2+MOD(T41,$E$9)/$E$9*$E$6,$E$6/2,$E$6/2-MOD(T41,$E$9)/$E$9*$E$6,-$E$6/2)))</f>
        <v/>
      </c>
      <c r="W41">
        <f>IF(T41=4*$E$9,-$E$7/2,IF(U41="","",CHOOSE(U41,-$E$7/2,-$E$7/2+MOD(T41,$E$9)/$E$9*$E$7,$E$7/2,$E$7/2-MOD(T41,$E$9)/$E$9*$E$7)))</f>
        <v/>
      </c>
      <c r="X41">
        <f>IF(OR($E$13&lt;&gt;"OK",M41=""),"",IF(M41&lt;=$A$19,$D$19,IF(M41&gt;=INDEX($A$19:$A$2018,$E$12),INDEX($D$19:$D$2018,$E$12),INDEX($D$19:$D$2018,MATCH(M41,$A$19:INDEX($A$19:$A$2018,$E$12),1))+(M41-INDEX($A$19:$A$2018,MATCH(M41,$A$19:INDEX($A$19:$A$2018,$E$12),1)))*(INDEX($D$19:$D$2018,MATCH(M41,$A$19:INDEX($A$19:$A$2018,$E$12),1)+1)-INDEX($D$19:$D$2018,MATCH(M41,$A$19:INDEX($A$19:$A$2018,$E$12),1)))/(INDEX($A$19:$A$2018,MATCH(M41,$A$19:INDEX($A$19:$A$2018,$E$12),1)+1)-INDEX($A$19:$A$2018,MATCH(M41,$A$19:INDEX($A$19:$A$2018,$E$12),1))))))</f>
        <v/>
      </c>
      <c r="Y41">
        <f>IF(X41="","",X41*1000/$B$4)</f>
        <v/>
      </c>
    </row>
    <row r="42">
      <c r="A42" s="10" t="n"/>
      <c r="B42" s="10" t="n"/>
      <c r="C42" s="11">
        <f>IF(A42="","",$B$5*TAN(RADIANS(A42)))</f>
        <v/>
      </c>
      <c r="D42" s="11">
        <f>IF(C42="","",C42*(1+B42/100))</f>
        <v/>
      </c>
      <c r="E42" s="11">
        <f>IF(A42="","",$B$6*TAN(RADIANS(A42)))</f>
        <v/>
      </c>
      <c r="G42" s="12">
        <f>IF(U42="","",T42)</f>
        <v/>
      </c>
      <c r="H42" s="12">
        <f>IF(U42="","",$E$4+V42*COS(RADIANS($E$8))-W42*SIN(RADIANS($E$8)))</f>
        <v/>
      </c>
      <c r="I42" s="12">
        <f>IF(U42="","",$E$5+V42*SIN(RADIANS($E$8))+W42*COS(RADIANS($E$8)))</f>
        <v/>
      </c>
      <c r="J42" s="12">
        <f>IF(H42="","",H42-$B$7)</f>
        <v/>
      </c>
      <c r="K42" s="12">
        <f>IF(I42="","",I42-$B$8)</f>
        <v/>
      </c>
      <c r="L42" s="12">
        <f>IFERROR(SQRT(J42^2+K42^2)*$B$4/1000,"")</f>
        <v/>
      </c>
      <c r="M42" s="12">
        <f>IF(OR($E$13&lt;&gt;"OK",L42=""),"",IF(L42&lt;=$D$19,$A$19,IF(L42&gt;=INDEX($D$19:$D$2018,$E$12),INDEX($A$19:$A$2018,$E$12),INDEX($A$19:$A$2018,MATCH(L42,$D$19:INDEX($D$19:$D$2018,$E$12),1))+(L42-INDEX($D$19:$D$2018,MATCH(L42,$D$19:INDEX($D$19:$D$2018,$E$12),1)))*(INDEX($A$19:$A$2018,MATCH(L42,$D$19:INDEX($D$19:$D$2018,$E$12),1)+1)-INDEX($A$19:$A$2018,MATCH(L42,$D$19:INDEX($D$19:$D$2018,$E$12),1)))/(INDEX($D$19:$D$2018,MATCH(L42,$D$19:INDEX($D$19:$D$2018,$E$12),1)+1)-INDEX($D$19:$D$2018,MATCH(L42,$D$19:INDEX($D$19:$D$2018,$E$12),1))))))</f>
        <v/>
      </c>
      <c r="N42" s="12">
        <f>IF(M42="","",$B$6*TAN(RADIANS(M42)))</f>
        <v/>
      </c>
      <c r="O42" s="12">
        <f>IF(N42="","",IF(L42=0,0,-N42*J42/SQRT(J42^2+K42^2)))</f>
        <v/>
      </c>
      <c r="P42" s="12">
        <f>IF(N42="","",IF(L42=0,0,N42*K42/SQRT(J42^2+K42^2)))</f>
        <v/>
      </c>
      <c r="Q42" s="12">
        <f>IF(N42="","",IF(N42=0,$B$7,$B$7-Y42*O42/N42))</f>
        <v/>
      </c>
      <c r="R42" s="12">
        <f>IF(N42="","",IF(N42=0,$B$8,$B$8+Y42*P42/N42))</f>
        <v/>
      </c>
      <c r="S42" s="12">
        <f>IFERROR(SQRT((Q42-H42)^2+(R42-I42)^2),"")</f>
        <v/>
      </c>
      <c r="T42">
        <f>15</f>
        <v/>
      </c>
      <c r="U42">
        <f>IF(T42&gt;4*$E$9,"",MIN(INT(T42/$E$9)+1,4))</f>
        <v/>
      </c>
      <c r="V42">
        <f>IF(T42=4*$E$9,-$E$6/2,IF(U42="","",CHOOSE(U42,-$E$6/2+MOD(T42,$E$9)/$E$9*$E$6,$E$6/2,$E$6/2-MOD(T42,$E$9)/$E$9*$E$6,-$E$6/2)))</f>
        <v/>
      </c>
      <c r="W42">
        <f>IF(T42=4*$E$9,-$E$7/2,IF(U42="","",CHOOSE(U42,-$E$7/2,-$E$7/2+MOD(T42,$E$9)/$E$9*$E$7,$E$7/2,$E$7/2-MOD(T42,$E$9)/$E$9*$E$7)))</f>
        <v/>
      </c>
      <c r="X42">
        <f>IF(OR($E$13&lt;&gt;"OK",M42=""),"",IF(M42&lt;=$A$19,$D$19,IF(M42&gt;=INDEX($A$19:$A$2018,$E$12),INDEX($D$19:$D$2018,$E$12),INDEX($D$19:$D$2018,MATCH(M42,$A$19:INDEX($A$19:$A$2018,$E$12),1))+(M42-INDEX($A$19:$A$2018,MATCH(M42,$A$19:INDEX($A$19:$A$2018,$E$12),1)))*(INDEX($D$19:$D$2018,MATCH(M42,$A$19:INDEX($A$19:$A$2018,$E$12),1)+1)-INDEX($D$19:$D$2018,MATCH(M42,$A$19:INDEX($A$19:$A$2018,$E$12),1)))/(INDEX($A$19:$A$2018,MATCH(M42,$A$19:INDEX($A$19:$A$2018,$E$12),1)+1)-INDEX($A$19:$A$2018,MATCH(M42,$A$19:INDEX($A$19:$A$2018,$E$12),1))))))</f>
        <v/>
      </c>
      <c r="Y42">
        <f>IF(X42="","",X42*1000/$B$4)</f>
        <v/>
      </c>
    </row>
    <row r="43">
      <c r="A43" s="10" t="n"/>
      <c r="B43" s="10" t="n"/>
      <c r="C43" s="11">
        <f>IF(A43="","",$B$5*TAN(RADIANS(A43)))</f>
        <v/>
      </c>
      <c r="D43" s="11">
        <f>IF(C43="","",C43*(1+B43/100))</f>
        <v/>
      </c>
      <c r="E43" s="11">
        <f>IF(A43="","",$B$6*TAN(RADIANS(A43)))</f>
        <v/>
      </c>
      <c r="G43" s="12">
        <f>IF(U43="","",T43)</f>
        <v/>
      </c>
      <c r="H43" s="12">
        <f>IF(U43="","",$E$4+V43*COS(RADIANS($E$8))-W43*SIN(RADIANS($E$8)))</f>
        <v/>
      </c>
      <c r="I43" s="12">
        <f>IF(U43="","",$E$5+V43*SIN(RADIANS($E$8))+W43*COS(RADIANS($E$8)))</f>
        <v/>
      </c>
      <c r="J43" s="12">
        <f>IF(H43="","",H43-$B$7)</f>
        <v/>
      </c>
      <c r="K43" s="12">
        <f>IF(I43="","",I43-$B$8)</f>
        <v/>
      </c>
      <c r="L43" s="12">
        <f>IFERROR(SQRT(J43^2+K43^2)*$B$4/1000,"")</f>
        <v/>
      </c>
      <c r="M43" s="12">
        <f>IF(OR($E$13&lt;&gt;"OK",L43=""),"",IF(L43&lt;=$D$19,$A$19,IF(L43&gt;=INDEX($D$19:$D$2018,$E$12),INDEX($A$19:$A$2018,$E$12),INDEX($A$19:$A$2018,MATCH(L43,$D$19:INDEX($D$19:$D$2018,$E$12),1))+(L43-INDEX($D$19:$D$2018,MATCH(L43,$D$19:INDEX($D$19:$D$2018,$E$12),1)))*(INDEX($A$19:$A$2018,MATCH(L43,$D$19:INDEX($D$19:$D$2018,$E$12),1)+1)-INDEX($A$19:$A$2018,MATCH(L43,$D$19:INDEX($D$19:$D$2018,$E$12),1)))/(INDEX($D$19:$D$2018,MATCH(L43,$D$19:INDEX($D$19:$D$2018,$E$12),1)+1)-INDEX($D$19:$D$2018,MATCH(L43,$D$19:INDEX($D$19:$D$2018,$E$12),1))))))</f>
        <v/>
      </c>
      <c r="N43" s="12">
        <f>IF(M43="","",$B$6*TAN(RADIANS(M43)))</f>
        <v/>
      </c>
      <c r="O43" s="12">
        <f>IF(N43="","",IF(L43=0,0,-N43*J43/SQRT(J43^2+K43^2)))</f>
        <v/>
      </c>
      <c r="P43" s="12">
        <f>IF(N43="","",IF(L43=0,0,N43*K43/SQRT(J43^2+K43^2)))</f>
        <v/>
      </c>
      <c r="Q43" s="12">
        <f>IF(N43="","",IF(N43=0,$B$7,$B$7-Y43*O43/N43))</f>
        <v/>
      </c>
      <c r="R43" s="12">
        <f>IF(N43="","",IF(N43=0,$B$8,$B$8+Y43*P43/N43))</f>
        <v/>
      </c>
      <c r="S43" s="12">
        <f>IFERROR(SQRT((Q43-H43)^2+(R43-I43)^2),"")</f>
        <v/>
      </c>
      <c r="T43">
        <f>16</f>
        <v/>
      </c>
      <c r="U43">
        <f>IF(T43&gt;4*$E$9,"",MIN(INT(T43/$E$9)+1,4))</f>
        <v/>
      </c>
      <c r="V43">
        <f>IF(T43=4*$E$9,-$E$6/2,IF(U43="","",CHOOSE(U43,-$E$6/2+MOD(T43,$E$9)/$E$9*$E$6,$E$6/2,$E$6/2-MOD(T43,$E$9)/$E$9*$E$6,-$E$6/2)))</f>
        <v/>
      </c>
      <c r="W43">
        <f>IF(T43=4*$E$9,-$E$7/2,IF(U43="","",CHOOSE(U43,-$E$7/2,-$E$7/2+MOD(T43,$E$9)/$E$9*$E$7,$E$7/2,$E$7/2-MOD(T43,$E$9)/$E$9*$E$7)))</f>
        <v/>
      </c>
      <c r="X43">
        <f>IF(OR($E$13&lt;&gt;"OK",M43=""),"",IF(M43&lt;=$A$19,$D$19,IF(M43&gt;=INDEX($A$19:$A$2018,$E$12),INDEX($D$19:$D$2018,$E$12),INDEX($D$19:$D$2018,MATCH(M43,$A$19:INDEX($A$19:$A$2018,$E$12),1))+(M43-INDEX($A$19:$A$2018,MATCH(M43,$A$19:INDEX($A$19:$A$2018,$E$12),1)))*(INDEX($D$19:$D$2018,MATCH(M43,$A$19:INDEX($A$19:$A$2018,$E$12),1)+1)-INDEX($D$19:$D$2018,MATCH(M43,$A$19:INDEX($A$19:$A$2018,$E$12),1)))/(INDEX($A$19:$A$2018,MATCH(M43,$A$19:INDEX($A$19:$A$2018,$E$12),1)+1)-INDEX($A$19:$A$2018,MATCH(M43,$A$19:INDEX($A$19:$A$2018,$E$12),1))))))</f>
        <v/>
      </c>
      <c r="Y43">
        <f>IF(X43="","",X43*1000/$B$4)</f>
        <v/>
      </c>
    </row>
    <row r="44">
      <c r="A44" s="10" t="n"/>
      <c r="B44" s="10" t="n"/>
      <c r="C44" s="11">
        <f>IF(A44="","",$B$5*TAN(RADIANS(A44)))</f>
        <v/>
      </c>
      <c r="D44" s="11">
        <f>IF(C44="","",C44*(1+B44/100))</f>
        <v/>
      </c>
      <c r="E44" s="11">
        <f>IF(A44="","",$B$6*TAN(RADIANS(A44)))</f>
        <v/>
      </c>
      <c r="G44" s="12">
        <f>IF(U44="","",T44)</f>
        <v/>
      </c>
      <c r="H44" s="12">
        <f>IF(U44="","",$E$4+V44*COS(RADIANS($E$8))-W44*SIN(RADIANS($E$8)))</f>
        <v/>
      </c>
      <c r="I44" s="12">
        <f>IF(U44="","",$E$5+V44*SIN(RADIANS($E$8))+W44*COS(RADIANS($E$8)))</f>
        <v/>
      </c>
      <c r="J44" s="12">
        <f>IF(H44="","",H44-$B$7)</f>
        <v/>
      </c>
      <c r="K44" s="12">
        <f>IF(I44="","",I44-$B$8)</f>
        <v/>
      </c>
      <c r="L44" s="12">
        <f>IFERROR(SQRT(J44^2+K44^2)*$B$4/1000,"")</f>
        <v/>
      </c>
      <c r="M44" s="12">
        <f>IF(OR($E$13&lt;&gt;"OK",L44=""),"",IF(L44&lt;=$D$19,$A$19,IF(L44&gt;=INDEX($D$19:$D$2018,$E$12),INDEX($A$19:$A$2018,$E$12),INDEX($A$19:$A$2018,MATCH(L44,$D$19:INDEX($D$19:$D$2018,$E$12),1))+(L44-INDEX($D$19:$D$2018,MATCH(L44,$D$19:INDEX($D$19:$D$2018,$E$12),1)))*(INDEX($A$19:$A$2018,MATCH(L44,$D$19:INDEX($D$19:$D$2018,$E$12),1)+1)-INDEX($A$19:$A$2018,MATCH(L44,$D$19:INDEX($D$19:$D$2018,$E$12),1)))/(INDEX($D$19:$D$2018,MATCH(L44,$D$19:INDEX($D$19:$D$2018,$E$12),1)+1)-INDEX($D$19:$D$2018,MATCH(L44,$D$19:INDEX($D$19:$D$2018,$E$12),1))))))</f>
        <v/>
      </c>
      <c r="N44" s="12">
        <f>IF(M44="","",$B$6*TAN(RADIANS(M44)))</f>
        <v/>
      </c>
      <c r="O44" s="12">
        <f>IF(N44="","",IF(L44=0,0,-N44*J44/SQRT(J44^2+K44^2)))</f>
        <v/>
      </c>
      <c r="P44" s="12">
        <f>IF(N44="","",IF(L44=0,0,N44*K44/SQRT(J44^2+K44^2)))</f>
        <v/>
      </c>
      <c r="Q44" s="12">
        <f>IF(N44="","",IF(N44=0,$B$7,$B$7-Y44*O44/N44))</f>
        <v/>
      </c>
      <c r="R44" s="12">
        <f>IF(N44="","",IF(N44=0,$B$8,$B$8+Y44*P44/N44))</f>
        <v/>
      </c>
      <c r="S44" s="12">
        <f>IFERROR(SQRT((Q44-H44)^2+(R44-I44)^2),"")</f>
        <v/>
      </c>
      <c r="T44">
        <f>17</f>
        <v/>
      </c>
      <c r="U44">
        <f>IF(T44&gt;4*$E$9,"",MIN(INT(T44/$E$9)+1,4))</f>
        <v/>
      </c>
      <c r="V44">
        <f>IF(T44=4*$E$9,-$E$6/2,IF(U44="","",CHOOSE(U44,-$E$6/2+MOD(T44,$E$9)/$E$9*$E$6,$E$6/2,$E$6/2-MOD(T44,$E$9)/$E$9*$E$6,-$E$6/2)))</f>
        <v/>
      </c>
      <c r="W44">
        <f>IF(T44=4*$E$9,-$E$7/2,IF(U44="","",CHOOSE(U44,-$E$7/2,-$E$7/2+MOD(T44,$E$9)/$E$9*$E$7,$E$7/2,$E$7/2-MOD(T44,$E$9)/$E$9*$E$7)))</f>
        <v/>
      </c>
      <c r="X44">
        <f>IF(OR($E$13&lt;&gt;"OK",M44=""),"",IF(M44&lt;=$A$19,$D$19,IF(M44&gt;=INDEX($A$19:$A$2018,$E$12),INDEX($D$19:$D$2018,$E$12),INDEX($D$19:$D$2018,MATCH(M44,$A$19:INDEX($A$19:$A$2018,$E$12),1))+(M44-INDEX($A$19:$A$2018,MATCH(M44,$A$19:INDEX($A$19:$A$2018,$E$12),1)))*(INDEX($D$19:$D$2018,MATCH(M44,$A$19:INDEX($A$19:$A$2018,$E$12),1)+1)-INDEX($D$19:$D$2018,MATCH(M44,$A$19:INDEX($A$19:$A$2018,$E$12),1)))/(INDEX($A$19:$A$2018,MATCH(M44,$A$19:INDEX($A$19:$A$2018,$E$12),1)+1)-INDEX($A$19:$A$2018,MATCH(M44,$A$19:INDEX($A$19:$A$2018,$E$12),1))))))</f>
        <v/>
      </c>
      <c r="Y44">
        <f>IF(X44="","",X44*1000/$B$4)</f>
        <v/>
      </c>
    </row>
    <row r="45">
      <c r="A45" s="10" t="n"/>
      <c r="B45" s="10" t="n"/>
      <c r="C45" s="11">
        <f>IF(A45="","",$B$5*TAN(RADIANS(A45)))</f>
        <v/>
      </c>
      <c r="D45" s="11">
        <f>IF(C45="","",C45*(1+B45/100))</f>
        <v/>
      </c>
      <c r="E45" s="11">
        <f>IF(A45="","",$B$6*TAN(RADIANS(A45)))</f>
        <v/>
      </c>
      <c r="G45" s="12">
        <f>IF(U45="","",T45)</f>
        <v/>
      </c>
      <c r="H45" s="12">
        <f>IF(U45="","",$E$4+V45*COS(RADIANS($E$8))-W45*SIN(RADIANS($E$8)))</f>
        <v/>
      </c>
      <c r="I45" s="12">
        <f>IF(U45="","",$E$5+V45*SIN(RADIANS($E$8))+W45*COS(RADIANS($E$8)))</f>
        <v/>
      </c>
      <c r="J45" s="12">
        <f>IF(H45="","",H45-$B$7)</f>
        <v/>
      </c>
      <c r="K45" s="12">
        <f>IF(I45="","",I45-$B$8)</f>
        <v/>
      </c>
      <c r="L45" s="12">
        <f>IFERROR(SQRT(J45^2+K45^2)*$B$4/1000,"")</f>
        <v/>
      </c>
      <c r="M45" s="12">
        <f>IF(OR($E$13&lt;&gt;"OK",L45=""),"",IF(L45&lt;=$D$19,$A$19,IF(L45&gt;=INDEX($D$19:$D$2018,$E$12),INDEX($A$19:$A$2018,$E$12),INDEX($A$19:$A$2018,MATCH(L45,$D$19:INDEX($D$19:$D$2018,$E$12),1))+(L45-INDEX($D$19:$D$2018,MATCH(L45,$D$19:INDEX($D$19:$D$2018,$E$12),1)))*(INDEX($A$19:$A$2018,MATCH(L45,$D$19:INDEX($D$19:$D$2018,$E$12),1)+1)-INDEX($A$19:$A$2018,MATCH(L45,$D$19:INDEX($D$19:$D$2018,$E$12),1)))/(INDEX($D$19:$D$2018,MATCH(L45,$D$19:INDEX($D$19:$D$2018,$E$12),1)+1)-INDEX($D$19:$D$2018,MATCH(L45,$D$19:INDEX($D$19:$D$2018,$E$12),1))))))</f>
        <v/>
      </c>
      <c r="N45" s="12">
        <f>IF(M45="","",$B$6*TAN(RADIANS(M45)))</f>
        <v/>
      </c>
      <c r="O45" s="12">
        <f>IF(N45="","",IF(L45=0,0,-N45*J45/SQRT(J45^2+K45^2)))</f>
        <v/>
      </c>
      <c r="P45" s="12">
        <f>IF(N45="","",IF(L45=0,0,N45*K45/SQRT(J45^2+K45^2)))</f>
        <v/>
      </c>
      <c r="Q45" s="12">
        <f>IF(N45="","",IF(N45=0,$B$7,$B$7-Y45*O45/N45))</f>
        <v/>
      </c>
      <c r="R45" s="12">
        <f>IF(N45="","",IF(N45=0,$B$8,$B$8+Y45*P45/N45))</f>
        <v/>
      </c>
      <c r="S45" s="12">
        <f>IFERROR(SQRT((Q45-H45)^2+(R45-I45)^2),"")</f>
        <v/>
      </c>
      <c r="T45">
        <f>18</f>
        <v/>
      </c>
      <c r="U45">
        <f>IF(T45&gt;4*$E$9,"",MIN(INT(T45/$E$9)+1,4))</f>
        <v/>
      </c>
      <c r="V45">
        <f>IF(T45=4*$E$9,-$E$6/2,IF(U45="","",CHOOSE(U45,-$E$6/2+MOD(T45,$E$9)/$E$9*$E$6,$E$6/2,$E$6/2-MOD(T45,$E$9)/$E$9*$E$6,-$E$6/2)))</f>
        <v/>
      </c>
      <c r="W45">
        <f>IF(T45=4*$E$9,-$E$7/2,IF(U45="","",CHOOSE(U45,-$E$7/2,-$E$7/2+MOD(T45,$E$9)/$E$9*$E$7,$E$7/2,$E$7/2-MOD(T45,$E$9)/$E$9*$E$7)))</f>
        <v/>
      </c>
      <c r="X45">
        <f>IF(OR($E$13&lt;&gt;"OK",M45=""),"",IF(M45&lt;=$A$19,$D$19,IF(M45&gt;=INDEX($A$19:$A$2018,$E$12),INDEX($D$19:$D$2018,$E$12),INDEX($D$19:$D$2018,MATCH(M45,$A$19:INDEX($A$19:$A$2018,$E$12),1))+(M45-INDEX($A$19:$A$2018,MATCH(M45,$A$19:INDEX($A$19:$A$2018,$E$12),1)))*(INDEX($D$19:$D$2018,MATCH(M45,$A$19:INDEX($A$19:$A$2018,$E$12),1)+1)-INDEX($D$19:$D$2018,MATCH(M45,$A$19:INDEX($A$19:$A$2018,$E$12),1)))/(INDEX($A$19:$A$2018,MATCH(M45,$A$19:INDEX($A$19:$A$2018,$E$12),1)+1)-INDEX($A$19:$A$2018,MATCH(M45,$A$19:INDEX($A$19:$A$2018,$E$12),1))))))</f>
        <v/>
      </c>
      <c r="Y45">
        <f>IF(X45="","",X45*1000/$B$4)</f>
        <v/>
      </c>
    </row>
    <row r="46">
      <c r="A46" s="10" t="n"/>
      <c r="B46" s="10" t="n"/>
      <c r="C46" s="11">
        <f>IF(A46="","",$B$5*TAN(RADIANS(A46)))</f>
        <v/>
      </c>
      <c r="D46" s="11">
        <f>IF(C46="","",C46*(1+B46/100))</f>
        <v/>
      </c>
      <c r="E46" s="11">
        <f>IF(A46="","",$B$6*TAN(RADIANS(A46)))</f>
        <v/>
      </c>
      <c r="G46" s="12">
        <f>IF(U46="","",T46)</f>
        <v/>
      </c>
      <c r="H46" s="12">
        <f>IF(U46="","",$E$4+V46*COS(RADIANS($E$8))-W46*SIN(RADIANS($E$8)))</f>
        <v/>
      </c>
      <c r="I46" s="12">
        <f>IF(U46="","",$E$5+V46*SIN(RADIANS($E$8))+W46*COS(RADIANS($E$8)))</f>
        <v/>
      </c>
      <c r="J46" s="12">
        <f>IF(H46="","",H46-$B$7)</f>
        <v/>
      </c>
      <c r="K46" s="12">
        <f>IF(I46="","",I46-$B$8)</f>
        <v/>
      </c>
      <c r="L46" s="12">
        <f>IFERROR(SQRT(J46^2+K46^2)*$B$4/1000,"")</f>
        <v/>
      </c>
      <c r="M46" s="12">
        <f>IF(OR($E$13&lt;&gt;"OK",L46=""),"",IF(L46&lt;=$D$19,$A$19,IF(L46&gt;=INDEX($D$19:$D$2018,$E$12),INDEX($A$19:$A$2018,$E$12),INDEX($A$19:$A$2018,MATCH(L46,$D$19:INDEX($D$19:$D$2018,$E$12),1))+(L46-INDEX($D$19:$D$2018,MATCH(L46,$D$19:INDEX($D$19:$D$2018,$E$12),1)))*(INDEX($A$19:$A$2018,MATCH(L46,$D$19:INDEX($D$19:$D$2018,$E$12),1)+1)-INDEX($A$19:$A$2018,MATCH(L46,$D$19:INDEX($D$19:$D$2018,$E$12),1)))/(INDEX($D$19:$D$2018,MATCH(L46,$D$19:INDEX($D$19:$D$2018,$E$12),1)+1)-INDEX($D$19:$D$2018,MATCH(L46,$D$19:INDEX($D$19:$D$2018,$E$12),1))))))</f>
        <v/>
      </c>
      <c r="N46" s="12">
        <f>IF(M46="","",$B$6*TAN(RADIANS(M46)))</f>
        <v/>
      </c>
      <c r="O46" s="12">
        <f>IF(N46="","",IF(L46=0,0,-N46*J46/SQRT(J46^2+K46^2)))</f>
        <v/>
      </c>
      <c r="P46" s="12">
        <f>IF(N46="","",IF(L46=0,0,N46*K46/SQRT(J46^2+K46^2)))</f>
        <v/>
      </c>
      <c r="Q46" s="12">
        <f>IF(N46="","",IF(N46=0,$B$7,$B$7-Y46*O46/N46))</f>
        <v/>
      </c>
      <c r="R46" s="12">
        <f>IF(N46="","",IF(N46=0,$B$8,$B$8+Y46*P46/N46))</f>
        <v/>
      </c>
      <c r="S46" s="12">
        <f>IFERROR(SQRT((Q46-H46)^2+(R46-I46)^2),"")</f>
        <v/>
      </c>
      <c r="T46">
        <f>19</f>
        <v/>
      </c>
      <c r="U46">
        <f>IF(T46&gt;4*$E$9,"",MIN(INT(T46/$E$9)+1,4))</f>
        <v/>
      </c>
      <c r="V46">
        <f>IF(T46=4*$E$9,-$E$6/2,IF(U46="","",CHOOSE(U46,-$E$6/2+MOD(T46,$E$9)/$E$9*$E$6,$E$6/2,$E$6/2-MOD(T46,$E$9)/$E$9*$E$6,-$E$6/2)))</f>
        <v/>
      </c>
      <c r="W46">
        <f>IF(T46=4*$E$9,-$E$7/2,IF(U46="","",CHOOSE(U46,-$E$7/2,-$E$7/2+MOD(T46,$E$9)/$E$9*$E$7,$E$7/2,$E$7/2-MOD(T46,$E$9)/$E$9*$E$7)))</f>
        <v/>
      </c>
      <c r="X46">
        <f>IF(OR($E$13&lt;&gt;"OK",M46=""),"",IF(M46&lt;=$A$19,$D$19,IF(M46&gt;=INDEX($A$19:$A$2018,$E$12),INDEX($D$19:$D$2018,$E$12),INDEX($D$19:$D$2018,MATCH(M46,$A$19:INDEX($A$19:$A$2018,$E$12),1))+(M46-INDEX($A$19:$A$2018,MATCH(M46,$A$19:INDEX($A$19:$A$2018,$E$12),1)))*(INDEX($D$19:$D$2018,MATCH(M46,$A$19:INDEX($A$19:$A$2018,$E$12),1)+1)-INDEX($D$19:$D$2018,MATCH(M46,$A$19:INDEX($A$19:$A$2018,$E$12),1)))/(INDEX($A$19:$A$2018,MATCH(M46,$A$19:INDEX($A$19:$A$2018,$E$12),1)+1)-INDEX($A$19:$A$2018,MATCH(M46,$A$19:INDEX($A$19:$A$2018,$E$12),1))))))</f>
        <v/>
      </c>
      <c r="Y46">
        <f>IF(X46="","",X46*1000/$B$4)</f>
        <v/>
      </c>
    </row>
    <row r="47">
      <c r="A47" s="10" t="n"/>
      <c r="B47" s="10" t="n"/>
      <c r="C47" s="11">
        <f>IF(A47="","",$B$5*TAN(RADIANS(A47)))</f>
        <v/>
      </c>
      <c r="D47" s="11">
        <f>IF(C47="","",C47*(1+B47/100))</f>
        <v/>
      </c>
      <c r="E47" s="11">
        <f>IF(A47="","",$B$6*TAN(RADIANS(A47)))</f>
        <v/>
      </c>
      <c r="G47" s="12">
        <f>IF(U47="","",T47)</f>
        <v/>
      </c>
      <c r="H47" s="12">
        <f>IF(U47="","",$E$4+V47*COS(RADIANS($E$8))-W47*SIN(RADIANS($E$8)))</f>
        <v/>
      </c>
      <c r="I47" s="12">
        <f>IF(U47="","",$E$5+V47*SIN(RADIANS($E$8))+W47*COS(RADIANS($E$8)))</f>
        <v/>
      </c>
      <c r="J47" s="12">
        <f>IF(H47="","",H47-$B$7)</f>
        <v/>
      </c>
      <c r="K47" s="12">
        <f>IF(I47="","",I47-$B$8)</f>
        <v/>
      </c>
      <c r="L47" s="12">
        <f>IFERROR(SQRT(J47^2+K47^2)*$B$4/1000,"")</f>
        <v/>
      </c>
      <c r="M47" s="12">
        <f>IF(OR($E$13&lt;&gt;"OK",L47=""),"",IF(L47&lt;=$D$19,$A$19,IF(L47&gt;=INDEX($D$19:$D$2018,$E$12),INDEX($A$19:$A$2018,$E$12),INDEX($A$19:$A$2018,MATCH(L47,$D$19:INDEX($D$19:$D$2018,$E$12),1))+(L47-INDEX($D$19:$D$2018,MATCH(L47,$D$19:INDEX($D$19:$D$2018,$E$12),1)))*(INDEX($A$19:$A$2018,MATCH(L47,$D$19:INDEX($D$19:$D$2018,$E$12),1)+1)-INDEX($A$19:$A$2018,MATCH(L47,$D$19:INDEX($D$19:$D$2018,$E$12),1)))/(INDEX($D$19:$D$2018,MATCH(L47,$D$19:INDEX($D$19:$D$2018,$E$12),1)+1)-INDEX($D$19:$D$2018,MATCH(L47,$D$19:INDEX($D$19:$D$2018,$E$12),1))))))</f>
        <v/>
      </c>
      <c r="N47" s="12">
        <f>IF(M47="","",$B$6*TAN(RADIANS(M47)))</f>
        <v/>
      </c>
      <c r="O47" s="12">
        <f>IF(N47="","",IF(L47=0,0,-N47*J47/SQRT(J47^2+K47^2)))</f>
        <v/>
      </c>
      <c r="P47" s="12">
        <f>IF(N47="","",IF(L47=0,0,N47*K47/SQRT(J47^2+K47^2)))</f>
        <v/>
      </c>
      <c r="Q47" s="12">
        <f>IF(N47="","",IF(N47=0,$B$7,$B$7-Y47*O47/N47))</f>
        <v/>
      </c>
      <c r="R47" s="12">
        <f>IF(N47="","",IF(N47=0,$B$8,$B$8+Y47*P47/N47))</f>
        <v/>
      </c>
      <c r="S47" s="12">
        <f>IFERROR(SQRT((Q47-H47)^2+(R47-I47)^2),"")</f>
        <v/>
      </c>
      <c r="T47">
        <f>20</f>
        <v/>
      </c>
      <c r="U47">
        <f>IF(T47&gt;4*$E$9,"",MIN(INT(T47/$E$9)+1,4))</f>
        <v/>
      </c>
      <c r="V47">
        <f>IF(T47=4*$E$9,-$E$6/2,IF(U47="","",CHOOSE(U47,-$E$6/2+MOD(T47,$E$9)/$E$9*$E$6,$E$6/2,$E$6/2-MOD(T47,$E$9)/$E$9*$E$6,-$E$6/2)))</f>
        <v/>
      </c>
      <c r="W47">
        <f>IF(T47=4*$E$9,-$E$7/2,IF(U47="","",CHOOSE(U47,-$E$7/2,-$E$7/2+MOD(T47,$E$9)/$E$9*$E$7,$E$7/2,$E$7/2-MOD(T47,$E$9)/$E$9*$E$7)))</f>
        <v/>
      </c>
      <c r="X47">
        <f>IF(OR($E$13&lt;&gt;"OK",M47=""),"",IF(M47&lt;=$A$19,$D$19,IF(M47&gt;=INDEX($A$19:$A$2018,$E$12),INDEX($D$19:$D$2018,$E$12),INDEX($D$19:$D$2018,MATCH(M47,$A$19:INDEX($A$19:$A$2018,$E$12),1))+(M47-INDEX($A$19:$A$2018,MATCH(M47,$A$19:INDEX($A$19:$A$2018,$E$12),1)))*(INDEX($D$19:$D$2018,MATCH(M47,$A$19:INDEX($A$19:$A$2018,$E$12),1)+1)-INDEX($D$19:$D$2018,MATCH(M47,$A$19:INDEX($A$19:$A$2018,$E$12),1)))/(INDEX($A$19:$A$2018,MATCH(M47,$A$19:INDEX($A$19:$A$2018,$E$12),1)+1)-INDEX($A$19:$A$2018,MATCH(M47,$A$19:INDEX($A$19:$A$2018,$E$12),1))))))</f>
        <v/>
      </c>
      <c r="Y47">
        <f>IF(X47="","",X47*1000/$B$4)</f>
        <v/>
      </c>
    </row>
    <row r="48">
      <c r="A48" s="10" t="n"/>
      <c r="B48" s="10" t="n"/>
      <c r="C48" s="11">
        <f>IF(A48="","",$B$5*TAN(RADIANS(A48)))</f>
        <v/>
      </c>
      <c r="D48" s="11">
        <f>IF(C48="","",C48*(1+B48/100))</f>
        <v/>
      </c>
      <c r="E48" s="11">
        <f>IF(A48="","",$B$6*TAN(RADIANS(A48)))</f>
        <v/>
      </c>
      <c r="G48" s="12">
        <f>IF(U48="","",T48)</f>
        <v/>
      </c>
      <c r="H48" s="12">
        <f>IF(U48="","",$E$4+V48*COS(RADIANS($E$8))-W48*SIN(RADIANS($E$8)))</f>
        <v/>
      </c>
      <c r="I48" s="12">
        <f>IF(U48="","",$E$5+V48*SIN(RADIANS($E$8))+W48*COS(RADIANS($E$8)))</f>
        <v/>
      </c>
      <c r="J48" s="12">
        <f>IF(H48="","",H48-$B$7)</f>
        <v/>
      </c>
      <c r="K48" s="12">
        <f>IF(I48="","",I48-$B$8)</f>
        <v/>
      </c>
      <c r="L48" s="12">
        <f>IFERROR(SQRT(J48^2+K48^2)*$B$4/1000,"")</f>
        <v/>
      </c>
      <c r="M48" s="12">
        <f>IF(OR($E$13&lt;&gt;"OK",L48=""),"",IF(L48&lt;=$D$19,$A$19,IF(L48&gt;=INDEX($D$19:$D$2018,$E$12),INDEX($A$19:$A$2018,$E$12),INDEX($A$19:$A$2018,MATCH(L48,$D$19:INDEX($D$19:$D$2018,$E$12),1))+(L48-INDEX($D$19:$D$2018,MATCH(L48,$D$19:INDEX($D$19:$D$2018,$E$12),1)))*(INDEX($A$19:$A$2018,MATCH(L48,$D$19:INDEX($D$19:$D$2018,$E$12),1)+1)-INDEX($A$19:$A$2018,MATCH(L48,$D$19:INDEX($D$19:$D$2018,$E$12),1)))/(INDEX($D$19:$D$2018,MATCH(L48,$D$19:INDEX($D$19:$D$2018,$E$12),1)+1)-INDEX($D$19:$D$2018,MATCH(L48,$D$19:INDEX($D$19:$D$2018,$E$12),1))))))</f>
        <v/>
      </c>
      <c r="N48" s="12">
        <f>IF(M48="","",$B$6*TAN(RADIANS(M48)))</f>
        <v/>
      </c>
      <c r="O48" s="12">
        <f>IF(N48="","",IF(L48=0,0,-N48*J48/SQRT(J48^2+K48^2)))</f>
        <v/>
      </c>
      <c r="P48" s="12">
        <f>IF(N48="","",IF(L48=0,0,N48*K48/SQRT(J48^2+K48^2)))</f>
        <v/>
      </c>
      <c r="Q48" s="12">
        <f>IF(N48="","",IF(N48=0,$B$7,$B$7-Y48*O48/N48))</f>
        <v/>
      </c>
      <c r="R48" s="12">
        <f>IF(N48="","",IF(N48=0,$B$8,$B$8+Y48*P48/N48))</f>
        <v/>
      </c>
      <c r="S48" s="12">
        <f>IFERROR(SQRT((Q48-H48)^2+(R48-I48)^2),"")</f>
        <v/>
      </c>
      <c r="T48">
        <f>21</f>
        <v/>
      </c>
      <c r="U48">
        <f>IF(T48&gt;4*$E$9,"",MIN(INT(T48/$E$9)+1,4))</f>
        <v/>
      </c>
      <c r="V48">
        <f>IF(T48=4*$E$9,-$E$6/2,IF(U48="","",CHOOSE(U48,-$E$6/2+MOD(T48,$E$9)/$E$9*$E$6,$E$6/2,$E$6/2-MOD(T48,$E$9)/$E$9*$E$6,-$E$6/2)))</f>
        <v/>
      </c>
      <c r="W48">
        <f>IF(T48=4*$E$9,-$E$7/2,IF(U48="","",CHOOSE(U48,-$E$7/2,-$E$7/2+MOD(T48,$E$9)/$E$9*$E$7,$E$7/2,$E$7/2-MOD(T48,$E$9)/$E$9*$E$7)))</f>
        <v/>
      </c>
      <c r="X48">
        <f>IF(OR($E$13&lt;&gt;"OK",M48=""),"",IF(M48&lt;=$A$19,$D$19,IF(M48&gt;=INDEX($A$19:$A$2018,$E$12),INDEX($D$19:$D$2018,$E$12),INDEX($D$19:$D$2018,MATCH(M48,$A$19:INDEX($A$19:$A$2018,$E$12),1))+(M48-INDEX($A$19:$A$2018,MATCH(M48,$A$19:INDEX($A$19:$A$2018,$E$12),1)))*(INDEX($D$19:$D$2018,MATCH(M48,$A$19:INDEX($A$19:$A$2018,$E$12),1)+1)-INDEX($D$19:$D$2018,MATCH(M48,$A$19:INDEX($A$19:$A$2018,$E$12),1)))/(INDEX($A$19:$A$2018,MATCH(M48,$A$19:INDEX($A$19:$A$2018,$E$12),1)+1)-INDEX($A$19:$A$2018,MATCH(M48,$A$19:INDEX($A$19:$A$2018,$E$12),1))))))</f>
        <v/>
      </c>
      <c r="Y48">
        <f>IF(X48="","",X48*1000/$B$4)</f>
        <v/>
      </c>
    </row>
    <row r="49">
      <c r="A49" s="10" t="n"/>
      <c r="B49" s="10" t="n"/>
      <c r="C49" s="11">
        <f>IF(A49="","",$B$5*TAN(RADIANS(A49)))</f>
        <v/>
      </c>
      <c r="D49" s="11">
        <f>IF(C49="","",C49*(1+B49/100))</f>
        <v/>
      </c>
      <c r="E49" s="11">
        <f>IF(A49="","",$B$6*TAN(RADIANS(A49)))</f>
        <v/>
      </c>
      <c r="G49" s="12">
        <f>IF(U49="","",T49)</f>
        <v/>
      </c>
      <c r="H49" s="12">
        <f>IF(U49="","",$E$4+V49*COS(RADIANS($E$8))-W49*SIN(RADIANS($E$8)))</f>
        <v/>
      </c>
      <c r="I49" s="12">
        <f>IF(U49="","",$E$5+V49*SIN(RADIANS($E$8))+W49*COS(RADIANS($E$8)))</f>
        <v/>
      </c>
      <c r="J49" s="12">
        <f>IF(H49="","",H49-$B$7)</f>
        <v/>
      </c>
      <c r="K49" s="12">
        <f>IF(I49="","",I49-$B$8)</f>
        <v/>
      </c>
      <c r="L49" s="12">
        <f>IFERROR(SQRT(J49^2+K49^2)*$B$4/1000,"")</f>
        <v/>
      </c>
      <c r="M49" s="12">
        <f>IF(OR($E$13&lt;&gt;"OK",L49=""),"",IF(L49&lt;=$D$19,$A$19,IF(L49&gt;=INDEX($D$19:$D$2018,$E$12),INDEX($A$19:$A$2018,$E$12),INDEX($A$19:$A$2018,MATCH(L49,$D$19:INDEX($D$19:$D$2018,$E$12),1))+(L49-INDEX($D$19:$D$2018,MATCH(L49,$D$19:INDEX($D$19:$D$2018,$E$12),1)))*(INDEX($A$19:$A$2018,MATCH(L49,$D$19:INDEX($D$19:$D$2018,$E$12),1)+1)-INDEX($A$19:$A$2018,MATCH(L49,$D$19:INDEX($D$19:$D$2018,$E$12),1)))/(INDEX($D$19:$D$2018,MATCH(L49,$D$19:INDEX($D$19:$D$2018,$E$12),1)+1)-INDEX($D$19:$D$2018,MATCH(L49,$D$19:INDEX($D$19:$D$2018,$E$12),1))))))</f>
        <v/>
      </c>
      <c r="N49" s="12">
        <f>IF(M49="","",$B$6*TAN(RADIANS(M49)))</f>
        <v/>
      </c>
      <c r="O49" s="12">
        <f>IF(N49="","",IF(L49=0,0,-N49*J49/SQRT(J49^2+K49^2)))</f>
        <v/>
      </c>
      <c r="P49" s="12">
        <f>IF(N49="","",IF(L49=0,0,N49*K49/SQRT(J49^2+K49^2)))</f>
        <v/>
      </c>
      <c r="Q49" s="12">
        <f>IF(N49="","",IF(N49=0,$B$7,$B$7-Y49*O49/N49))</f>
        <v/>
      </c>
      <c r="R49" s="12">
        <f>IF(N49="","",IF(N49=0,$B$8,$B$8+Y49*P49/N49))</f>
        <v/>
      </c>
      <c r="S49" s="12">
        <f>IFERROR(SQRT((Q49-H49)^2+(R49-I49)^2),"")</f>
        <v/>
      </c>
      <c r="T49">
        <f>22</f>
        <v/>
      </c>
      <c r="U49">
        <f>IF(T49&gt;4*$E$9,"",MIN(INT(T49/$E$9)+1,4))</f>
        <v/>
      </c>
      <c r="V49">
        <f>IF(T49=4*$E$9,-$E$6/2,IF(U49="","",CHOOSE(U49,-$E$6/2+MOD(T49,$E$9)/$E$9*$E$6,$E$6/2,$E$6/2-MOD(T49,$E$9)/$E$9*$E$6,-$E$6/2)))</f>
        <v/>
      </c>
      <c r="W49">
        <f>IF(T49=4*$E$9,-$E$7/2,IF(U49="","",CHOOSE(U49,-$E$7/2,-$E$7/2+MOD(T49,$E$9)/$E$9*$E$7,$E$7/2,$E$7/2-MOD(T49,$E$9)/$E$9*$E$7)))</f>
        <v/>
      </c>
      <c r="X49">
        <f>IF(OR($E$13&lt;&gt;"OK",M49=""),"",IF(M49&lt;=$A$19,$D$19,IF(M49&gt;=INDEX($A$19:$A$2018,$E$12),INDEX($D$19:$D$2018,$E$12),INDEX($D$19:$D$2018,MATCH(M49,$A$19:INDEX($A$19:$A$2018,$E$12),1))+(M49-INDEX($A$19:$A$2018,MATCH(M49,$A$19:INDEX($A$19:$A$2018,$E$12),1)))*(INDEX($D$19:$D$2018,MATCH(M49,$A$19:INDEX($A$19:$A$2018,$E$12),1)+1)-INDEX($D$19:$D$2018,MATCH(M49,$A$19:INDEX($A$19:$A$2018,$E$12),1)))/(INDEX($A$19:$A$2018,MATCH(M49,$A$19:INDEX($A$19:$A$2018,$E$12),1)+1)-INDEX($A$19:$A$2018,MATCH(M49,$A$19:INDEX($A$19:$A$2018,$E$12),1))))))</f>
        <v/>
      </c>
      <c r="Y49">
        <f>IF(X49="","",X49*1000/$B$4)</f>
        <v/>
      </c>
    </row>
    <row r="50">
      <c r="A50" s="10" t="n"/>
      <c r="B50" s="10" t="n"/>
      <c r="C50" s="11">
        <f>IF(A50="","",$B$5*TAN(RADIANS(A50)))</f>
        <v/>
      </c>
      <c r="D50" s="11">
        <f>IF(C50="","",C50*(1+B50/100))</f>
        <v/>
      </c>
      <c r="E50" s="11">
        <f>IF(A50="","",$B$6*TAN(RADIANS(A50)))</f>
        <v/>
      </c>
      <c r="G50" s="12">
        <f>IF(U50="","",T50)</f>
        <v/>
      </c>
      <c r="H50" s="12">
        <f>IF(U50="","",$E$4+V50*COS(RADIANS($E$8))-W50*SIN(RADIANS($E$8)))</f>
        <v/>
      </c>
      <c r="I50" s="12">
        <f>IF(U50="","",$E$5+V50*SIN(RADIANS($E$8))+W50*COS(RADIANS($E$8)))</f>
        <v/>
      </c>
      <c r="J50" s="12">
        <f>IF(H50="","",H50-$B$7)</f>
        <v/>
      </c>
      <c r="K50" s="12">
        <f>IF(I50="","",I50-$B$8)</f>
        <v/>
      </c>
      <c r="L50" s="12">
        <f>IFERROR(SQRT(J50^2+K50^2)*$B$4/1000,"")</f>
        <v/>
      </c>
      <c r="M50" s="12">
        <f>IF(OR($E$13&lt;&gt;"OK",L50=""),"",IF(L50&lt;=$D$19,$A$19,IF(L50&gt;=INDEX($D$19:$D$2018,$E$12),INDEX($A$19:$A$2018,$E$12),INDEX($A$19:$A$2018,MATCH(L50,$D$19:INDEX($D$19:$D$2018,$E$12),1))+(L50-INDEX($D$19:$D$2018,MATCH(L50,$D$19:INDEX($D$19:$D$2018,$E$12),1)))*(INDEX($A$19:$A$2018,MATCH(L50,$D$19:INDEX($D$19:$D$2018,$E$12),1)+1)-INDEX($A$19:$A$2018,MATCH(L50,$D$19:INDEX($D$19:$D$2018,$E$12),1)))/(INDEX($D$19:$D$2018,MATCH(L50,$D$19:INDEX($D$19:$D$2018,$E$12),1)+1)-INDEX($D$19:$D$2018,MATCH(L50,$D$19:INDEX($D$19:$D$2018,$E$12),1))))))</f>
        <v/>
      </c>
      <c r="N50" s="12">
        <f>IF(M50="","",$B$6*TAN(RADIANS(M50)))</f>
        <v/>
      </c>
      <c r="O50" s="12">
        <f>IF(N50="","",IF(L50=0,0,-N50*J50/SQRT(J50^2+K50^2)))</f>
        <v/>
      </c>
      <c r="P50" s="12">
        <f>IF(N50="","",IF(L50=0,0,N50*K50/SQRT(J50^2+K50^2)))</f>
        <v/>
      </c>
      <c r="Q50" s="12">
        <f>IF(N50="","",IF(N50=0,$B$7,$B$7-Y50*O50/N50))</f>
        <v/>
      </c>
      <c r="R50" s="12">
        <f>IF(N50="","",IF(N50=0,$B$8,$B$8+Y50*P50/N50))</f>
        <v/>
      </c>
      <c r="S50" s="12">
        <f>IFERROR(SQRT((Q50-H50)^2+(R50-I50)^2),"")</f>
        <v/>
      </c>
      <c r="T50">
        <f>23</f>
        <v/>
      </c>
      <c r="U50">
        <f>IF(T50&gt;4*$E$9,"",MIN(INT(T50/$E$9)+1,4))</f>
        <v/>
      </c>
      <c r="V50">
        <f>IF(T50=4*$E$9,-$E$6/2,IF(U50="","",CHOOSE(U50,-$E$6/2+MOD(T50,$E$9)/$E$9*$E$6,$E$6/2,$E$6/2-MOD(T50,$E$9)/$E$9*$E$6,-$E$6/2)))</f>
        <v/>
      </c>
      <c r="W50">
        <f>IF(T50=4*$E$9,-$E$7/2,IF(U50="","",CHOOSE(U50,-$E$7/2,-$E$7/2+MOD(T50,$E$9)/$E$9*$E$7,$E$7/2,$E$7/2-MOD(T50,$E$9)/$E$9*$E$7)))</f>
        <v/>
      </c>
      <c r="X50">
        <f>IF(OR($E$13&lt;&gt;"OK",M50=""),"",IF(M50&lt;=$A$19,$D$19,IF(M50&gt;=INDEX($A$19:$A$2018,$E$12),INDEX($D$19:$D$2018,$E$12),INDEX($D$19:$D$2018,MATCH(M50,$A$19:INDEX($A$19:$A$2018,$E$12),1))+(M50-INDEX($A$19:$A$2018,MATCH(M50,$A$19:INDEX($A$19:$A$2018,$E$12),1)))*(INDEX($D$19:$D$2018,MATCH(M50,$A$19:INDEX($A$19:$A$2018,$E$12),1)+1)-INDEX($D$19:$D$2018,MATCH(M50,$A$19:INDEX($A$19:$A$2018,$E$12),1)))/(INDEX($A$19:$A$2018,MATCH(M50,$A$19:INDEX($A$19:$A$2018,$E$12),1)+1)-INDEX($A$19:$A$2018,MATCH(M50,$A$19:INDEX($A$19:$A$2018,$E$12),1))))))</f>
        <v/>
      </c>
      <c r="Y50">
        <f>IF(X50="","",X50*1000/$B$4)</f>
        <v/>
      </c>
    </row>
    <row r="51">
      <c r="A51" s="10" t="n"/>
      <c r="B51" s="10" t="n"/>
      <c r="C51" s="11">
        <f>IF(A51="","",$B$5*TAN(RADIANS(A51)))</f>
        <v/>
      </c>
      <c r="D51" s="11">
        <f>IF(C51="","",C51*(1+B51/100))</f>
        <v/>
      </c>
      <c r="E51" s="11">
        <f>IF(A51="","",$B$6*TAN(RADIANS(A51)))</f>
        <v/>
      </c>
      <c r="G51" s="12">
        <f>IF(U51="","",T51)</f>
        <v/>
      </c>
      <c r="H51" s="12">
        <f>IF(U51="","",$E$4+V51*COS(RADIANS($E$8))-W51*SIN(RADIANS($E$8)))</f>
        <v/>
      </c>
      <c r="I51" s="12">
        <f>IF(U51="","",$E$5+V51*SIN(RADIANS($E$8))+W51*COS(RADIANS($E$8)))</f>
        <v/>
      </c>
      <c r="J51" s="12">
        <f>IF(H51="","",H51-$B$7)</f>
        <v/>
      </c>
      <c r="K51" s="12">
        <f>IF(I51="","",I51-$B$8)</f>
        <v/>
      </c>
      <c r="L51" s="12">
        <f>IFERROR(SQRT(J51^2+K51^2)*$B$4/1000,"")</f>
        <v/>
      </c>
      <c r="M51" s="12">
        <f>IF(OR($E$13&lt;&gt;"OK",L51=""),"",IF(L51&lt;=$D$19,$A$19,IF(L51&gt;=INDEX($D$19:$D$2018,$E$12),INDEX($A$19:$A$2018,$E$12),INDEX($A$19:$A$2018,MATCH(L51,$D$19:INDEX($D$19:$D$2018,$E$12),1))+(L51-INDEX($D$19:$D$2018,MATCH(L51,$D$19:INDEX($D$19:$D$2018,$E$12),1)))*(INDEX($A$19:$A$2018,MATCH(L51,$D$19:INDEX($D$19:$D$2018,$E$12),1)+1)-INDEX($A$19:$A$2018,MATCH(L51,$D$19:INDEX($D$19:$D$2018,$E$12),1)))/(INDEX($D$19:$D$2018,MATCH(L51,$D$19:INDEX($D$19:$D$2018,$E$12),1)+1)-INDEX($D$19:$D$2018,MATCH(L51,$D$19:INDEX($D$19:$D$2018,$E$12),1))))))</f>
        <v/>
      </c>
      <c r="N51" s="12">
        <f>IF(M51="","",$B$6*TAN(RADIANS(M51)))</f>
        <v/>
      </c>
      <c r="O51" s="12">
        <f>IF(N51="","",IF(L51=0,0,-N51*J51/SQRT(J51^2+K51^2)))</f>
        <v/>
      </c>
      <c r="P51" s="12">
        <f>IF(N51="","",IF(L51=0,0,N51*K51/SQRT(J51^2+K51^2)))</f>
        <v/>
      </c>
      <c r="Q51" s="12">
        <f>IF(N51="","",IF(N51=0,$B$7,$B$7-Y51*O51/N51))</f>
        <v/>
      </c>
      <c r="R51" s="12">
        <f>IF(N51="","",IF(N51=0,$B$8,$B$8+Y51*P51/N51))</f>
        <v/>
      </c>
      <c r="S51" s="12">
        <f>IFERROR(SQRT((Q51-H51)^2+(R51-I51)^2),"")</f>
        <v/>
      </c>
      <c r="T51">
        <f>24</f>
        <v/>
      </c>
      <c r="U51">
        <f>IF(T51&gt;4*$E$9,"",MIN(INT(T51/$E$9)+1,4))</f>
        <v/>
      </c>
      <c r="V51">
        <f>IF(T51=4*$E$9,-$E$6/2,IF(U51="","",CHOOSE(U51,-$E$6/2+MOD(T51,$E$9)/$E$9*$E$6,$E$6/2,$E$6/2-MOD(T51,$E$9)/$E$9*$E$6,-$E$6/2)))</f>
        <v/>
      </c>
      <c r="W51">
        <f>IF(T51=4*$E$9,-$E$7/2,IF(U51="","",CHOOSE(U51,-$E$7/2,-$E$7/2+MOD(T51,$E$9)/$E$9*$E$7,$E$7/2,$E$7/2-MOD(T51,$E$9)/$E$9*$E$7)))</f>
        <v/>
      </c>
      <c r="X51">
        <f>IF(OR($E$13&lt;&gt;"OK",M51=""),"",IF(M51&lt;=$A$19,$D$19,IF(M51&gt;=INDEX($A$19:$A$2018,$E$12),INDEX($D$19:$D$2018,$E$12),INDEX($D$19:$D$2018,MATCH(M51,$A$19:INDEX($A$19:$A$2018,$E$12),1))+(M51-INDEX($A$19:$A$2018,MATCH(M51,$A$19:INDEX($A$19:$A$2018,$E$12),1)))*(INDEX($D$19:$D$2018,MATCH(M51,$A$19:INDEX($A$19:$A$2018,$E$12),1)+1)-INDEX($D$19:$D$2018,MATCH(M51,$A$19:INDEX($A$19:$A$2018,$E$12),1)))/(INDEX($A$19:$A$2018,MATCH(M51,$A$19:INDEX($A$19:$A$2018,$E$12),1)+1)-INDEX($A$19:$A$2018,MATCH(M51,$A$19:INDEX($A$19:$A$2018,$E$12),1))))))</f>
        <v/>
      </c>
      <c r="Y51">
        <f>IF(X51="","",X51*1000/$B$4)</f>
        <v/>
      </c>
    </row>
    <row r="52">
      <c r="A52" s="10" t="n"/>
      <c r="B52" s="10" t="n"/>
      <c r="C52" s="11">
        <f>IF(A52="","",$B$5*TAN(RADIANS(A52)))</f>
        <v/>
      </c>
      <c r="D52" s="11">
        <f>IF(C52="","",C52*(1+B52/100))</f>
        <v/>
      </c>
      <c r="E52" s="11">
        <f>IF(A52="","",$B$6*TAN(RADIANS(A52)))</f>
        <v/>
      </c>
      <c r="G52" s="12">
        <f>IF(U52="","",T52)</f>
        <v/>
      </c>
      <c r="H52" s="12">
        <f>IF(U52="","",$E$4+V52*COS(RADIANS($E$8))-W52*SIN(RADIANS($E$8)))</f>
        <v/>
      </c>
      <c r="I52" s="12">
        <f>IF(U52="","",$E$5+V52*SIN(RADIANS($E$8))+W52*COS(RADIANS($E$8)))</f>
        <v/>
      </c>
      <c r="J52" s="12">
        <f>IF(H52="","",H52-$B$7)</f>
        <v/>
      </c>
      <c r="K52" s="12">
        <f>IF(I52="","",I52-$B$8)</f>
        <v/>
      </c>
      <c r="L52" s="12">
        <f>IFERROR(SQRT(J52^2+K52^2)*$B$4/1000,"")</f>
        <v/>
      </c>
      <c r="M52" s="12">
        <f>IF(OR($E$13&lt;&gt;"OK",L52=""),"",IF(L52&lt;=$D$19,$A$19,IF(L52&gt;=INDEX($D$19:$D$2018,$E$12),INDEX($A$19:$A$2018,$E$12),INDEX($A$19:$A$2018,MATCH(L52,$D$19:INDEX($D$19:$D$2018,$E$12),1))+(L52-INDEX($D$19:$D$2018,MATCH(L52,$D$19:INDEX($D$19:$D$2018,$E$12),1)))*(INDEX($A$19:$A$2018,MATCH(L52,$D$19:INDEX($D$19:$D$2018,$E$12),1)+1)-INDEX($A$19:$A$2018,MATCH(L52,$D$19:INDEX($D$19:$D$2018,$E$12),1)))/(INDEX($D$19:$D$2018,MATCH(L52,$D$19:INDEX($D$19:$D$2018,$E$12),1)+1)-INDEX($D$19:$D$2018,MATCH(L52,$D$19:INDEX($D$19:$D$2018,$E$12),1))))))</f>
        <v/>
      </c>
      <c r="N52" s="12">
        <f>IF(M52="","",$B$6*TAN(RADIANS(M52)))</f>
        <v/>
      </c>
      <c r="O52" s="12">
        <f>IF(N52="","",IF(L52=0,0,-N52*J52/SQRT(J52^2+K52^2)))</f>
        <v/>
      </c>
      <c r="P52" s="12">
        <f>IF(N52="","",IF(L52=0,0,N52*K52/SQRT(J52^2+K52^2)))</f>
        <v/>
      </c>
      <c r="Q52" s="12">
        <f>IF(N52="","",IF(N52=0,$B$7,$B$7-Y52*O52/N52))</f>
        <v/>
      </c>
      <c r="R52" s="12">
        <f>IF(N52="","",IF(N52=0,$B$8,$B$8+Y52*P52/N52))</f>
        <v/>
      </c>
      <c r="S52" s="12">
        <f>IFERROR(SQRT((Q52-H52)^2+(R52-I52)^2),"")</f>
        <v/>
      </c>
      <c r="T52">
        <f>25</f>
        <v/>
      </c>
      <c r="U52">
        <f>IF(T52&gt;4*$E$9,"",MIN(INT(T52/$E$9)+1,4))</f>
        <v/>
      </c>
      <c r="V52">
        <f>IF(T52=4*$E$9,-$E$6/2,IF(U52="","",CHOOSE(U52,-$E$6/2+MOD(T52,$E$9)/$E$9*$E$6,$E$6/2,$E$6/2-MOD(T52,$E$9)/$E$9*$E$6,-$E$6/2)))</f>
        <v/>
      </c>
      <c r="W52">
        <f>IF(T52=4*$E$9,-$E$7/2,IF(U52="","",CHOOSE(U52,-$E$7/2,-$E$7/2+MOD(T52,$E$9)/$E$9*$E$7,$E$7/2,$E$7/2-MOD(T52,$E$9)/$E$9*$E$7)))</f>
        <v/>
      </c>
      <c r="X52">
        <f>IF(OR($E$13&lt;&gt;"OK",M52=""),"",IF(M52&lt;=$A$19,$D$19,IF(M52&gt;=INDEX($A$19:$A$2018,$E$12),INDEX($D$19:$D$2018,$E$12),INDEX($D$19:$D$2018,MATCH(M52,$A$19:INDEX($A$19:$A$2018,$E$12),1))+(M52-INDEX($A$19:$A$2018,MATCH(M52,$A$19:INDEX($A$19:$A$2018,$E$12),1)))*(INDEX($D$19:$D$2018,MATCH(M52,$A$19:INDEX($A$19:$A$2018,$E$12),1)+1)-INDEX($D$19:$D$2018,MATCH(M52,$A$19:INDEX($A$19:$A$2018,$E$12),1)))/(INDEX($A$19:$A$2018,MATCH(M52,$A$19:INDEX($A$19:$A$2018,$E$12),1)+1)-INDEX($A$19:$A$2018,MATCH(M52,$A$19:INDEX($A$19:$A$2018,$E$12),1))))))</f>
        <v/>
      </c>
      <c r="Y52">
        <f>IF(X52="","",X52*1000/$B$4)</f>
        <v/>
      </c>
    </row>
    <row r="53">
      <c r="A53" s="10" t="n"/>
      <c r="B53" s="10" t="n"/>
      <c r="C53" s="11">
        <f>IF(A53="","",$B$5*TAN(RADIANS(A53)))</f>
        <v/>
      </c>
      <c r="D53" s="11">
        <f>IF(C53="","",C53*(1+B53/100))</f>
        <v/>
      </c>
      <c r="E53" s="11">
        <f>IF(A53="","",$B$6*TAN(RADIANS(A53)))</f>
        <v/>
      </c>
      <c r="G53" s="12">
        <f>IF(U53="","",T53)</f>
        <v/>
      </c>
      <c r="H53" s="12">
        <f>IF(U53="","",$E$4+V53*COS(RADIANS($E$8))-W53*SIN(RADIANS($E$8)))</f>
        <v/>
      </c>
      <c r="I53" s="12">
        <f>IF(U53="","",$E$5+V53*SIN(RADIANS($E$8))+W53*COS(RADIANS($E$8)))</f>
        <v/>
      </c>
      <c r="J53" s="12">
        <f>IF(H53="","",H53-$B$7)</f>
        <v/>
      </c>
      <c r="K53" s="12">
        <f>IF(I53="","",I53-$B$8)</f>
        <v/>
      </c>
      <c r="L53" s="12">
        <f>IFERROR(SQRT(J53^2+K53^2)*$B$4/1000,"")</f>
        <v/>
      </c>
      <c r="M53" s="12">
        <f>IF(OR($E$13&lt;&gt;"OK",L53=""),"",IF(L53&lt;=$D$19,$A$19,IF(L53&gt;=INDEX($D$19:$D$2018,$E$12),INDEX($A$19:$A$2018,$E$12),INDEX($A$19:$A$2018,MATCH(L53,$D$19:INDEX($D$19:$D$2018,$E$12),1))+(L53-INDEX($D$19:$D$2018,MATCH(L53,$D$19:INDEX($D$19:$D$2018,$E$12),1)))*(INDEX($A$19:$A$2018,MATCH(L53,$D$19:INDEX($D$19:$D$2018,$E$12),1)+1)-INDEX($A$19:$A$2018,MATCH(L53,$D$19:INDEX($D$19:$D$2018,$E$12),1)))/(INDEX($D$19:$D$2018,MATCH(L53,$D$19:INDEX($D$19:$D$2018,$E$12),1)+1)-INDEX($D$19:$D$2018,MATCH(L53,$D$19:INDEX($D$19:$D$2018,$E$12),1))))))</f>
        <v/>
      </c>
      <c r="N53" s="12">
        <f>IF(M53="","",$B$6*TAN(RADIANS(M53)))</f>
        <v/>
      </c>
      <c r="O53" s="12">
        <f>IF(N53="","",IF(L53=0,0,-N53*J53/SQRT(J53^2+K53^2)))</f>
        <v/>
      </c>
      <c r="P53" s="12">
        <f>IF(N53="","",IF(L53=0,0,N53*K53/SQRT(J53^2+K53^2)))</f>
        <v/>
      </c>
      <c r="Q53" s="12">
        <f>IF(N53="","",IF(N53=0,$B$7,$B$7-Y53*O53/N53))</f>
        <v/>
      </c>
      <c r="R53" s="12">
        <f>IF(N53="","",IF(N53=0,$B$8,$B$8+Y53*P53/N53))</f>
        <v/>
      </c>
      <c r="S53" s="12">
        <f>IFERROR(SQRT((Q53-H53)^2+(R53-I53)^2),"")</f>
        <v/>
      </c>
      <c r="T53">
        <f>26</f>
        <v/>
      </c>
      <c r="U53">
        <f>IF(T53&gt;4*$E$9,"",MIN(INT(T53/$E$9)+1,4))</f>
        <v/>
      </c>
      <c r="V53">
        <f>IF(T53=4*$E$9,-$E$6/2,IF(U53="","",CHOOSE(U53,-$E$6/2+MOD(T53,$E$9)/$E$9*$E$6,$E$6/2,$E$6/2-MOD(T53,$E$9)/$E$9*$E$6,-$E$6/2)))</f>
        <v/>
      </c>
      <c r="W53">
        <f>IF(T53=4*$E$9,-$E$7/2,IF(U53="","",CHOOSE(U53,-$E$7/2,-$E$7/2+MOD(T53,$E$9)/$E$9*$E$7,$E$7/2,$E$7/2-MOD(T53,$E$9)/$E$9*$E$7)))</f>
        <v/>
      </c>
      <c r="X53">
        <f>IF(OR($E$13&lt;&gt;"OK",M53=""),"",IF(M53&lt;=$A$19,$D$19,IF(M53&gt;=INDEX($A$19:$A$2018,$E$12),INDEX($D$19:$D$2018,$E$12),INDEX($D$19:$D$2018,MATCH(M53,$A$19:INDEX($A$19:$A$2018,$E$12),1))+(M53-INDEX($A$19:$A$2018,MATCH(M53,$A$19:INDEX($A$19:$A$2018,$E$12),1)))*(INDEX($D$19:$D$2018,MATCH(M53,$A$19:INDEX($A$19:$A$2018,$E$12),1)+1)-INDEX($D$19:$D$2018,MATCH(M53,$A$19:INDEX($A$19:$A$2018,$E$12),1)))/(INDEX($A$19:$A$2018,MATCH(M53,$A$19:INDEX($A$19:$A$2018,$E$12),1)+1)-INDEX($A$19:$A$2018,MATCH(M53,$A$19:INDEX($A$19:$A$2018,$E$12),1))))))</f>
        <v/>
      </c>
      <c r="Y53">
        <f>IF(X53="","",X53*1000/$B$4)</f>
        <v/>
      </c>
    </row>
    <row r="54">
      <c r="A54" s="10" t="n"/>
      <c r="B54" s="10" t="n"/>
      <c r="C54" s="11">
        <f>IF(A54="","",$B$5*TAN(RADIANS(A54)))</f>
        <v/>
      </c>
      <c r="D54" s="11">
        <f>IF(C54="","",C54*(1+B54/100))</f>
        <v/>
      </c>
      <c r="E54" s="11">
        <f>IF(A54="","",$B$6*TAN(RADIANS(A54)))</f>
        <v/>
      </c>
      <c r="G54" s="12">
        <f>IF(U54="","",T54)</f>
        <v/>
      </c>
      <c r="H54" s="12">
        <f>IF(U54="","",$E$4+V54*COS(RADIANS($E$8))-W54*SIN(RADIANS($E$8)))</f>
        <v/>
      </c>
      <c r="I54" s="12">
        <f>IF(U54="","",$E$5+V54*SIN(RADIANS($E$8))+W54*COS(RADIANS($E$8)))</f>
        <v/>
      </c>
      <c r="J54" s="12">
        <f>IF(H54="","",H54-$B$7)</f>
        <v/>
      </c>
      <c r="K54" s="12">
        <f>IF(I54="","",I54-$B$8)</f>
        <v/>
      </c>
      <c r="L54" s="12">
        <f>IFERROR(SQRT(J54^2+K54^2)*$B$4/1000,"")</f>
        <v/>
      </c>
      <c r="M54" s="12">
        <f>IF(OR($E$13&lt;&gt;"OK",L54=""),"",IF(L54&lt;=$D$19,$A$19,IF(L54&gt;=INDEX($D$19:$D$2018,$E$12),INDEX($A$19:$A$2018,$E$12),INDEX($A$19:$A$2018,MATCH(L54,$D$19:INDEX($D$19:$D$2018,$E$12),1))+(L54-INDEX($D$19:$D$2018,MATCH(L54,$D$19:INDEX($D$19:$D$2018,$E$12),1)))*(INDEX($A$19:$A$2018,MATCH(L54,$D$19:INDEX($D$19:$D$2018,$E$12),1)+1)-INDEX($A$19:$A$2018,MATCH(L54,$D$19:INDEX($D$19:$D$2018,$E$12),1)))/(INDEX($D$19:$D$2018,MATCH(L54,$D$19:INDEX($D$19:$D$2018,$E$12),1)+1)-INDEX($D$19:$D$2018,MATCH(L54,$D$19:INDEX($D$19:$D$2018,$E$12),1))))))</f>
        <v/>
      </c>
      <c r="N54" s="12">
        <f>IF(M54="","",$B$6*TAN(RADIANS(M54)))</f>
        <v/>
      </c>
      <c r="O54" s="12">
        <f>IF(N54="","",IF(L54=0,0,-N54*J54/SQRT(J54^2+K54^2)))</f>
        <v/>
      </c>
      <c r="P54" s="12">
        <f>IF(N54="","",IF(L54=0,0,N54*K54/SQRT(J54^2+K54^2)))</f>
        <v/>
      </c>
      <c r="Q54" s="12">
        <f>IF(N54="","",IF(N54=0,$B$7,$B$7-Y54*O54/N54))</f>
        <v/>
      </c>
      <c r="R54" s="12">
        <f>IF(N54="","",IF(N54=0,$B$8,$B$8+Y54*P54/N54))</f>
        <v/>
      </c>
      <c r="S54" s="12">
        <f>IFERROR(SQRT((Q54-H54)^2+(R54-I54)^2),"")</f>
        <v/>
      </c>
      <c r="T54">
        <f>27</f>
        <v/>
      </c>
      <c r="U54">
        <f>IF(T54&gt;4*$E$9,"",MIN(INT(T54/$E$9)+1,4))</f>
        <v/>
      </c>
      <c r="V54">
        <f>IF(T54=4*$E$9,-$E$6/2,IF(U54="","",CHOOSE(U54,-$E$6/2+MOD(T54,$E$9)/$E$9*$E$6,$E$6/2,$E$6/2-MOD(T54,$E$9)/$E$9*$E$6,-$E$6/2)))</f>
        <v/>
      </c>
      <c r="W54">
        <f>IF(T54=4*$E$9,-$E$7/2,IF(U54="","",CHOOSE(U54,-$E$7/2,-$E$7/2+MOD(T54,$E$9)/$E$9*$E$7,$E$7/2,$E$7/2-MOD(T54,$E$9)/$E$9*$E$7)))</f>
        <v/>
      </c>
      <c r="X54">
        <f>IF(OR($E$13&lt;&gt;"OK",M54=""),"",IF(M54&lt;=$A$19,$D$19,IF(M54&gt;=INDEX($A$19:$A$2018,$E$12),INDEX($D$19:$D$2018,$E$12),INDEX($D$19:$D$2018,MATCH(M54,$A$19:INDEX($A$19:$A$2018,$E$12),1))+(M54-INDEX($A$19:$A$2018,MATCH(M54,$A$19:INDEX($A$19:$A$2018,$E$12),1)))*(INDEX($D$19:$D$2018,MATCH(M54,$A$19:INDEX($A$19:$A$2018,$E$12),1)+1)-INDEX($D$19:$D$2018,MATCH(M54,$A$19:INDEX($A$19:$A$2018,$E$12),1)))/(INDEX($A$19:$A$2018,MATCH(M54,$A$19:INDEX($A$19:$A$2018,$E$12),1)+1)-INDEX($A$19:$A$2018,MATCH(M54,$A$19:INDEX($A$19:$A$2018,$E$12),1))))))</f>
        <v/>
      </c>
      <c r="Y54">
        <f>IF(X54="","",X54*1000/$B$4)</f>
        <v/>
      </c>
    </row>
    <row r="55">
      <c r="A55" s="10" t="n"/>
      <c r="B55" s="10" t="n"/>
      <c r="C55" s="11">
        <f>IF(A55="","",$B$5*TAN(RADIANS(A55)))</f>
        <v/>
      </c>
      <c r="D55" s="11">
        <f>IF(C55="","",C55*(1+B55/100))</f>
        <v/>
      </c>
      <c r="E55" s="11">
        <f>IF(A55="","",$B$6*TAN(RADIANS(A55)))</f>
        <v/>
      </c>
      <c r="G55" s="12">
        <f>IF(U55="","",T55)</f>
        <v/>
      </c>
      <c r="H55" s="12">
        <f>IF(U55="","",$E$4+V55*COS(RADIANS($E$8))-W55*SIN(RADIANS($E$8)))</f>
        <v/>
      </c>
      <c r="I55" s="12">
        <f>IF(U55="","",$E$5+V55*SIN(RADIANS($E$8))+W55*COS(RADIANS($E$8)))</f>
        <v/>
      </c>
      <c r="J55" s="12">
        <f>IF(H55="","",H55-$B$7)</f>
        <v/>
      </c>
      <c r="K55" s="12">
        <f>IF(I55="","",I55-$B$8)</f>
        <v/>
      </c>
      <c r="L55" s="12">
        <f>IFERROR(SQRT(J55^2+K55^2)*$B$4/1000,"")</f>
        <v/>
      </c>
      <c r="M55" s="12">
        <f>IF(OR($E$13&lt;&gt;"OK",L55=""),"",IF(L55&lt;=$D$19,$A$19,IF(L55&gt;=INDEX($D$19:$D$2018,$E$12),INDEX($A$19:$A$2018,$E$12),INDEX($A$19:$A$2018,MATCH(L55,$D$19:INDEX($D$19:$D$2018,$E$12),1))+(L55-INDEX($D$19:$D$2018,MATCH(L55,$D$19:INDEX($D$19:$D$2018,$E$12),1)))*(INDEX($A$19:$A$2018,MATCH(L55,$D$19:INDEX($D$19:$D$2018,$E$12),1)+1)-INDEX($A$19:$A$2018,MATCH(L55,$D$19:INDEX($D$19:$D$2018,$E$12),1)))/(INDEX($D$19:$D$2018,MATCH(L55,$D$19:INDEX($D$19:$D$2018,$E$12),1)+1)-INDEX($D$19:$D$2018,MATCH(L55,$D$19:INDEX($D$19:$D$2018,$E$12),1))))))</f>
        <v/>
      </c>
      <c r="N55" s="12">
        <f>IF(M55="","",$B$6*TAN(RADIANS(M55)))</f>
        <v/>
      </c>
      <c r="O55" s="12">
        <f>IF(N55="","",IF(L55=0,0,-N55*J55/SQRT(J55^2+K55^2)))</f>
        <v/>
      </c>
      <c r="P55" s="12">
        <f>IF(N55="","",IF(L55=0,0,N55*K55/SQRT(J55^2+K55^2)))</f>
        <v/>
      </c>
      <c r="Q55" s="12">
        <f>IF(N55="","",IF(N55=0,$B$7,$B$7-Y55*O55/N55))</f>
        <v/>
      </c>
      <c r="R55" s="12">
        <f>IF(N55="","",IF(N55=0,$B$8,$B$8+Y55*P55/N55))</f>
        <v/>
      </c>
      <c r="S55" s="12">
        <f>IFERROR(SQRT((Q55-H55)^2+(R55-I55)^2),"")</f>
        <v/>
      </c>
      <c r="T55">
        <f>28</f>
        <v/>
      </c>
      <c r="U55">
        <f>IF(T55&gt;4*$E$9,"",MIN(INT(T55/$E$9)+1,4))</f>
        <v/>
      </c>
      <c r="V55">
        <f>IF(T55=4*$E$9,-$E$6/2,IF(U55="","",CHOOSE(U55,-$E$6/2+MOD(T55,$E$9)/$E$9*$E$6,$E$6/2,$E$6/2-MOD(T55,$E$9)/$E$9*$E$6,-$E$6/2)))</f>
        <v/>
      </c>
      <c r="W55">
        <f>IF(T55=4*$E$9,-$E$7/2,IF(U55="","",CHOOSE(U55,-$E$7/2,-$E$7/2+MOD(T55,$E$9)/$E$9*$E$7,$E$7/2,$E$7/2-MOD(T55,$E$9)/$E$9*$E$7)))</f>
        <v/>
      </c>
      <c r="X55">
        <f>IF(OR($E$13&lt;&gt;"OK",M55=""),"",IF(M55&lt;=$A$19,$D$19,IF(M55&gt;=INDEX($A$19:$A$2018,$E$12),INDEX($D$19:$D$2018,$E$12),INDEX($D$19:$D$2018,MATCH(M55,$A$19:INDEX($A$19:$A$2018,$E$12),1))+(M55-INDEX($A$19:$A$2018,MATCH(M55,$A$19:INDEX($A$19:$A$2018,$E$12),1)))*(INDEX($D$19:$D$2018,MATCH(M55,$A$19:INDEX($A$19:$A$2018,$E$12),1)+1)-INDEX($D$19:$D$2018,MATCH(M55,$A$19:INDEX($A$19:$A$2018,$E$12),1)))/(INDEX($A$19:$A$2018,MATCH(M55,$A$19:INDEX($A$19:$A$2018,$E$12),1)+1)-INDEX($A$19:$A$2018,MATCH(M55,$A$19:INDEX($A$19:$A$2018,$E$12),1))))))</f>
        <v/>
      </c>
      <c r="Y55">
        <f>IF(X55="","",X55*1000/$B$4)</f>
        <v/>
      </c>
    </row>
    <row r="56">
      <c r="A56" s="10" t="n"/>
      <c r="B56" s="10" t="n"/>
      <c r="C56" s="11">
        <f>IF(A56="","",$B$5*TAN(RADIANS(A56)))</f>
        <v/>
      </c>
      <c r="D56" s="11">
        <f>IF(C56="","",C56*(1+B56/100))</f>
        <v/>
      </c>
      <c r="E56" s="11">
        <f>IF(A56="","",$B$6*TAN(RADIANS(A56)))</f>
        <v/>
      </c>
      <c r="G56" s="12">
        <f>IF(U56="","",T56)</f>
        <v/>
      </c>
      <c r="H56" s="12">
        <f>IF(U56="","",$E$4+V56*COS(RADIANS($E$8))-W56*SIN(RADIANS($E$8)))</f>
        <v/>
      </c>
      <c r="I56" s="12">
        <f>IF(U56="","",$E$5+V56*SIN(RADIANS($E$8))+W56*COS(RADIANS($E$8)))</f>
        <v/>
      </c>
      <c r="J56" s="12">
        <f>IF(H56="","",H56-$B$7)</f>
        <v/>
      </c>
      <c r="K56" s="12">
        <f>IF(I56="","",I56-$B$8)</f>
        <v/>
      </c>
      <c r="L56" s="12">
        <f>IFERROR(SQRT(J56^2+K56^2)*$B$4/1000,"")</f>
        <v/>
      </c>
      <c r="M56" s="12">
        <f>IF(OR($E$13&lt;&gt;"OK",L56=""),"",IF(L56&lt;=$D$19,$A$19,IF(L56&gt;=INDEX($D$19:$D$2018,$E$12),INDEX($A$19:$A$2018,$E$12),INDEX($A$19:$A$2018,MATCH(L56,$D$19:INDEX($D$19:$D$2018,$E$12),1))+(L56-INDEX($D$19:$D$2018,MATCH(L56,$D$19:INDEX($D$19:$D$2018,$E$12),1)))*(INDEX($A$19:$A$2018,MATCH(L56,$D$19:INDEX($D$19:$D$2018,$E$12),1)+1)-INDEX($A$19:$A$2018,MATCH(L56,$D$19:INDEX($D$19:$D$2018,$E$12),1)))/(INDEX($D$19:$D$2018,MATCH(L56,$D$19:INDEX($D$19:$D$2018,$E$12),1)+1)-INDEX($D$19:$D$2018,MATCH(L56,$D$19:INDEX($D$19:$D$2018,$E$12),1))))))</f>
        <v/>
      </c>
      <c r="N56" s="12">
        <f>IF(M56="","",$B$6*TAN(RADIANS(M56)))</f>
        <v/>
      </c>
      <c r="O56" s="12">
        <f>IF(N56="","",IF(L56=0,0,-N56*J56/SQRT(J56^2+K56^2)))</f>
        <v/>
      </c>
      <c r="P56" s="12">
        <f>IF(N56="","",IF(L56=0,0,N56*K56/SQRT(J56^2+K56^2)))</f>
        <v/>
      </c>
      <c r="Q56" s="12">
        <f>IF(N56="","",IF(N56=0,$B$7,$B$7-Y56*O56/N56))</f>
        <v/>
      </c>
      <c r="R56" s="12">
        <f>IF(N56="","",IF(N56=0,$B$8,$B$8+Y56*P56/N56))</f>
        <v/>
      </c>
      <c r="S56" s="12">
        <f>IFERROR(SQRT((Q56-H56)^2+(R56-I56)^2),"")</f>
        <v/>
      </c>
      <c r="T56">
        <f>29</f>
        <v/>
      </c>
      <c r="U56">
        <f>IF(T56&gt;4*$E$9,"",MIN(INT(T56/$E$9)+1,4))</f>
        <v/>
      </c>
      <c r="V56">
        <f>IF(T56=4*$E$9,-$E$6/2,IF(U56="","",CHOOSE(U56,-$E$6/2+MOD(T56,$E$9)/$E$9*$E$6,$E$6/2,$E$6/2-MOD(T56,$E$9)/$E$9*$E$6,-$E$6/2)))</f>
        <v/>
      </c>
      <c r="W56">
        <f>IF(T56=4*$E$9,-$E$7/2,IF(U56="","",CHOOSE(U56,-$E$7/2,-$E$7/2+MOD(T56,$E$9)/$E$9*$E$7,$E$7/2,$E$7/2-MOD(T56,$E$9)/$E$9*$E$7)))</f>
        <v/>
      </c>
      <c r="X56">
        <f>IF(OR($E$13&lt;&gt;"OK",M56=""),"",IF(M56&lt;=$A$19,$D$19,IF(M56&gt;=INDEX($A$19:$A$2018,$E$12),INDEX($D$19:$D$2018,$E$12),INDEX($D$19:$D$2018,MATCH(M56,$A$19:INDEX($A$19:$A$2018,$E$12),1))+(M56-INDEX($A$19:$A$2018,MATCH(M56,$A$19:INDEX($A$19:$A$2018,$E$12),1)))*(INDEX($D$19:$D$2018,MATCH(M56,$A$19:INDEX($A$19:$A$2018,$E$12),1)+1)-INDEX($D$19:$D$2018,MATCH(M56,$A$19:INDEX($A$19:$A$2018,$E$12),1)))/(INDEX($A$19:$A$2018,MATCH(M56,$A$19:INDEX($A$19:$A$2018,$E$12),1)+1)-INDEX($A$19:$A$2018,MATCH(M56,$A$19:INDEX($A$19:$A$2018,$E$12),1))))))</f>
        <v/>
      </c>
      <c r="Y56">
        <f>IF(X56="","",X56*1000/$B$4)</f>
        <v/>
      </c>
    </row>
    <row r="57">
      <c r="A57" s="10" t="n"/>
      <c r="B57" s="10" t="n"/>
      <c r="C57" s="11">
        <f>IF(A57="","",$B$5*TAN(RADIANS(A57)))</f>
        <v/>
      </c>
      <c r="D57" s="11">
        <f>IF(C57="","",C57*(1+B57/100))</f>
        <v/>
      </c>
      <c r="E57" s="11">
        <f>IF(A57="","",$B$6*TAN(RADIANS(A57)))</f>
        <v/>
      </c>
      <c r="G57" s="12">
        <f>IF(U57="","",T57)</f>
        <v/>
      </c>
      <c r="H57" s="12">
        <f>IF(U57="","",$E$4+V57*COS(RADIANS($E$8))-W57*SIN(RADIANS($E$8)))</f>
        <v/>
      </c>
      <c r="I57" s="12">
        <f>IF(U57="","",$E$5+V57*SIN(RADIANS($E$8))+W57*COS(RADIANS($E$8)))</f>
        <v/>
      </c>
      <c r="J57" s="12">
        <f>IF(H57="","",H57-$B$7)</f>
        <v/>
      </c>
      <c r="K57" s="12">
        <f>IF(I57="","",I57-$B$8)</f>
        <v/>
      </c>
      <c r="L57" s="12">
        <f>IFERROR(SQRT(J57^2+K57^2)*$B$4/1000,"")</f>
        <v/>
      </c>
      <c r="M57" s="12">
        <f>IF(OR($E$13&lt;&gt;"OK",L57=""),"",IF(L57&lt;=$D$19,$A$19,IF(L57&gt;=INDEX($D$19:$D$2018,$E$12),INDEX($A$19:$A$2018,$E$12),INDEX($A$19:$A$2018,MATCH(L57,$D$19:INDEX($D$19:$D$2018,$E$12),1))+(L57-INDEX($D$19:$D$2018,MATCH(L57,$D$19:INDEX($D$19:$D$2018,$E$12),1)))*(INDEX($A$19:$A$2018,MATCH(L57,$D$19:INDEX($D$19:$D$2018,$E$12),1)+1)-INDEX($A$19:$A$2018,MATCH(L57,$D$19:INDEX($D$19:$D$2018,$E$12),1)))/(INDEX($D$19:$D$2018,MATCH(L57,$D$19:INDEX($D$19:$D$2018,$E$12),1)+1)-INDEX($D$19:$D$2018,MATCH(L57,$D$19:INDEX($D$19:$D$2018,$E$12),1))))))</f>
        <v/>
      </c>
      <c r="N57" s="12">
        <f>IF(M57="","",$B$6*TAN(RADIANS(M57)))</f>
        <v/>
      </c>
      <c r="O57" s="12">
        <f>IF(N57="","",IF(L57=0,0,-N57*J57/SQRT(J57^2+K57^2)))</f>
        <v/>
      </c>
      <c r="P57" s="12">
        <f>IF(N57="","",IF(L57=0,0,N57*K57/SQRT(J57^2+K57^2)))</f>
        <v/>
      </c>
      <c r="Q57" s="12">
        <f>IF(N57="","",IF(N57=0,$B$7,$B$7-Y57*O57/N57))</f>
        <v/>
      </c>
      <c r="R57" s="12">
        <f>IF(N57="","",IF(N57=0,$B$8,$B$8+Y57*P57/N57))</f>
        <v/>
      </c>
      <c r="S57" s="12">
        <f>IFERROR(SQRT((Q57-H57)^2+(R57-I57)^2),"")</f>
        <v/>
      </c>
      <c r="T57">
        <f>30</f>
        <v/>
      </c>
      <c r="U57">
        <f>IF(T57&gt;4*$E$9,"",MIN(INT(T57/$E$9)+1,4))</f>
        <v/>
      </c>
      <c r="V57">
        <f>IF(T57=4*$E$9,-$E$6/2,IF(U57="","",CHOOSE(U57,-$E$6/2+MOD(T57,$E$9)/$E$9*$E$6,$E$6/2,$E$6/2-MOD(T57,$E$9)/$E$9*$E$6,-$E$6/2)))</f>
        <v/>
      </c>
      <c r="W57">
        <f>IF(T57=4*$E$9,-$E$7/2,IF(U57="","",CHOOSE(U57,-$E$7/2,-$E$7/2+MOD(T57,$E$9)/$E$9*$E$7,$E$7/2,$E$7/2-MOD(T57,$E$9)/$E$9*$E$7)))</f>
        <v/>
      </c>
      <c r="X57">
        <f>IF(OR($E$13&lt;&gt;"OK",M57=""),"",IF(M57&lt;=$A$19,$D$19,IF(M57&gt;=INDEX($A$19:$A$2018,$E$12),INDEX($D$19:$D$2018,$E$12),INDEX($D$19:$D$2018,MATCH(M57,$A$19:INDEX($A$19:$A$2018,$E$12),1))+(M57-INDEX($A$19:$A$2018,MATCH(M57,$A$19:INDEX($A$19:$A$2018,$E$12),1)))*(INDEX($D$19:$D$2018,MATCH(M57,$A$19:INDEX($A$19:$A$2018,$E$12),1)+1)-INDEX($D$19:$D$2018,MATCH(M57,$A$19:INDEX($A$19:$A$2018,$E$12),1)))/(INDEX($A$19:$A$2018,MATCH(M57,$A$19:INDEX($A$19:$A$2018,$E$12),1)+1)-INDEX($A$19:$A$2018,MATCH(M57,$A$19:INDEX($A$19:$A$2018,$E$12),1))))))</f>
        <v/>
      </c>
      <c r="Y57">
        <f>IF(X57="","",X57*1000/$B$4)</f>
        <v/>
      </c>
    </row>
    <row r="58">
      <c r="A58" s="10" t="n"/>
      <c r="B58" s="10" t="n"/>
      <c r="C58" s="11">
        <f>IF(A58="","",$B$5*TAN(RADIANS(A58)))</f>
        <v/>
      </c>
      <c r="D58" s="11">
        <f>IF(C58="","",C58*(1+B58/100))</f>
        <v/>
      </c>
      <c r="E58" s="11">
        <f>IF(A58="","",$B$6*TAN(RADIANS(A58)))</f>
        <v/>
      </c>
      <c r="G58" s="12">
        <f>IF(U58="","",T58)</f>
        <v/>
      </c>
      <c r="H58" s="12">
        <f>IF(U58="","",$E$4+V58*COS(RADIANS($E$8))-W58*SIN(RADIANS($E$8)))</f>
        <v/>
      </c>
      <c r="I58" s="12">
        <f>IF(U58="","",$E$5+V58*SIN(RADIANS($E$8))+W58*COS(RADIANS($E$8)))</f>
        <v/>
      </c>
      <c r="J58" s="12">
        <f>IF(H58="","",H58-$B$7)</f>
        <v/>
      </c>
      <c r="K58" s="12">
        <f>IF(I58="","",I58-$B$8)</f>
        <v/>
      </c>
      <c r="L58" s="12">
        <f>IFERROR(SQRT(J58^2+K58^2)*$B$4/1000,"")</f>
        <v/>
      </c>
      <c r="M58" s="12">
        <f>IF(OR($E$13&lt;&gt;"OK",L58=""),"",IF(L58&lt;=$D$19,$A$19,IF(L58&gt;=INDEX($D$19:$D$2018,$E$12),INDEX($A$19:$A$2018,$E$12),INDEX($A$19:$A$2018,MATCH(L58,$D$19:INDEX($D$19:$D$2018,$E$12),1))+(L58-INDEX($D$19:$D$2018,MATCH(L58,$D$19:INDEX($D$19:$D$2018,$E$12),1)))*(INDEX($A$19:$A$2018,MATCH(L58,$D$19:INDEX($D$19:$D$2018,$E$12),1)+1)-INDEX($A$19:$A$2018,MATCH(L58,$D$19:INDEX($D$19:$D$2018,$E$12),1)))/(INDEX($D$19:$D$2018,MATCH(L58,$D$19:INDEX($D$19:$D$2018,$E$12),1)+1)-INDEX($D$19:$D$2018,MATCH(L58,$D$19:INDEX($D$19:$D$2018,$E$12),1))))))</f>
        <v/>
      </c>
      <c r="N58" s="12">
        <f>IF(M58="","",$B$6*TAN(RADIANS(M58)))</f>
        <v/>
      </c>
      <c r="O58" s="12">
        <f>IF(N58="","",IF(L58=0,0,-N58*J58/SQRT(J58^2+K58^2)))</f>
        <v/>
      </c>
      <c r="P58" s="12">
        <f>IF(N58="","",IF(L58=0,0,N58*K58/SQRT(J58^2+K58^2)))</f>
        <v/>
      </c>
      <c r="Q58" s="12">
        <f>IF(N58="","",IF(N58=0,$B$7,$B$7-Y58*O58/N58))</f>
        <v/>
      </c>
      <c r="R58" s="12">
        <f>IF(N58="","",IF(N58=0,$B$8,$B$8+Y58*P58/N58))</f>
        <v/>
      </c>
      <c r="S58" s="12">
        <f>IFERROR(SQRT((Q58-H58)^2+(R58-I58)^2),"")</f>
        <v/>
      </c>
      <c r="T58">
        <f>31</f>
        <v/>
      </c>
      <c r="U58">
        <f>IF(T58&gt;4*$E$9,"",MIN(INT(T58/$E$9)+1,4))</f>
        <v/>
      </c>
      <c r="V58">
        <f>IF(T58=4*$E$9,-$E$6/2,IF(U58="","",CHOOSE(U58,-$E$6/2+MOD(T58,$E$9)/$E$9*$E$6,$E$6/2,$E$6/2-MOD(T58,$E$9)/$E$9*$E$6,-$E$6/2)))</f>
        <v/>
      </c>
      <c r="W58">
        <f>IF(T58=4*$E$9,-$E$7/2,IF(U58="","",CHOOSE(U58,-$E$7/2,-$E$7/2+MOD(T58,$E$9)/$E$9*$E$7,$E$7/2,$E$7/2-MOD(T58,$E$9)/$E$9*$E$7)))</f>
        <v/>
      </c>
      <c r="X58">
        <f>IF(OR($E$13&lt;&gt;"OK",M58=""),"",IF(M58&lt;=$A$19,$D$19,IF(M58&gt;=INDEX($A$19:$A$2018,$E$12),INDEX($D$19:$D$2018,$E$12),INDEX($D$19:$D$2018,MATCH(M58,$A$19:INDEX($A$19:$A$2018,$E$12),1))+(M58-INDEX($A$19:$A$2018,MATCH(M58,$A$19:INDEX($A$19:$A$2018,$E$12),1)))*(INDEX($D$19:$D$2018,MATCH(M58,$A$19:INDEX($A$19:$A$2018,$E$12),1)+1)-INDEX($D$19:$D$2018,MATCH(M58,$A$19:INDEX($A$19:$A$2018,$E$12),1)))/(INDEX($A$19:$A$2018,MATCH(M58,$A$19:INDEX($A$19:$A$2018,$E$12),1)+1)-INDEX($A$19:$A$2018,MATCH(M58,$A$19:INDEX($A$19:$A$2018,$E$12),1))))))</f>
        <v/>
      </c>
      <c r="Y58">
        <f>IF(X58="","",X58*1000/$B$4)</f>
        <v/>
      </c>
    </row>
    <row r="59">
      <c r="A59" s="10" t="n"/>
      <c r="B59" s="10" t="n"/>
      <c r="C59" s="11">
        <f>IF(A59="","",$B$5*TAN(RADIANS(A59)))</f>
        <v/>
      </c>
      <c r="D59" s="11">
        <f>IF(C59="","",C59*(1+B59/100))</f>
        <v/>
      </c>
      <c r="E59" s="11">
        <f>IF(A59="","",$B$6*TAN(RADIANS(A59)))</f>
        <v/>
      </c>
      <c r="G59" s="12">
        <f>IF(U59="","",T59)</f>
        <v/>
      </c>
      <c r="H59" s="12">
        <f>IF(U59="","",$E$4+V59*COS(RADIANS($E$8))-W59*SIN(RADIANS($E$8)))</f>
        <v/>
      </c>
      <c r="I59" s="12">
        <f>IF(U59="","",$E$5+V59*SIN(RADIANS($E$8))+W59*COS(RADIANS($E$8)))</f>
        <v/>
      </c>
      <c r="J59" s="12">
        <f>IF(H59="","",H59-$B$7)</f>
        <v/>
      </c>
      <c r="K59" s="12">
        <f>IF(I59="","",I59-$B$8)</f>
        <v/>
      </c>
      <c r="L59" s="12">
        <f>IFERROR(SQRT(J59^2+K59^2)*$B$4/1000,"")</f>
        <v/>
      </c>
      <c r="M59" s="12">
        <f>IF(OR($E$13&lt;&gt;"OK",L59=""),"",IF(L59&lt;=$D$19,$A$19,IF(L59&gt;=INDEX($D$19:$D$2018,$E$12),INDEX($A$19:$A$2018,$E$12),INDEX($A$19:$A$2018,MATCH(L59,$D$19:INDEX($D$19:$D$2018,$E$12),1))+(L59-INDEX($D$19:$D$2018,MATCH(L59,$D$19:INDEX($D$19:$D$2018,$E$12),1)))*(INDEX($A$19:$A$2018,MATCH(L59,$D$19:INDEX($D$19:$D$2018,$E$12),1)+1)-INDEX($A$19:$A$2018,MATCH(L59,$D$19:INDEX($D$19:$D$2018,$E$12),1)))/(INDEX($D$19:$D$2018,MATCH(L59,$D$19:INDEX($D$19:$D$2018,$E$12),1)+1)-INDEX($D$19:$D$2018,MATCH(L59,$D$19:INDEX($D$19:$D$2018,$E$12),1))))))</f>
        <v/>
      </c>
      <c r="N59" s="12">
        <f>IF(M59="","",$B$6*TAN(RADIANS(M59)))</f>
        <v/>
      </c>
      <c r="O59" s="12">
        <f>IF(N59="","",IF(L59=0,0,-N59*J59/SQRT(J59^2+K59^2)))</f>
        <v/>
      </c>
      <c r="P59" s="12">
        <f>IF(N59="","",IF(L59=0,0,N59*K59/SQRT(J59^2+K59^2)))</f>
        <v/>
      </c>
      <c r="Q59" s="12">
        <f>IF(N59="","",IF(N59=0,$B$7,$B$7-Y59*O59/N59))</f>
        <v/>
      </c>
      <c r="R59" s="12">
        <f>IF(N59="","",IF(N59=0,$B$8,$B$8+Y59*P59/N59))</f>
        <v/>
      </c>
      <c r="S59" s="12">
        <f>IFERROR(SQRT((Q59-H59)^2+(R59-I59)^2),"")</f>
        <v/>
      </c>
      <c r="T59">
        <f>32</f>
        <v/>
      </c>
      <c r="U59">
        <f>IF(T59&gt;4*$E$9,"",MIN(INT(T59/$E$9)+1,4))</f>
        <v/>
      </c>
      <c r="V59">
        <f>IF(T59=4*$E$9,-$E$6/2,IF(U59="","",CHOOSE(U59,-$E$6/2+MOD(T59,$E$9)/$E$9*$E$6,$E$6/2,$E$6/2-MOD(T59,$E$9)/$E$9*$E$6,-$E$6/2)))</f>
        <v/>
      </c>
      <c r="W59">
        <f>IF(T59=4*$E$9,-$E$7/2,IF(U59="","",CHOOSE(U59,-$E$7/2,-$E$7/2+MOD(T59,$E$9)/$E$9*$E$7,$E$7/2,$E$7/2-MOD(T59,$E$9)/$E$9*$E$7)))</f>
        <v/>
      </c>
      <c r="X59">
        <f>IF(OR($E$13&lt;&gt;"OK",M59=""),"",IF(M59&lt;=$A$19,$D$19,IF(M59&gt;=INDEX($A$19:$A$2018,$E$12),INDEX($D$19:$D$2018,$E$12),INDEX($D$19:$D$2018,MATCH(M59,$A$19:INDEX($A$19:$A$2018,$E$12),1))+(M59-INDEX($A$19:$A$2018,MATCH(M59,$A$19:INDEX($A$19:$A$2018,$E$12),1)))*(INDEX($D$19:$D$2018,MATCH(M59,$A$19:INDEX($A$19:$A$2018,$E$12),1)+1)-INDEX($D$19:$D$2018,MATCH(M59,$A$19:INDEX($A$19:$A$2018,$E$12),1)))/(INDEX($A$19:$A$2018,MATCH(M59,$A$19:INDEX($A$19:$A$2018,$E$12),1)+1)-INDEX($A$19:$A$2018,MATCH(M59,$A$19:INDEX($A$19:$A$2018,$E$12),1))))))</f>
        <v/>
      </c>
      <c r="Y59">
        <f>IF(X59="","",X59*1000/$B$4)</f>
        <v/>
      </c>
    </row>
    <row r="60">
      <c r="A60" s="10" t="n"/>
      <c r="B60" s="10" t="n"/>
      <c r="C60" s="11">
        <f>IF(A60="","",$B$5*TAN(RADIANS(A60)))</f>
        <v/>
      </c>
      <c r="D60" s="11">
        <f>IF(C60="","",C60*(1+B60/100))</f>
        <v/>
      </c>
      <c r="E60" s="11">
        <f>IF(A60="","",$B$6*TAN(RADIANS(A60)))</f>
        <v/>
      </c>
      <c r="G60" s="12">
        <f>IF(U60="","",T60)</f>
        <v/>
      </c>
      <c r="H60" s="12">
        <f>IF(U60="","",$E$4+V60*COS(RADIANS($E$8))-W60*SIN(RADIANS($E$8)))</f>
        <v/>
      </c>
      <c r="I60" s="12">
        <f>IF(U60="","",$E$5+V60*SIN(RADIANS($E$8))+W60*COS(RADIANS($E$8)))</f>
        <v/>
      </c>
      <c r="J60" s="12">
        <f>IF(H60="","",H60-$B$7)</f>
        <v/>
      </c>
      <c r="K60" s="12">
        <f>IF(I60="","",I60-$B$8)</f>
        <v/>
      </c>
      <c r="L60" s="12">
        <f>IFERROR(SQRT(J60^2+K60^2)*$B$4/1000,"")</f>
        <v/>
      </c>
      <c r="M60" s="12">
        <f>IF(OR($E$13&lt;&gt;"OK",L60=""),"",IF(L60&lt;=$D$19,$A$19,IF(L60&gt;=INDEX($D$19:$D$2018,$E$12),INDEX($A$19:$A$2018,$E$12),INDEX($A$19:$A$2018,MATCH(L60,$D$19:INDEX($D$19:$D$2018,$E$12),1))+(L60-INDEX($D$19:$D$2018,MATCH(L60,$D$19:INDEX($D$19:$D$2018,$E$12),1)))*(INDEX($A$19:$A$2018,MATCH(L60,$D$19:INDEX($D$19:$D$2018,$E$12),1)+1)-INDEX($A$19:$A$2018,MATCH(L60,$D$19:INDEX($D$19:$D$2018,$E$12),1)))/(INDEX($D$19:$D$2018,MATCH(L60,$D$19:INDEX($D$19:$D$2018,$E$12),1)+1)-INDEX($D$19:$D$2018,MATCH(L60,$D$19:INDEX($D$19:$D$2018,$E$12),1))))))</f>
        <v/>
      </c>
      <c r="N60" s="12">
        <f>IF(M60="","",$B$6*TAN(RADIANS(M60)))</f>
        <v/>
      </c>
      <c r="O60" s="12">
        <f>IF(N60="","",IF(L60=0,0,-N60*J60/SQRT(J60^2+K60^2)))</f>
        <v/>
      </c>
      <c r="P60" s="12">
        <f>IF(N60="","",IF(L60=0,0,N60*K60/SQRT(J60^2+K60^2)))</f>
        <v/>
      </c>
      <c r="Q60" s="12">
        <f>IF(N60="","",IF(N60=0,$B$7,$B$7-Y60*O60/N60))</f>
        <v/>
      </c>
      <c r="R60" s="12">
        <f>IF(N60="","",IF(N60=0,$B$8,$B$8+Y60*P60/N60))</f>
        <v/>
      </c>
      <c r="S60" s="12">
        <f>IFERROR(SQRT((Q60-H60)^2+(R60-I60)^2),"")</f>
        <v/>
      </c>
      <c r="T60">
        <f>33</f>
        <v/>
      </c>
      <c r="U60">
        <f>IF(T60&gt;4*$E$9,"",MIN(INT(T60/$E$9)+1,4))</f>
        <v/>
      </c>
      <c r="V60">
        <f>IF(T60=4*$E$9,-$E$6/2,IF(U60="","",CHOOSE(U60,-$E$6/2+MOD(T60,$E$9)/$E$9*$E$6,$E$6/2,$E$6/2-MOD(T60,$E$9)/$E$9*$E$6,-$E$6/2)))</f>
        <v/>
      </c>
      <c r="W60">
        <f>IF(T60=4*$E$9,-$E$7/2,IF(U60="","",CHOOSE(U60,-$E$7/2,-$E$7/2+MOD(T60,$E$9)/$E$9*$E$7,$E$7/2,$E$7/2-MOD(T60,$E$9)/$E$9*$E$7)))</f>
        <v/>
      </c>
      <c r="X60">
        <f>IF(OR($E$13&lt;&gt;"OK",M60=""),"",IF(M60&lt;=$A$19,$D$19,IF(M60&gt;=INDEX($A$19:$A$2018,$E$12),INDEX($D$19:$D$2018,$E$12),INDEX($D$19:$D$2018,MATCH(M60,$A$19:INDEX($A$19:$A$2018,$E$12),1))+(M60-INDEX($A$19:$A$2018,MATCH(M60,$A$19:INDEX($A$19:$A$2018,$E$12),1)))*(INDEX($D$19:$D$2018,MATCH(M60,$A$19:INDEX($A$19:$A$2018,$E$12),1)+1)-INDEX($D$19:$D$2018,MATCH(M60,$A$19:INDEX($A$19:$A$2018,$E$12),1)))/(INDEX($A$19:$A$2018,MATCH(M60,$A$19:INDEX($A$19:$A$2018,$E$12),1)+1)-INDEX($A$19:$A$2018,MATCH(M60,$A$19:INDEX($A$19:$A$2018,$E$12),1))))))</f>
        <v/>
      </c>
      <c r="Y60">
        <f>IF(X60="","",X60*1000/$B$4)</f>
        <v/>
      </c>
    </row>
    <row r="61">
      <c r="A61" s="10" t="n"/>
      <c r="B61" s="10" t="n"/>
      <c r="C61" s="11">
        <f>IF(A61="","",$B$5*TAN(RADIANS(A61)))</f>
        <v/>
      </c>
      <c r="D61" s="11">
        <f>IF(C61="","",C61*(1+B61/100))</f>
        <v/>
      </c>
      <c r="E61" s="11">
        <f>IF(A61="","",$B$6*TAN(RADIANS(A61)))</f>
        <v/>
      </c>
      <c r="G61" s="12">
        <f>IF(U61="","",T61)</f>
        <v/>
      </c>
      <c r="H61" s="12">
        <f>IF(U61="","",$E$4+V61*COS(RADIANS($E$8))-W61*SIN(RADIANS($E$8)))</f>
        <v/>
      </c>
      <c r="I61" s="12">
        <f>IF(U61="","",$E$5+V61*SIN(RADIANS($E$8))+W61*COS(RADIANS($E$8)))</f>
        <v/>
      </c>
      <c r="J61" s="12">
        <f>IF(H61="","",H61-$B$7)</f>
        <v/>
      </c>
      <c r="K61" s="12">
        <f>IF(I61="","",I61-$B$8)</f>
        <v/>
      </c>
      <c r="L61" s="12">
        <f>IFERROR(SQRT(J61^2+K61^2)*$B$4/1000,"")</f>
        <v/>
      </c>
      <c r="M61" s="12">
        <f>IF(OR($E$13&lt;&gt;"OK",L61=""),"",IF(L61&lt;=$D$19,$A$19,IF(L61&gt;=INDEX($D$19:$D$2018,$E$12),INDEX($A$19:$A$2018,$E$12),INDEX($A$19:$A$2018,MATCH(L61,$D$19:INDEX($D$19:$D$2018,$E$12),1))+(L61-INDEX($D$19:$D$2018,MATCH(L61,$D$19:INDEX($D$19:$D$2018,$E$12),1)))*(INDEX($A$19:$A$2018,MATCH(L61,$D$19:INDEX($D$19:$D$2018,$E$12),1)+1)-INDEX($A$19:$A$2018,MATCH(L61,$D$19:INDEX($D$19:$D$2018,$E$12),1)))/(INDEX($D$19:$D$2018,MATCH(L61,$D$19:INDEX($D$19:$D$2018,$E$12),1)+1)-INDEX($D$19:$D$2018,MATCH(L61,$D$19:INDEX($D$19:$D$2018,$E$12),1))))))</f>
        <v/>
      </c>
      <c r="N61" s="12">
        <f>IF(M61="","",$B$6*TAN(RADIANS(M61)))</f>
        <v/>
      </c>
      <c r="O61" s="12">
        <f>IF(N61="","",IF(L61=0,0,-N61*J61/SQRT(J61^2+K61^2)))</f>
        <v/>
      </c>
      <c r="P61" s="12">
        <f>IF(N61="","",IF(L61=0,0,N61*K61/SQRT(J61^2+K61^2)))</f>
        <v/>
      </c>
      <c r="Q61" s="12">
        <f>IF(N61="","",IF(N61=0,$B$7,$B$7-Y61*O61/N61))</f>
        <v/>
      </c>
      <c r="R61" s="12">
        <f>IF(N61="","",IF(N61=0,$B$8,$B$8+Y61*P61/N61))</f>
        <v/>
      </c>
      <c r="S61" s="12">
        <f>IFERROR(SQRT((Q61-H61)^2+(R61-I61)^2),"")</f>
        <v/>
      </c>
      <c r="T61">
        <f>34</f>
        <v/>
      </c>
      <c r="U61">
        <f>IF(T61&gt;4*$E$9,"",MIN(INT(T61/$E$9)+1,4))</f>
        <v/>
      </c>
      <c r="V61">
        <f>IF(T61=4*$E$9,-$E$6/2,IF(U61="","",CHOOSE(U61,-$E$6/2+MOD(T61,$E$9)/$E$9*$E$6,$E$6/2,$E$6/2-MOD(T61,$E$9)/$E$9*$E$6,-$E$6/2)))</f>
        <v/>
      </c>
      <c r="W61">
        <f>IF(T61=4*$E$9,-$E$7/2,IF(U61="","",CHOOSE(U61,-$E$7/2,-$E$7/2+MOD(T61,$E$9)/$E$9*$E$7,$E$7/2,$E$7/2-MOD(T61,$E$9)/$E$9*$E$7)))</f>
        <v/>
      </c>
      <c r="X61">
        <f>IF(OR($E$13&lt;&gt;"OK",M61=""),"",IF(M61&lt;=$A$19,$D$19,IF(M61&gt;=INDEX($A$19:$A$2018,$E$12),INDEX($D$19:$D$2018,$E$12),INDEX($D$19:$D$2018,MATCH(M61,$A$19:INDEX($A$19:$A$2018,$E$12),1))+(M61-INDEX($A$19:$A$2018,MATCH(M61,$A$19:INDEX($A$19:$A$2018,$E$12),1)))*(INDEX($D$19:$D$2018,MATCH(M61,$A$19:INDEX($A$19:$A$2018,$E$12),1)+1)-INDEX($D$19:$D$2018,MATCH(M61,$A$19:INDEX($A$19:$A$2018,$E$12),1)))/(INDEX($A$19:$A$2018,MATCH(M61,$A$19:INDEX($A$19:$A$2018,$E$12),1)+1)-INDEX($A$19:$A$2018,MATCH(M61,$A$19:INDEX($A$19:$A$2018,$E$12),1))))))</f>
        <v/>
      </c>
      <c r="Y61">
        <f>IF(X61="","",X61*1000/$B$4)</f>
        <v/>
      </c>
    </row>
    <row r="62">
      <c r="A62" s="10" t="n"/>
      <c r="B62" s="10" t="n"/>
      <c r="C62" s="11">
        <f>IF(A62="","",$B$5*TAN(RADIANS(A62)))</f>
        <v/>
      </c>
      <c r="D62" s="11">
        <f>IF(C62="","",C62*(1+B62/100))</f>
        <v/>
      </c>
      <c r="E62" s="11">
        <f>IF(A62="","",$B$6*TAN(RADIANS(A62)))</f>
        <v/>
      </c>
      <c r="G62" s="12">
        <f>IF(U62="","",T62)</f>
        <v/>
      </c>
      <c r="H62" s="12">
        <f>IF(U62="","",$E$4+V62*COS(RADIANS($E$8))-W62*SIN(RADIANS($E$8)))</f>
        <v/>
      </c>
      <c r="I62" s="12">
        <f>IF(U62="","",$E$5+V62*SIN(RADIANS($E$8))+W62*COS(RADIANS($E$8)))</f>
        <v/>
      </c>
      <c r="J62" s="12">
        <f>IF(H62="","",H62-$B$7)</f>
        <v/>
      </c>
      <c r="K62" s="12">
        <f>IF(I62="","",I62-$B$8)</f>
        <v/>
      </c>
      <c r="L62" s="12">
        <f>IFERROR(SQRT(J62^2+K62^2)*$B$4/1000,"")</f>
        <v/>
      </c>
      <c r="M62" s="12">
        <f>IF(OR($E$13&lt;&gt;"OK",L62=""),"",IF(L62&lt;=$D$19,$A$19,IF(L62&gt;=INDEX($D$19:$D$2018,$E$12),INDEX($A$19:$A$2018,$E$12),INDEX($A$19:$A$2018,MATCH(L62,$D$19:INDEX($D$19:$D$2018,$E$12),1))+(L62-INDEX($D$19:$D$2018,MATCH(L62,$D$19:INDEX($D$19:$D$2018,$E$12),1)))*(INDEX($A$19:$A$2018,MATCH(L62,$D$19:INDEX($D$19:$D$2018,$E$12),1)+1)-INDEX($A$19:$A$2018,MATCH(L62,$D$19:INDEX($D$19:$D$2018,$E$12),1)))/(INDEX($D$19:$D$2018,MATCH(L62,$D$19:INDEX($D$19:$D$2018,$E$12),1)+1)-INDEX($D$19:$D$2018,MATCH(L62,$D$19:INDEX($D$19:$D$2018,$E$12),1))))))</f>
        <v/>
      </c>
      <c r="N62" s="12">
        <f>IF(M62="","",$B$6*TAN(RADIANS(M62)))</f>
        <v/>
      </c>
      <c r="O62" s="12">
        <f>IF(N62="","",IF(L62=0,0,-N62*J62/SQRT(J62^2+K62^2)))</f>
        <v/>
      </c>
      <c r="P62" s="12">
        <f>IF(N62="","",IF(L62=0,0,N62*K62/SQRT(J62^2+K62^2)))</f>
        <v/>
      </c>
      <c r="Q62" s="12">
        <f>IF(N62="","",IF(N62=0,$B$7,$B$7-Y62*O62/N62))</f>
        <v/>
      </c>
      <c r="R62" s="12">
        <f>IF(N62="","",IF(N62=0,$B$8,$B$8+Y62*P62/N62))</f>
        <v/>
      </c>
      <c r="S62" s="12">
        <f>IFERROR(SQRT((Q62-H62)^2+(R62-I62)^2),"")</f>
        <v/>
      </c>
      <c r="T62">
        <f>35</f>
        <v/>
      </c>
      <c r="U62">
        <f>IF(T62&gt;4*$E$9,"",MIN(INT(T62/$E$9)+1,4))</f>
        <v/>
      </c>
      <c r="V62">
        <f>IF(T62=4*$E$9,-$E$6/2,IF(U62="","",CHOOSE(U62,-$E$6/2+MOD(T62,$E$9)/$E$9*$E$6,$E$6/2,$E$6/2-MOD(T62,$E$9)/$E$9*$E$6,-$E$6/2)))</f>
        <v/>
      </c>
      <c r="W62">
        <f>IF(T62=4*$E$9,-$E$7/2,IF(U62="","",CHOOSE(U62,-$E$7/2,-$E$7/2+MOD(T62,$E$9)/$E$9*$E$7,$E$7/2,$E$7/2-MOD(T62,$E$9)/$E$9*$E$7)))</f>
        <v/>
      </c>
      <c r="X62">
        <f>IF(OR($E$13&lt;&gt;"OK",M62=""),"",IF(M62&lt;=$A$19,$D$19,IF(M62&gt;=INDEX($A$19:$A$2018,$E$12),INDEX($D$19:$D$2018,$E$12),INDEX($D$19:$D$2018,MATCH(M62,$A$19:INDEX($A$19:$A$2018,$E$12),1))+(M62-INDEX($A$19:$A$2018,MATCH(M62,$A$19:INDEX($A$19:$A$2018,$E$12),1)))*(INDEX($D$19:$D$2018,MATCH(M62,$A$19:INDEX($A$19:$A$2018,$E$12),1)+1)-INDEX($D$19:$D$2018,MATCH(M62,$A$19:INDEX($A$19:$A$2018,$E$12),1)))/(INDEX($A$19:$A$2018,MATCH(M62,$A$19:INDEX($A$19:$A$2018,$E$12),1)+1)-INDEX($A$19:$A$2018,MATCH(M62,$A$19:INDEX($A$19:$A$2018,$E$12),1))))))</f>
        <v/>
      </c>
      <c r="Y62">
        <f>IF(X62="","",X62*1000/$B$4)</f>
        <v/>
      </c>
    </row>
    <row r="63">
      <c r="A63" s="10" t="n"/>
      <c r="B63" s="10" t="n"/>
      <c r="C63" s="11">
        <f>IF(A63="","",$B$5*TAN(RADIANS(A63)))</f>
        <v/>
      </c>
      <c r="D63" s="11">
        <f>IF(C63="","",C63*(1+B63/100))</f>
        <v/>
      </c>
      <c r="E63" s="11">
        <f>IF(A63="","",$B$6*TAN(RADIANS(A63)))</f>
        <v/>
      </c>
      <c r="G63" s="12">
        <f>IF(U63="","",T63)</f>
        <v/>
      </c>
      <c r="H63" s="12">
        <f>IF(U63="","",$E$4+V63*COS(RADIANS($E$8))-W63*SIN(RADIANS($E$8)))</f>
        <v/>
      </c>
      <c r="I63" s="12">
        <f>IF(U63="","",$E$5+V63*SIN(RADIANS($E$8))+W63*COS(RADIANS($E$8)))</f>
        <v/>
      </c>
      <c r="J63" s="12">
        <f>IF(H63="","",H63-$B$7)</f>
        <v/>
      </c>
      <c r="K63" s="12">
        <f>IF(I63="","",I63-$B$8)</f>
        <v/>
      </c>
      <c r="L63" s="12">
        <f>IFERROR(SQRT(J63^2+K63^2)*$B$4/1000,"")</f>
        <v/>
      </c>
      <c r="M63" s="12">
        <f>IF(OR($E$13&lt;&gt;"OK",L63=""),"",IF(L63&lt;=$D$19,$A$19,IF(L63&gt;=INDEX($D$19:$D$2018,$E$12),INDEX($A$19:$A$2018,$E$12),INDEX($A$19:$A$2018,MATCH(L63,$D$19:INDEX($D$19:$D$2018,$E$12),1))+(L63-INDEX($D$19:$D$2018,MATCH(L63,$D$19:INDEX($D$19:$D$2018,$E$12),1)))*(INDEX($A$19:$A$2018,MATCH(L63,$D$19:INDEX($D$19:$D$2018,$E$12),1)+1)-INDEX($A$19:$A$2018,MATCH(L63,$D$19:INDEX($D$19:$D$2018,$E$12),1)))/(INDEX($D$19:$D$2018,MATCH(L63,$D$19:INDEX($D$19:$D$2018,$E$12),1)+1)-INDEX($D$19:$D$2018,MATCH(L63,$D$19:INDEX($D$19:$D$2018,$E$12),1))))))</f>
        <v/>
      </c>
      <c r="N63" s="12">
        <f>IF(M63="","",$B$6*TAN(RADIANS(M63)))</f>
        <v/>
      </c>
      <c r="O63" s="12">
        <f>IF(N63="","",IF(L63=0,0,-N63*J63/SQRT(J63^2+K63^2)))</f>
        <v/>
      </c>
      <c r="P63" s="12">
        <f>IF(N63="","",IF(L63=0,0,N63*K63/SQRT(J63^2+K63^2)))</f>
        <v/>
      </c>
      <c r="Q63" s="12">
        <f>IF(N63="","",IF(N63=0,$B$7,$B$7-Y63*O63/N63))</f>
        <v/>
      </c>
      <c r="R63" s="12">
        <f>IF(N63="","",IF(N63=0,$B$8,$B$8+Y63*P63/N63))</f>
        <v/>
      </c>
      <c r="S63" s="12">
        <f>IFERROR(SQRT((Q63-H63)^2+(R63-I63)^2),"")</f>
        <v/>
      </c>
      <c r="T63">
        <f>36</f>
        <v/>
      </c>
      <c r="U63">
        <f>IF(T63&gt;4*$E$9,"",MIN(INT(T63/$E$9)+1,4))</f>
        <v/>
      </c>
      <c r="V63">
        <f>IF(T63=4*$E$9,-$E$6/2,IF(U63="","",CHOOSE(U63,-$E$6/2+MOD(T63,$E$9)/$E$9*$E$6,$E$6/2,$E$6/2-MOD(T63,$E$9)/$E$9*$E$6,-$E$6/2)))</f>
        <v/>
      </c>
      <c r="W63">
        <f>IF(T63=4*$E$9,-$E$7/2,IF(U63="","",CHOOSE(U63,-$E$7/2,-$E$7/2+MOD(T63,$E$9)/$E$9*$E$7,$E$7/2,$E$7/2-MOD(T63,$E$9)/$E$9*$E$7)))</f>
        <v/>
      </c>
      <c r="X63">
        <f>IF(OR($E$13&lt;&gt;"OK",M63=""),"",IF(M63&lt;=$A$19,$D$19,IF(M63&gt;=INDEX($A$19:$A$2018,$E$12),INDEX($D$19:$D$2018,$E$12),INDEX($D$19:$D$2018,MATCH(M63,$A$19:INDEX($A$19:$A$2018,$E$12),1))+(M63-INDEX($A$19:$A$2018,MATCH(M63,$A$19:INDEX($A$19:$A$2018,$E$12),1)))*(INDEX($D$19:$D$2018,MATCH(M63,$A$19:INDEX($A$19:$A$2018,$E$12),1)+1)-INDEX($D$19:$D$2018,MATCH(M63,$A$19:INDEX($A$19:$A$2018,$E$12),1)))/(INDEX($A$19:$A$2018,MATCH(M63,$A$19:INDEX($A$19:$A$2018,$E$12),1)+1)-INDEX($A$19:$A$2018,MATCH(M63,$A$19:INDEX($A$19:$A$2018,$E$12),1))))))</f>
        <v/>
      </c>
      <c r="Y63">
        <f>IF(X63="","",X63*1000/$B$4)</f>
        <v/>
      </c>
    </row>
    <row r="64">
      <c r="A64" s="10" t="n"/>
      <c r="B64" s="10" t="n"/>
      <c r="C64" s="11">
        <f>IF(A64="","",$B$5*TAN(RADIANS(A64)))</f>
        <v/>
      </c>
      <c r="D64" s="11">
        <f>IF(C64="","",C64*(1+B64/100))</f>
        <v/>
      </c>
      <c r="E64" s="11">
        <f>IF(A64="","",$B$6*TAN(RADIANS(A64)))</f>
        <v/>
      </c>
      <c r="G64" s="12">
        <f>IF(U64="","",T64)</f>
        <v/>
      </c>
      <c r="H64" s="12">
        <f>IF(U64="","",$E$4+V64*COS(RADIANS($E$8))-W64*SIN(RADIANS($E$8)))</f>
        <v/>
      </c>
      <c r="I64" s="12">
        <f>IF(U64="","",$E$5+V64*SIN(RADIANS($E$8))+W64*COS(RADIANS($E$8)))</f>
        <v/>
      </c>
      <c r="J64" s="12">
        <f>IF(H64="","",H64-$B$7)</f>
        <v/>
      </c>
      <c r="K64" s="12">
        <f>IF(I64="","",I64-$B$8)</f>
        <v/>
      </c>
      <c r="L64" s="12">
        <f>IFERROR(SQRT(J64^2+K64^2)*$B$4/1000,"")</f>
        <v/>
      </c>
      <c r="M64" s="12">
        <f>IF(OR($E$13&lt;&gt;"OK",L64=""),"",IF(L64&lt;=$D$19,$A$19,IF(L64&gt;=INDEX($D$19:$D$2018,$E$12),INDEX($A$19:$A$2018,$E$12),INDEX($A$19:$A$2018,MATCH(L64,$D$19:INDEX($D$19:$D$2018,$E$12),1))+(L64-INDEX($D$19:$D$2018,MATCH(L64,$D$19:INDEX($D$19:$D$2018,$E$12),1)))*(INDEX($A$19:$A$2018,MATCH(L64,$D$19:INDEX($D$19:$D$2018,$E$12),1)+1)-INDEX($A$19:$A$2018,MATCH(L64,$D$19:INDEX($D$19:$D$2018,$E$12),1)))/(INDEX($D$19:$D$2018,MATCH(L64,$D$19:INDEX($D$19:$D$2018,$E$12),1)+1)-INDEX($D$19:$D$2018,MATCH(L64,$D$19:INDEX($D$19:$D$2018,$E$12),1))))))</f>
        <v/>
      </c>
      <c r="N64" s="12">
        <f>IF(M64="","",$B$6*TAN(RADIANS(M64)))</f>
        <v/>
      </c>
      <c r="O64" s="12">
        <f>IF(N64="","",IF(L64=0,0,-N64*J64/SQRT(J64^2+K64^2)))</f>
        <v/>
      </c>
      <c r="P64" s="12">
        <f>IF(N64="","",IF(L64=0,0,N64*K64/SQRT(J64^2+K64^2)))</f>
        <v/>
      </c>
      <c r="Q64" s="12">
        <f>IF(N64="","",IF(N64=0,$B$7,$B$7-Y64*O64/N64))</f>
        <v/>
      </c>
      <c r="R64" s="12">
        <f>IF(N64="","",IF(N64=0,$B$8,$B$8+Y64*P64/N64))</f>
        <v/>
      </c>
      <c r="S64" s="12">
        <f>IFERROR(SQRT((Q64-H64)^2+(R64-I64)^2),"")</f>
        <v/>
      </c>
      <c r="T64">
        <f>37</f>
        <v/>
      </c>
      <c r="U64">
        <f>IF(T64&gt;4*$E$9,"",MIN(INT(T64/$E$9)+1,4))</f>
        <v/>
      </c>
      <c r="V64">
        <f>IF(T64=4*$E$9,-$E$6/2,IF(U64="","",CHOOSE(U64,-$E$6/2+MOD(T64,$E$9)/$E$9*$E$6,$E$6/2,$E$6/2-MOD(T64,$E$9)/$E$9*$E$6,-$E$6/2)))</f>
        <v/>
      </c>
      <c r="W64">
        <f>IF(T64=4*$E$9,-$E$7/2,IF(U64="","",CHOOSE(U64,-$E$7/2,-$E$7/2+MOD(T64,$E$9)/$E$9*$E$7,$E$7/2,$E$7/2-MOD(T64,$E$9)/$E$9*$E$7)))</f>
        <v/>
      </c>
      <c r="X64">
        <f>IF(OR($E$13&lt;&gt;"OK",M64=""),"",IF(M64&lt;=$A$19,$D$19,IF(M64&gt;=INDEX($A$19:$A$2018,$E$12),INDEX($D$19:$D$2018,$E$12),INDEX($D$19:$D$2018,MATCH(M64,$A$19:INDEX($A$19:$A$2018,$E$12),1))+(M64-INDEX($A$19:$A$2018,MATCH(M64,$A$19:INDEX($A$19:$A$2018,$E$12),1)))*(INDEX($D$19:$D$2018,MATCH(M64,$A$19:INDEX($A$19:$A$2018,$E$12),1)+1)-INDEX($D$19:$D$2018,MATCH(M64,$A$19:INDEX($A$19:$A$2018,$E$12),1)))/(INDEX($A$19:$A$2018,MATCH(M64,$A$19:INDEX($A$19:$A$2018,$E$12),1)+1)-INDEX($A$19:$A$2018,MATCH(M64,$A$19:INDEX($A$19:$A$2018,$E$12),1))))))</f>
        <v/>
      </c>
      <c r="Y64">
        <f>IF(X64="","",X64*1000/$B$4)</f>
        <v/>
      </c>
    </row>
    <row r="65">
      <c r="A65" s="10" t="n"/>
      <c r="B65" s="10" t="n"/>
      <c r="C65" s="11">
        <f>IF(A65="","",$B$5*TAN(RADIANS(A65)))</f>
        <v/>
      </c>
      <c r="D65" s="11">
        <f>IF(C65="","",C65*(1+B65/100))</f>
        <v/>
      </c>
      <c r="E65" s="11">
        <f>IF(A65="","",$B$6*TAN(RADIANS(A65)))</f>
        <v/>
      </c>
      <c r="G65" s="12">
        <f>IF(U65="","",T65)</f>
        <v/>
      </c>
      <c r="H65" s="12">
        <f>IF(U65="","",$E$4+V65*COS(RADIANS($E$8))-W65*SIN(RADIANS($E$8)))</f>
        <v/>
      </c>
      <c r="I65" s="12">
        <f>IF(U65="","",$E$5+V65*SIN(RADIANS($E$8))+W65*COS(RADIANS($E$8)))</f>
        <v/>
      </c>
      <c r="J65" s="12">
        <f>IF(H65="","",H65-$B$7)</f>
        <v/>
      </c>
      <c r="K65" s="12">
        <f>IF(I65="","",I65-$B$8)</f>
        <v/>
      </c>
      <c r="L65" s="12">
        <f>IFERROR(SQRT(J65^2+K65^2)*$B$4/1000,"")</f>
        <v/>
      </c>
      <c r="M65" s="12">
        <f>IF(OR($E$13&lt;&gt;"OK",L65=""),"",IF(L65&lt;=$D$19,$A$19,IF(L65&gt;=INDEX($D$19:$D$2018,$E$12),INDEX($A$19:$A$2018,$E$12),INDEX($A$19:$A$2018,MATCH(L65,$D$19:INDEX($D$19:$D$2018,$E$12),1))+(L65-INDEX($D$19:$D$2018,MATCH(L65,$D$19:INDEX($D$19:$D$2018,$E$12),1)))*(INDEX($A$19:$A$2018,MATCH(L65,$D$19:INDEX($D$19:$D$2018,$E$12),1)+1)-INDEX($A$19:$A$2018,MATCH(L65,$D$19:INDEX($D$19:$D$2018,$E$12),1)))/(INDEX($D$19:$D$2018,MATCH(L65,$D$19:INDEX($D$19:$D$2018,$E$12),1)+1)-INDEX($D$19:$D$2018,MATCH(L65,$D$19:INDEX($D$19:$D$2018,$E$12),1))))))</f>
        <v/>
      </c>
      <c r="N65" s="12">
        <f>IF(M65="","",$B$6*TAN(RADIANS(M65)))</f>
        <v/>
      </c>
      <c r="O65" s="12">
        <f>IF(N65="","",IF(L65=0,0,-N65*J65/SQRT(J65^2+K65^2)))</f>
        <v/>
      </c>
      <c r="P65" s="12">
        <f>IF(N65="","",IF(L65=0,0,N65*K65/SQRT(J65^2+K65^2)))</f>
        <v/>
      </c>
      <c r="Q65" s="12">
        <f>IF(N65="","",IF(N65=0,$B$7,$B$7-Y65*O65/N65))</f>
        <v/>
      </c>
      <c r="R65" s="12">
        <f>IF(N65="","",IF(N65=0,$B$8,$B$8+Y65*P65/N65))</f>
        <v/>
      </c>
      <c r="S65" s="12">
        <f>IFERROR(SQRT((Q65-H65)^2+(R65-I65)^2),"")</f>
        <v/>
      </c>
      <c r="T65">
        <f>38</f>
        <v/>
      </c>
      <c r="U65">
        <f>IF(T65&gt;4*$E$9,"",MIN(INT(T65/$E$9)+1,4))</f>
        <v/>
      </c>
      <c r="V65">
        <f>IF(T65=4*$E$9,-$E$6/2,IF(U65="","",CHOOSE(U65,-$E$6/2+MOD(T65,$E$9)/$E$9*$E$6,$E$6/2,$E$6/2-MOD(T65,$E$9)/$E$9*$E$6,-$E$6/2)))</f>
        <v/>
      </c>
      <c r="W65">
        <f>IF(T65=4*$E$9,-$E$7/2,IF(U65="","",CHOOSE(U65,-$E$7/2,-$E$7/2+MOD(T65,$E$9)/$E$9*$E$7,$E$7/2,$E$7/2-MOD(T65,$E$9)/$E$9*$E$7)))</f>
        <v/>
      </c>
      <c r="X65">
        <f>IF(OR($E$13&lt;&gt;"OK",M65=""),"",IF(M65&lt;=$A$19,$D$19,IF(M65&gt;=INDEX($A$19:$A$2018,$E$12),INDEX($D$19:$D$2018,$E$12),INDEX($D$19:$D$2018,MATCH(M65,$A$19:INDEX($A$19:$A$2018,$E$12),1))+(M65-INDEX($A$19:$A$2018,MATCH(M65,$A$19:INDEX($A$19:$A$2018,$E$12),1)))*(INDEX($D$19:$D$2018,MATCH(M65,$A$19:INDEX($A$19:$A$2018,$E$12),1)+1)-INDEX($D$19:$D$2018,MATCH(M65,$A$19:INDEX($A$19:$A$2018,$E$12),1)))/(INDEX($A$19:$A$2018,MATCH(M65,$A$19:INDEX($A$19:$A$2018,$E$12),1)+1)-INDEX($A$19:$A$2018,MATCH(M65,$A$19:INDEX($A$19:$A$2018,$E$12),1))))))</f>
        <v/>
      </c>
      <c r="Y65">
        <f>IF(X65="","",X65*1000/$B$4)</f>
        <v/>
      </c>
    </row>
    <row r="66">
      <c r="A66" s="10" t="n"/>
      <c r="B66" s="10" t="n"/>
      <c r="C66" s="11">
        <f>IF(A66="","",$B$5*TAN(RADIANS(A66)))</f>
        <v/>
      </c>
      <c r="D66" s="11">
        <f>IF(C66="","",C66*(1+B66/100))</f>
        <v/>
      </c>
      <c r="E66" s="11">
        <f>IF(A66="","",$B$6*TAN(RADIANS(A66)))</f>
        <v/>
      </c>
      <c r="G66" s="12">
        <f>IF(U66="","",T66)</f>
        <v/>
      </c>
      <c r="H66" s="12">
        <f>IF(U66="","",$E$4+V66*COS(RADIANS($E$8))-W66*SIN(RADIANS($E$8)))</f>
        <v/>
      </c>
      <c r="I66" s="12">
        <f>IF(U66="","",$E$5+V66*SIN(RADIANS($E$8))+W66*COS(RADIANS($E$8)))</f>
        <v/>
      </c>
      <c r="J66" s="12">
        <f>IF(H66="","",H66-$B$7)</f>
        <v/>
      </c>
      <c r="K66" s="12">
        <f>IF(I66="","",I66-$B$8)</f>
        <v/>
      </c>
      <c r="L66" s="12">
        <f>IFERROR(SQRT(J66^2+K66^2)*$B$4/1000,"")</f>
        <v/>
      </c>
      <c r="M66" s="12">
        <f>IF(OR($E$13&lt;&gt;"OK",L66=""),"",IF(L66&lt;=$D$19,$A$19,IF(L66&gt;=INDEX($D$19:$D$2018,$E$12),INDEX($A$19:$A$2018,$E$12),INDEX($A$19:$A$2018,MATCH(L66,$D$19:INDEX($D$19:$D$2018,$E$12),1))+(L66-INDEX($D$19:$D$2018,MATCH(L66,$D$19:INDEX($D$19:$D$2018,$E$12),1)))*(INDEX($A$19:$A$2018,MATCH(L66,$D$19:INDEX($D$19:$D$2018,$E$12),1)+1)-INDEX($A$19:$A$2018,MATCH(L66,$D$19:INDEX($D$19:$D$2018,$E$12),1)))/(INDEX($D$19:$D$2018,MATCH(L66,$D$19:INDEX($D$19:$D$2018,$E$12),1)+1)-INDEX($D$19:$D$2018,MATCH(L66,$D$19:INDEX($D$19:$D$2018,$E$12),1))))))</f>
        <v/>
      </c>
      <c r="N66" s="12">
        <f>IF(M66="","",$B$6*TAN(RADIANS(M66)))</f>
        <v/>
      </c>
      <c r="O66" s="12">
        <f>IF(N66="","",IF(L66=0,0,-N66*J66/SQRT(J66^2+K66^2)))</f>
        <v/>
      </c>
      <c r="P66" s="12">
        <f>IF(N66="","",IF(L66=0,0,N66*K66/SQRT(J66^2+K66^2)))</f>
        <v/>
      </c>
      <c r="Q66" s="12">
        <f>IF(N66="","",IF(N66=0,$B$7,$B$7-Y66*O66/N66))</f>
        <v/>
      </c>
      <c r="R66" s="12">
        <f>IF(N66="","",IF(N66=0,$B$8,$B$8+Y66*P66/N66))</f>
        <v/>
      </c>
      <c r="S66" s="12">
        <f>IFERROR(SQRT((Q66-H66)^2+(R66-I66)^2),"")</f>
        <v/>
      </c>
      <c r="T66">
        <f>39</f>
        <v/>
      </c>
      <c r="U66">
        <f>IF(T66&gt;4*$E$9,"",MIN(INT(T66/$E$9)+1,4))</f>
        <v/>
      </c>
      <c r="V66">
        <f>IF(T66=4*$E$9,-$E$6/2,IF(U66="","",CHOOSE(U66,-$E$6/2+MOD(T66,$E$9)/$E$9*$E$6,$E$6/2,$E$6/2-MOD(T66,$E$9)/$E$9*$E$6,-$E$6/2)))</f>
        <v/>
      </c>
      <c r="W66">
        <f>IF(T66=4*$E$9,-$E$7/2,IF(U66="","",CHOOSE(U66,-$E$7/2,-$E$7/2+MOD(T66,$E$9)/$E$9*$E$7,$E$7/2,$E$7/2-MOD(T66,$E$9)/$E$9*$E$7)))</f>
        <v/>
      </c>
      <c r="X66">
        <f>IF(OR($E$13&lt;&gt;"OK",M66=""),"",IF(M66&lt;=$A$19,$D$19,IF(M66&gt;=INDEX($A$19:$A$2018,$E$12),INDEX($D$19:$D$2018,$E$12),INDEX($D$19:$D$2018,MATCH(M66,$A$19:INDEX($A$19:$A$2018,$E$12),1))+(M66-INDEX($A$19:$A$2018,MATCH(M66,$A$19:INDEX($A$19:$A$2018,$E$12),1)))*(INDEX($D$19:$D$2018,MATCH(M66,$A$19:INDEX($A$19:$A$2018,$E$12),1)+1)-INDEX($D$19:$D$2018,MATCH(M66,$A$19:INDEX($A$19:$A$2018,$E$12),1)))/(INDEX($A$19:$A$2018,MATCH(M66,$A$19:INDEX($A$19:$A$2018,$E$12),1)+1)-INDEX($A$19:$A$2018,MATCH(M66,$A$19:INDEX($A$19:$A$2018,$E$12),1))))))</f>
        <v/>
      </c>
      <c r="Y66">
        <f>IF(X66="","",X66*1000/$B$4)</f>
        <v/>
      </c>
    </row>
    <row r="67">
      <c r="A67" s="10" t="n"/>
      <c r="B67" s="10" t="n"/>
      <c r="C67" s="11">
        <f>IF(A67="","",$B$5*TAN(RADIANS(A67)))</f>
        <v/>
      </c>
      <c r="D67" s="11">
        <f>IF(C67="","",C67*(1+B67/100))</f>
        <v/>
      </c>
      <c r="E67" s="11">
        <f>IF(A67="","",$B$6*TAN(RADIANS(A67)))</f>
        <v/>
      </c>
      <c r="G67" s="12">
        <f>IF(U67="","",T67)</f>
        <v/>
      </c>
      <c r="H67" s="12">
        <f>IF(U67="","",$E$4+V67*COS(RADIANS($E$8))-W67*SIN(RADIANS($E$8)))</f>
        <v/>
      </c>
      <c r="I67" s="12">
        <f>IF(U67="","",$E$5+V67*SIN(RADIANS($E$8))+W67*COS(RADIANS($E$8)))</f>
        <v/>
      </c>
      <c r="J67" s="12">
        <f>IF(H67="","",H67-$B$7)</f>
        <v/>
      </c>
      <c r="K67" s="12">
        <f>IF(I67="","",I67-$B$8)</f>
        <v/>
      </c>
      <c r="L67" s="12">
        <f>IFERROR(SQRT(J67^2+K67^2)*$B$4/1000,"")</f>
        <v/>
      </c>
      <c r="M67" s="12">
        <f>IF(OR($E$13&lt;&gt;"OK",L67=""),"",IF(L67&lt;=$D$19,$A$19,IF(L67&gt;=INDEX($D$19:$D$2018,$E$12),INDEX($A$19:$A$2018,$E$12),INDEX($A$19:$A$2018,MATCH(L67,$D$19:INDEX($D$19:$D$2018,$E$12),1))+(L67-INDEX($D$19:$D$2018,MATCH(L67,$D$19:INDEX($D$19:$D$2018,$E$12),1)))*(INDEX($A$19:$A$2018,MATCH(L67,$D$19:INDEX($D$19:$D$2018,$E$12),1)+1)-INDEX($A$19:$A$2018,MATCH(L67,$D$19:INDEX($D$19:$D$2018,$E$12),1)))/(INDEX($D$19:$D$2018,MATCH(L67,$D$19:INDEX($D$19:$D$2018,$E$12),1)+1)-INDEX($D$19:$D$2018,MATCH(L67,$D$19:INDEX($D$19:$D$2018,$E$12),1))))))</f>
        <v/>
      </c>
      <c r="N67" s="12">
        <f>IF(M67="","",$B$6*TAN(RADIANS(M67)))</f>
        <v/>
      </c>
      <c r="O67" s="12">
        <f>IF(N67="","",IF(L67=0,0,-N67*J67/SQRT(J67^2+K67^2)))</f>
        <v/>
      </c>
      <c r="P67" s="12">
        <f>IF(N67="","",IF(L67=0,0,N67*K67/SQRT(J67^2+K67^2)))</f>
        <v/>
      </c>
      <c r="Q67" s="12">
        <f>IF(N67="","",IF(N67=0,$B$7,$B$7-Y67*O67/N67))</f>
        <v/>
      </c>
      <c r="R67" s="12">
        <f>IF(N67="","",IF(N67=0,$B$8,$B$8+Y67*P67/N67))</f>
        <v/>
      </c>
      <c r="S67" s="12">
        <f>IFERROR(SQRT((Q67-H67)^2+(R67-I67)^2),"")</f>
        <v/>
      </c>
      <c r="T67">
        <f>40</f>
        <v/>
      </c>
      <c r="U67">
        <f>IF(T67&gt;4*$E$9,"",MIN(INT(T67/$E$9)+1,4))</f>
        <v/>
      </c>
      <c r="V67">
        <f>IF(T67=4*$E$9,-$E$6/2,IF(U67="","",CHOOSE(U67,-$E$6/2+MOD(T67,$E$9)/$E$9*$E$6,$E$6/2,$E$6/2-MOD(T67,$E$9)/$E$9*$E$6,-$E$6/2)))</f>
        <v/>
      </c>
      <c r="W67">
        <f>IF(T67=4*$E$9,-$E$7/2,IF(U67="","",CHOOSE(U67,-$E$7/2,-$E$7/2+MOD(T67,$E$9)/$E$9*$E$7,$E$7/2,$E$7/2-MOD(T67,$E$9)/$E$9*$E$7)))</f>
        <v/>
      </c>
      <c r="X67">
        <f>IF(OR($E$13&lt;&gt;"OK",M67=""),"",IF(M67&lt;=$A$19,$D$19,IF(M67&gt;=INDEX($A$19:$A$2018,$E$12),INDEX($D$19:$D$2018,$E$12),INDEX($D$19:$D$2018,MATCH(M67,$A$19:INDEX($A$19:$A$2018,$E$12),1))+(M67-INDEX($A$19:$A$2018,MATCH(M67,$A$19:INDEX($A$19:$A$2018,$E$12),1)))*(INDEX($D$19:$D$2018,MATCH(M67,$A$19:INDEX($A$19:$A$2018,$E$12),1)+1)-INDEX($D$19:$D$2018,MATCH(M67,$A$19:INDEX($A$19:$A$2018,$E$12),1)))/(INDEX($A$19:$A$2018,MATCH(M67,$A$19:INDEX($A$19:$A$2018,$E$12),1)+1)-INDEX($A$19:$A$2018,MATCH(M67,$A$19:INDEX($A$19:$A$2018,$E$12),1))))))</f>
        <v/>
      </c>
      <c r="Y67">
        <f>IF(X67="","",X67*1000/$B$4)</f>
        <v/>
      </c>
    </row>
    <row r="68">
      <c r="A68" s="10" t="n"/>
      <c r="B68" s="10" t="n"/>
      <c r="C68" s="11">
        <f>IF(A68="","",$B$5*TAN(RADIANS(A68)))</f>
        <v/>
      </c>
      <c r="D68" s="11">
        <f>IF(C68="","",C68*(1+B68/100))</f>
        <v/>
      </c>
      <c r="E68" s="11">
        <f>IF(A68="","",$B$6*TAN(RADIANS(A68)))</f>
        <v/>
      </c>
      <c r="G68" s="12">
        <f>IF(U68="","",T68)</f>
        <v/>
      </c>
      <c r="H68" s="12">
        <f>IF(U68="","",$E$4+V68*COS(RADIANS($E$8))-W68*SIN(RADIANS($E$8)))</f>
        <v/>
      </c>
      <c r="I68" s="12">
        <f>IF(U68="","",$E$5+V68*SIN(RADIANS($E$8))+W68*COS(RADIANS($E$8)))</f>
        <v/>
      </c>
      <c r="J68" s="12">
        <f>IF(H68="","",H68-$B$7)</f>
        <v/>
      </c>
      <c r="K68" s="12">
        <f>IF(I68="","",I68-$B$8)</f>
        <v/>
      </c>
      <c r="L68" s="12">
        <f>IFERROR(SQRT(J68^2+K68^2)*$B$4/1000,"")</f>
        <v/>
      </c>
      <c r="M68" s="12">
        <f>IF(OR($E$13&lt;&gt;"OK",L68=""),"",IF(L68&lt;=$D$19,$A$19,IF(L68&gt;=INDEX($D$19:$D$2018,$E$12),INDEX($A$19:$A$2018,$E$12),INDEX($A$19:$A$2018,MATCH(L68,$D$19:INDEX($D$19:$D$2018,$E$12),1))+(L68-INDEX($D$19:$D$2018,MATCH(L68,$D$19:INDEX($D$19:$D$2018,$E$12),1)))*(INDEX($A$19:$A$2018,MATCH(L68,$D$19:INDEX($D$19:$D$2018,$E$12),1)+1)-INDEX($A$19:$A$2018,MATCH(L68,$D$19:INDEX($D$19:$D$2018,$E$12),1)))/(INDEX($D$19:$D$2018,MATCH(L68,$D$19:INDEX($D$19:$D$2018,$E$12),1)+1)-INDEX($D$19:$D$2018,MATCH(L68,$D$19:INDEX($D$19:$D$2018,$E$12),1))))))</f>
        <v/>
      </c>
      <c r="N68" s="12">
        <f>IF(M68="","",$B$6*TAN(RADIANS(M68)))</f>
        <v/>
      </c>
      <c r="O68" s="12">
        <f>IF(N68="","",IF(L68=0,0,-N68*J68/SQRT(J68^2+K68^2)))</f>
        <v/>
      </c>
      <c r="P68" s="12">
        <f>IF(N68="","",IF(L68=0,0,N68*K68/SQRT(J68^2+K68^2)))</f>
        <v/>
      </c>
      <c r="Q68" s="12">
        <f>IF(N68="","",IF(N68=0,$B$7,$B$7-Y68*O68/N68))</f>
        <v/>
      </c>
      <c r="R68" s="12">
        <f>IF(N68="","",IF(N68=0,$B$8,$B$8+Y68*P68/N68))</f>
        <v/>
      </c>
      <c r="S68" s="12">
        <f>IFERROR(SQRT((Q68-H68)^2+(R68-I68)^2),"")</f>
        <v/>
      </c>
      <c r="T68">
        <f>41</f>
        <v/>
      </c>
      <c r="U68">
        <f>IF(T68&gt;4*$E$9,"",MIN(INT(T68/$E$9)+1,4))</f>
        <v/>
      </c>
      <c r="V68">
        <f>IF(T68=4*$E$9,-$E$6/2,IF(U68="","",CHOOSE(U68,-$E$6/2+MOD(T68,$E$9)/$E$9*$E$6,$E$6/2,$E$6/2-MOD(T68,$E$9)/$E$9*$E$6,-$E$6/2)))</f>
        <v/>
      </c>
      <c r="W68">
        <f>IF(T68=4*$E$9,-$E$7/2,IF(U68="","",CHOOSE(U68,-$E$7/2,-$E$7/2+MOD(T68,$E$9)/$E$9*$E$7,$E$7/2,$E$7/2-MOD(T68,$E$9)/$E$9*$E$7)))</f>
        <v/>
      </c>
      <c r="X68">
        <f>IF(OR($E$13&lt;&gt;"OK",M68=""),"",IF(M68&lt;=$A$19,$D$19,IF(M68&gt;=INDEX($A$19:$A$2018,$E$12),INDEX($D$19:$D$2018,$E$12),INDEX($D$19:$D$2018,MATCH(M68,$A$19:INDEX($A$19:$A$2018,$E$12),1))+(M68-INDEX($A$19:$A$2018,MATCH(M68,$A$19:INDEX($A$19:$A$2018,$E$12),1)))*(INDEX($D$19:$D$2018,MATCH(M68,$A$19:INDEX($A$19:$A$2018,$E$12),1)+1)-INDEX($D$19:$D$2018,MATCH(M68,$A$19:INDEX($A$19:$A$2018,$E$12),1)))/(INDEX($A$19:$A$2018,MATCH(M68,$A$19:INDEX($A$19:$A$2018,$E$12),1)+1)-INDEX($A$19:$A$2018,MATCH(M68,$A$19:INDEX($A$19:$A$2018,$E$12),1))))))</f>
        <v/>
      </c>
      <c r="Y68">
        <f>IF(X68="","",X68*1000/$B$4)</f>
        <v/>
      </c>
    </row>
    <row r="69">
      <c r="A69" s="10" t="n"/>
      <c r="B69" s="10" t="n"/>
      <c r="C69" s="11">
        <f>IF(A69="","",$B$5*TAN(RADIANS(A69)))</f>
        <v/>
      </c>
      <c r="D69" s="11">
        <f>IF(C69="","",C69*(1+B69/100))</f>
        <v/>
      </c>
      <c r="E69" s="11">
        <f>IF(A69="","",$B$6*TAN(RADIANS(A69)))</f>
        <v/>
      </c>
      <c r="G69" s="12">
        <f>IF(U69="","",T69)</f>
        <v/>
      </c>
      <c r="H69" s="12">
        <f>IF(U69="","",$E$4+V69*COS(RADIANS($E$8))-W69*SIN(RADIANS($E$8)))</f>
        <v/>
      </c>
      <c r="I69" s="12">
        <f>IF(U69="","",$E$5+V69*SIN(RADIANS($E$8))+W69*COS(RADIANS($E$8)))</f>
        <v/>
      </c>
      <c r="J69" s="12">
        <f>IF(H69="","",H69-$B$7)</f>
        <v/>
      </c>
      <c r="K69" s="12">
        <f>IF(I69="","",I69-$B$8)</f>
        <v/>
      </c>
      <c r="L69" s="12">
        <f>IFERROR(SQRT(J69^2+K69^2)*$B$4/1000,"")</f>
        <v/>
      </c>
      <c r="M69" s="12">
        <f>IF(OR($E$13&lt;&gt;"OK",L69=""),"",IF(L69&lt;=$D$19,$A$19,IF(L69&gt;=INDEX($D$19:$D$2018,$E$12),INDEX($A$19:$A$2018,$E$12),INDEX($A$19:$A$2018,MATCH(L69,$D$19:INDEX($D$19:$D$2018,$E$12),1))+(L69-INDEX($D$19:$D$2018,MATCH(L69,$D$19:INDEX($D$19:$D$2018,$E$12),1)))*(INDEX($A$19:$A$2018,MATCH(L69,$D$19:INDEX($D$19:$D$2018,$E$12),1)+1)-INDEX($A$19:$A$2018,MATCH(L69,$D$19:INDEX($D$19:$D$2018,$E$12),1)))/(INDEX($D$19:$D$2018,MATCH(L69,$D$19:INDEX($D$19:$D$2018,$E$12),1)+1)-INDEX($D$19:$D$2018,MATCH(L69,$D$19:INDEX($D$19:$D$2018,$E$12),1))))))</f>
        <v/>
      </c>
      <c r="N69" s="12">
        <f>IF(M69="","",$B$6*TAN(RADIANS(M69)))</f>
        <v/>
      </c>
      <c r="O69" s="12">
        <f>IF(N69="","",IF(L69=0,0,-N69*J69/SQRT(J69^2+K69^2)))</f>
        <v/>
      </c>
      <c r="P69" s="12">
        <f>IF(N69="","",IF(L69=0,0,N69*K69/SQRT(J69^2+K69^2)))</f>
        <v/>
      </c>
      <c r="Q69" s="12">
        <f>IF(N69="","",IF(N69=0,$B$7,$B$7-Y69*O69/N69))</f>
        <v/>
      </c>
      <c r="R69" s="12">
        <f>IF(N69="","",IF(N69=0,$B$8,$B$8+Y69*P69/N69))</f>
        <v/>
      </c>
      <c r="S69" s="12">
        <f>IFERROR(SQRT((Q69-H69)^2+(R69-I69)^2),"")</f>
        <v/>
      </c>
      <c r="T69">
        <f>42</f>
        <v/>
      </c>
      <c r="U69">
        <f>IF(T69&gt;4*$E$9,"",MIN(INT(T69/$E$9)+1,4))</f>
        <v/>
      </c>
      <c r="V69">
        <f>IF(T69=4*$E$9,-$E$6/2,IF(U69="","",CHOOSE(U69,-$E$6/2+MOD(T69,$E$9)/$E$9*$E$6,$E$6/2,$E$6/2-MOD(T69,$E$9)/$E$9*$E$6,-$E$6/2)))</f>
        <v/>
      </c>
      <c r="W69">
        <f>IF(T69=4*$E$9,-$E$7/2,IF(U69="","",CHOOSE(U69,-$E$7/2,-$E$7/2+MOD(T69,$E$9)/$E$9*$E$7,$E$7/2,$E$7/2-MOD(T69,$E$9)/$E$9*$E$7)))</f>
        <v/>
      </c>
      <c r="X69">
        <f>IF(OR($E$13&lt;&gt;"OK",M69=""),"",IF(M69&lt;=$A$19,$D$19,IF(M69&gt;=INDEX($A$19:$A$2018,$E$12),INDEX($D$19:$D$2018,$E$12),INDEX($D$19:$D$2018,MATCH(M69,$A$19:INDEX($A$19:$A$2018,$E$12),1))+(M69-INDEX($A$19:$A$2018,MATCH(M69,$A$19:INDEX($A$19:$A$2018,$E$12),1)))*(INDEX($D$19:$D$2018,MATCH(M69,$A$19:INDEX($A$19:$A$2018,$E$12),1)+1)-INDEX($D$19:$D$2018,MATCH(M69,$A$19:INDEX($A$19:$A$2018,$E$12),1)))/(INDEX($A$19:$A$2018,MATCH(M69,$A$19:INDEX($A$19:$A$2018,$E$12),1)+1)-INDEX($A$19:$A$2018,MATCH(M69,$A$19:INDEX($A$19:$A$2018,$E$12),1))))))</f>
        <v/>
      </c>
      <c r="Y69">
        <f>IF(X69="","",X69*1000/$B$4)</f>
        <v/>
      </c>
    </row>
    <row r="70">
      <c r="A70" s="10" t="n"/>
      <c r="B70" s="10" t="n"/>
      <c r="C70" s="11">
        <f>IF(A70="","",$B$5*TAN(RADIANS(A70)))</f>
        <v/>
      </c>
      <c r="D70" s="11">
        <f>IF(C70="","",C70*(1+B70/100))</f>
        <v/>
      </c>
      <c r="E70" s="11">
        <f>IF(A70="","",$B$6*TAN(RADIANS(A70)))</f>
        <v/>
      </c>
      <c r="G70" s="12">
        <f>IF(U70="","",T70)</f>
        <v/>
      </c>
      <c r="H70" s="12">
        <f>IF(U70="","",$E$4+V70*COS(RADIANS($E$8))-W70*SIN(RADIANS($E$8)))</f>
        <v/>
      </c>
      <c r="I70" s="12">
        <f>IF(U70="","",$E$5+V70*SIN(RADIANS($E$8))+W70*COS(RADIANS($E$8)))</f>
        <v/>
      </c>
      <c r="J70" s="12">
        <f>IF(H70="","",H70-$B$7)</f>
        <v/>
      </c>
      <c r="K70" s="12">
        <f>IF(I70="","",I70-$B$8)</f>
        <v/>
      </c>
      <c r="L70" s="12">
        <f>IFERROR(SQRT(J70^2+K70^2)*$B$4/1000,"")</f>
        <v/>
      </c>
      <c r="M70" s="12">
        <f>IF(OR($E$13&lt;&gt;"OK",L70=""),"",IF(L70&lt;=$D$19,$A$19,IF(L70&gt;=INDEX($D$19:$D$2018,$E$12),INDEX($A$19:$A$2018,$E$12),INDEX($A$19:$A$2018,MATCH(L70,$D$19:INDEX($D$19:$D$2018,$E$12),1))+(L70-INDEX($D$19:$D$2018,MATCH(L70,$D$19:INDEX($D$19:$D$2018,$E$12),1)))*(INDEX($A$19:$A$2018,MATCH(L70,$D$19:INDEX($D$19:$D$2018,$E$12),1)+1)-INDEX($A$19:$A$2018,MATCH(L70,$D$19:INDEX($D$19:$D$2018,$E$12),1)))/(INDEX($D$19:$D$2018,MATCH(L70,$D$19:INDEX($D$19:$D$2018,$E$12),1)+1)-INDEX($D$19:$D$2018,MATCH(L70,$D$19:INDEX($D$19:$D$2018,$E$12),1))))))</f>
        <v/>
      </c>
      <c r="N70" s="12">
        <f>IF(M70="","",$B$6*TAN(RADIANS(M70)))</f>
        <v/>
      </c>
      <c r="O70" s="12">
        <f>IF(N70="","",IF(L70=0,0,-N70*J70/SQRT(J70^2+K70^2)))</f>
        <v/>
      </c>
      <c r="P70" s="12">
        <f>IF(N70="","",IF(L70=0,0,N70*K70/SQRT(J70^2+K70^2)))</f>
        <v/>
      </c>
      <c r="Q70" s="12">
        <f>IF(N70="","",IF(N70=0,$B$7,$B$7-Y70*O70/N70))</f>
        <v/>
      </c>
      <c r="R70" s="12">
        <f>IF(N70="","",IF(N70=0,$B$8,$B$8+Y70*P70/N70))</f>
        <v/>
      </c>
      <c r="S70" s="12">
        <f>IFERROR(SQRT((Q70-H70)^2+(R70-I70)^2),"")</f>
        <v/>
      </c>
      <c r="T70">
        <f>43</f>
        <v/>
      </c>
      <c r="U70">
        <f>IF(T70&gt;4*$E$9,"",MIN(INT(T70/$E$9)+1,4))</f>
        <v/>
      </c>
      <c r="V70">
        <f>IF(T70=4*$E$9,-$E$6/2,IF(U70="","",CHOOSE(U70,-$E$6/2+MOD(T70,$E$9)/$E$9*$E$6,$E$6/2,$E$6/2-MOD(T70,$E$9)/$E$9*$E$6,-$E$6/2)))</f>
        <v/>
      </c>
      <c r="W70">
        <f>IF(T70=4*$E$9,-$E$7/2,IF(U70="","",CHOOSE(U70,-$E$7/2,-$E$7/2+MOD(T70,$E$9)/$E$9*$E$7,$E$7/2,$E$7/2-MOD(T70,$E$9)/$E$9*$E$7)))</f>
        <v/>
      </c>
      <c r="X70">
        <f>IF(OR($E$13&lt;&gt;"OK",M70=""),"",IF(M70&lt;=$A$19,$D$19,IF(M70&gt;=INDEX($A$19:$A$2018,$E$12),INDEX($D$19:$D$2018,$E$12),INDEX($D$19:$D$2018,MATCH(M70,$A$19:INDEX($A$19:$A$2018,$E$12),1))+(M70-INDEX($A$19:$A$2018,MATCH(M70,$A$19:INDEX($A$19:$A$2018,$E$12),1)))*(INDEX($D$19:$D$2018,MATCH(M70,$A$19:INDEX($A$19:$A$2018,$E$12),1)+1)-INDEX($D$19:$D$2018,MATCH(M70,$A$19:INDEX($A$19:$A$2018,$E$12),1)))/(INDEX($A$19:$A$2018,MATCH(M70,$A$19:INDEX($A$19:$A$2018,$E$12),1)+1)-INDEX($A$19:$A$2018,MATCH(M70,$A$19:INDEX($A$19:$A$2018,$E$12),1))))))</f>
        <v/>
      </c>
      <c r="Y70">
        <f>IF(X70="","",X70*1000/$B$4)</f>
        <v/>
      </c>
    </row>
    <row r="71">
      <c r="A71" s="10" t="n"/>
      <c r="B71" s="10" t="n"/>
      <c r="C71" s="11">
        <f>IF(A71="","",$B$5*TAN(RADIANS(A71)))</f>
        <v/>
      </c>
      <c r="D71" s="11">
        <f>IF(C71="","",C71*(1+B71/100))</f>
        <v/>
      </c>
      <c r="E71" s="11">
        <f>IF(A71="","",$B$6*TAN(RADIANS(A71)))</f>
        <v/>
      </c>
      <c r="G71" s="12">
        <f>IF(U71="","",T71)</f>
        <v/>
      </c>
      <c r="H71" s="12">
        <f>IF(U71="","",$E$4+V71*COS(RADIANS($E$8))-W71*SIN(RADIANS($E$8)))</f>
        <v/>
      </c>
      <c r="I71" s="12">
        <f>IF(U71="","",$E$5+V71*SIN(RADIANS($E$8))+W71*COS(RADIANS($E$8)))</f>
        <v/>
      </c>
      <c r="J71" s="12">
        <f>IF(H71="","",H71-$B$7)</f>
        <v/>
      </c>
      <c r="K71" s="12">
        <f>IF(I71="","",I71-$B$8)</f>
        <v/>
      </c>
      <c r="L71" s="12">
        <f>IFERROR(SQRT(J71^2+K71^2)*$B$4/1000,"")</f>
        <v/>
      </c>
      <c r="M71" s="12">
        <f>IF(OR($E$13&lt;&gt;"OK",L71=""),"",IF(L71&lt;=$D$19,$A$19,IF(L71&gt;=INDEX($D$19:$D$2018,$E$12),INDEX($A$19:$A$2018,$E$12),INDEX($A$19:$A$2018,MATCH(L71,$D$19:INDEX($D$19:$D$2018,$E$12),1))+(L71-INDEX($D$19:$D$2018,MATCH(L71,$D$19:INDEX($D$19:$D$2018,$E$12),1)))*(INDEX($A$19:$A$2018,MATCH(L71,$D$19:INDEX($D$19:$D$2018,$E$12),1)+1)-INDEX($A$19:$A$2018,MATCH(L71,$D$19:INDEX($D$19:$D$2018,$E$12),1)))/(INDEX($D$19:$D$2018,MATCH(L71,$D$19:INDEX($D$19:$D$2018,$E$12),1)+1)-INDEX($D$19:$D$2018,MATCH(L71,$D$19:INDEX($D$19:$D$2018,$E$12),1))))))</f>
        <v/>
      </c>
      <c r="N71" s="12">
        <f>IF(M71="","",$B$6*TAN(RADIANS(M71)))</f>
        <v/>
      </c>
      <c r="O71" s="12">
        <f>IF(N71="","",IF(L71=0,0,-N71*J71/SQRT(J71^2+K71^2)))</f>
        <v/>
      </c>
      <c r="P71" s="12">
        <f>IF(N71="","",IF(L71=0,0,N71*K71/SQRT(J71^2+K71^2)))</f>
        <v/>
      </c>
      <c r="Q71" s="12">
        <f>IF(N71="","",IF(N71=0,$B$7,$B$7-Y71*O71/N71))</f>
        <v/>
      </c>
      <c r="R71" s="12">
        <f>IF(N71="","",IF(N71=0,$B$8,$B$8+Y71*P71/N71))</f>
        <v/>
      </c>
      <c r="S71" s="12">
        <f>IFERROR(SQRT((Q71-H71)^2+(R71-I71)^2),"")</f>
        <v/>
      </c>
      <c r="T71">
        <f>44</f>
        <v/>
      </c>
      <c r="U71">
        <f>IF(T71&gt;4*$E$9,"",MIN(INT(T71/$E$9)+1,4))</f>
        <v/>
      </c>
      <c r="V71">
        <f>IF(T71=4*$E$9,-$E$6/2,IF(U71="","",CHOOSE(U71,-$E$6/2+MOD(T71,$E$9)/$E$9*$E$6,$E$6/2,$E$6/2-MOD(T71,$E$9)/$E$9*$E$6,-$E$6/2)))</f>
        <v/>
      </c>
      <c r="W71">
        <f>IF(T71=4*$E$9,-$E$7/2,IF(U71="","",CHOOSE(U71,-$E$7/2,-$E$7/2+MOD(T71,$E$9)/$E$9*$E$7,$E$7/2,$E$7/2-MOD(T71,$E$9)/$E$9*$E$7)))</f>
        <v/>
      </c>
      <c r="X71">
        <f>IF(OR($E$13&lt;&gt;"OK",M71=""),"",IF(M71&lt;=$A$19,$D$19,IF(M71&gt;=INDEX($A$19:$A$2018,$E$12),INDEX($D$19:$D$2018,$E$12),INDEX($D$19:$D$2018,MATCH(M71,$A$19:INDEX($A$19:$A$2018,$E$12),1))+(M71-INDEX($A$19:$A$2018,MATCH(M71,$A$19:INDEX($A$19:$A$2018,$E$12),1)))*(INDEX($D$19:$D$2018,MATCH(M71,$A$19:INDEX($A$19:$A$2018,$E$12),1)+1)-INDEX($D$19:$D$2018,MATCH(M71,$A$19:INDEX($A$19:$A$2018,$E$12),1)))/(INDEX($A$19:$A$2018,MATCH(M71,$A$19:INDEX($A$19:$A$2018,$E$12),1)+1)-INDEX($A$19:$A$2018,MATCH(M71,$A$19:INDEX($A$19:$A$2018,$E$12),1))))))</f>
        <v/>
      </c>
      <c r="Y71">
        <f>IF(X71="","",X71*1000/$B$4)</f>
        <v/>
      </c>
    </row>
    <row r="72">
      <c r="A72" s="10" t="n"/>
      <c r="B72" s="10" t="n"/>
      <c r="C72" s="11">
        <f>IF(A72="","",$B$5*TAN(RADIANS(A72)))</f>
        <v/>
      </c>
      <c r="D72" s="11">
        <f>IF(C72="","",C72*(1+B72/100))</f>
        <v/>
      </c>
      <c r="E72" s="11">
        <f>IF(A72="","",$B$6*TAN(RADIANS(A72)))</f>
        <v/>
      </c>
      <c r="G72" s="12">
        <f>IF(U72="","",T72)</f>
        <v/>
      </c>
      <c r="H72" s="12">
        <f>IF(U72="","",$E$4+V72*COS(RADIANS($E$8))-W72*SIN(RADIANS($E$8)))</f>
        <v/>
      </c>
      <c r="I72" s="12">
        <f>IF(U72="","",$E$5+V72*SIN(RADIANS($E$8))+W72*COS(RADIANS($E$8)))</f>
        <v/>
      </c>
      <c r="J72" s="12">
        <f>IF(H72="","",H72-$B$7)</f>
        <v/>
      </c>
      <c r="K72" s="12">
        <f>IF(I72="","",I72-$B$8)</f>
        <v/>
      </c>
      <c r="L72" s="12">
        <f>IFERROR(SQRT(J72^2+K72^2)*$B$4/1000,"")</f>
        <v/>
      </c>
      <c r="M72" s="12">
        <f>IF(OR($E$13&lt;&gt;"OK",L72=""),"",IF(L72&lt;=$D$19,$A$19,IF(L72&gt;=INDEX($D$19:$D$2018,$E$12),INDEX($A$19:$A$2018,$E$12),INDEX($A$19:$A$2018,MATCH(L72,$D$19:INDEX($D$19:$D$2018,$E$12),1))+(L72-INDEX($D$19:$D$2018,MATCH(L72,$D$19:INDEX($D$19:$D$2018,$E$12),1)))*(INDEX($A$19:$A$2018,MATCH(L72,$D$19:INDEX($D$19:$D$2018,$E$12),1)+1)-INDEX($A$19:$A$2018,MATCH(L72,$D$19:INDEX($D$19:$D$2018,$E$12),1)))/(INDEX($D$19:$D$2018,MATCH(L72,$D$19:INDEX($D$19:$D$2018,$E$12),1)+1)-INDEX($D$19:$D$2018,MATCH(L72,$D$19:INDEX($D$19:$D$2018,$E$12),1))))))</f>
        <v/>
      </c>
      <c r="N72" s="12">
        <f>IF(M72="","",$B$6*TAN(RADIANS(M72)))</f>
        <v/>
      </c>
      <c r="O72" s="12">
        <f>IF(N72="","",IF(L72=0,0,-N72*J72/SQRT(J72^2+K72^2)))</f>
        <v/>
      </c>
      <c r="P72" s="12">
        <f>IF(N72="","",IF(L72=0,0,N72*K72/SQRT(J72^2+K72^2)))</f>
        <v/>
      </c>
      <c r="Q72" s="12">
        <f>IF(N72="","",IF(N72=0,$B$7,$B$7-Y72*O72/N72))</f>
        <v/>
      </c>
      <c r="R72" s="12">
        <f>IF(N72="","",IF(N72=0,$B$8,$B$8+Y72*P72/N72))</f>
        <v/>
      </c>
      <c r="S72" s="12">
        <f>IFERROR(SQRT((Q72-H72)^2+(R72-I72)^2),"")</f>
        <v/>
      </c>
      <c r="T72">
        <f>45</f>
        <v/>
      </c>
      <c r="U72">
        <f>IF(T72&gt;4*$E$9,"",MIN(INT(T72/$E$9)+1,4))</f>
        <v/>
      </c>
      <c r="V72">
        <f>IF(T72=4*$E$9,-$E$6/2,IF(U72="","",CHOOSE(U72,-$E$6/2+MOD(T72,$E$9)/$E$9*$E$6,$E$6/2,$E$6/2-MOD(T72,$E$9)/$E$9*$E$6,-$E$6/2)))</f>
        <v/>
      </c>
      <c r="W72">
        <f>IF(T72=4*$E$9,-$E$7/2,IF(U72="","",CHOOSE(U72,-$E$7/2,-$E$7/2+MOD(T72,$E$9)/$E$9*$E$7,$E$7/2,$E$7/2-MOD(T72,$E$9)/$E$9*$E$7)))</f>
        <v/>
      </c>
      <c r="X72">
        <f>IF(OR($E$13&lt;&gt;"OK",M72=""),"",IF(M72&lt;=$A$19,$D$19,IF(M72&gt;=INDEX($A$19:$A$2018,$E$12),INDEX($D$19:$D$2018,$E$12),INDEX($D$19:$D$2018,MATCH(M72,$A$19:INDEX($A$19:$A$2018,$E$12),1))+(M72-INDEX($A$19:$A$2018,MATCH(M72,$A$19:INDEX($A$19:$A$2018,$E$12),1)))*(INDEX($D$19:$D$2018,MATCH(M72,$A$19:INDEX($A$19:$A$2018,$E$12),1)+1)-INDEX($D$19:$D$2018,MATCH(M72,$A$19:INDEX($A$19:$A$2018,$E$12),1)))/(INDEX($A$19:$A$2018,MATCH(M72,$A$19:INDEX($A$19:$A$2018,$E$12),1)+1)-INDEX($A$19:$A$2018,MATCH(M72,$A$19:INDEX($A$19:$A$2018,$E$12),1))))))</f>
        <v/>
      </c>
      <c r="Y72">
        <f>IF(X72="","",X72*1000/$B$4)</f>
        <v/>
      </c>
    </row>
    <row r="73">
      <c r="A73" s="10" t="n"/>
      <c r="B73" s="10" t="n"/>
      <c r="C73" s="11">
        <f>IF(A73="","",$B$5*TAN(RADIANS(A73)))</f>
        <v/>
      </c>
      <c r="D73" s="11">
        <f>IF(C73="","",C73*(1+B73/100))</f>
        <v/>
      </c>
      <c r="E73" s="11">
        <f>IF(A73="","",$B$6*TAN(RADIANS(A73)))</f>
        <v/>
      </c>
      <c r="G73" s="12">
        <f>IF(U73="","",T73)</f>
        <v/>
      </c>
      <c r="H73" s="12">
        <f>IF(U73="","",$E$4+V73*COS(RADIANS($E$8))-W73*SIN(RADIANS($E$8)))</f>
        <v/>
      </c>
      <c r="I73" s="12">
        <f>IF(U73="","",$E$5+V73*SIN(RADIANS($E$8))+W73*COS(RADIANS($E$8)))</f>
        <v/>
      </c>
      <c r="J73" s="12">
        <f>IF(H73="","",H73-$B$7)</f>
        <v/>
      </c>
      <c r="K73" s="12">
        <f>IF(I73="","",I73-$B$8)</f>
        <v/>
      </c>
      <c r="L73" s="12">
        <f>IFERROR(SQRT(J73^2+K73^2)*$B$4/1000,"")</f>
        <v/>
      </c>
      <c r="M73" s="12">
        <f>IF(OR($E$13&lt;&gt;"OK",L73=""),"",IF(L73&lt;=$D$19,$A$19,IF(L73&gt;=INDEX($D$19:$D$2018,$E$12),INDEX($A$19:$A$2018,$E$12),INDEX($A$19:$A$2018,MATCH(L73,$D$19:INDEX($D$19:$D$2018,$E$12),1))+(L73-INDEX($D$19:$D$2018,MATCH(L73,$D$19:INDEX($D$19:$D$2018,$E$12),1)))*(INDEX($A$19:$A$2018,MATCH(L73,$D$19:INDEX($D$19:$D$2018,$E$12),1)+1)-INDEX($A$19:$A$2018,MATCH(L73,$D$19:INDEX($D$19:$D$2018,$E$12),1)))/(INDEX($D$19:$D$2018,MATCH(L73,$D$19:INDEX($D$19:$D$2018,$E$12),1)+1)-INDEX($D$19:$D$2018,MATCH(L73,$D$19:INDEX($D$19:$D$2018,$E$12),1))))))</f>
        <v/>
      </c>
      <c r="N73" s="12">
        <f>IF(M73="","",$B$6*TAN(RADIANS(M73)))</f>
        <v/>
      </c>
      <c r="O73" s="12">
        <f>IF(N73="","",IF(L73=0,0,-N73*J73/SQRT(J73^2+K73^2)))</f>
        <v/>
      </c>
      <c r="P73" s="12">
        <f>IF(N73="","",IF(L73=0,0,N73*K73/SQRT(J73^2+K73^2)))</f>
        <v/>
      </c>
      <c r="Q73" s="12">
        <f>IF(N73="","",IF(N73=0,$B$7,$B$7-Y73*O73/N73))</f>
        <v/>
      </c>
      <c r="R73" s="12">
        <f>IF(N73="","",IF(N73=0,$B$8,$B$8+Y73*P73/N73))</f>
        <v/>
      </c>
      <c r="S73" s="12">
        <f>IFERROR(SQRT((Q73-H73)^2+(R73-I73)^2),"")</f>
        <v/>
      </c>
      <c r="T73">
        <f>46</f>
        <v/>
      </c>
      <c r="U73">
        <f>IF(T73&gt;4*$E$9,"",MIN(INT(T73/$E$9)+1,4))</f>
        <v/>
      </c>
      <c r="V73">
        <f>IF(T73=4*$E$9,-$E$6/2,IF(U73="","",CHOOSE(U73,-$E$6/2+MOD(T73,$E$9)/$E$9*$E$6,$E$6/2,$E$6/2-MOD(T73,$E$9)/$E$9*$E$6,-$E$6/2)))</f>
        <v/>
      </c>
      <c r="W73">
        <f>IF(T73=4*$E$9,-$E$7/2,IF(U73="","",CHOOSE(U73,-$E$7/2,-$E$7/2+MOD(T73,$E$9)/$E$9*$E$7,$E$7/2,$E$7/2-MOD(T73,$E$9)/$E$9*$E$7)))</f>
        <v/>
      </c>
      <c r="X73">
        <f>IF(OR($E$13&lt;&gt;"OK",M73=""),"",IF(M73&lt;=$A$19,$D$19,IF(M73&gt;=INDEX($A$19:$A$2018,$E$12),INDEX($D$19:$D$2018,$E$12),INDEX($D$19:$D$2018,MATCH(M73,$A$19:INDEX($A$19:$A$2018,$E$12),1))+(M73-INDEX($A$19:$A$2018,MATCH(M73,$A$19:INDEX($A$19:$A$2018,$E$12),1)))*(INDEX($D$19:$D$2018,MATCH(M73,$A$19:INDEX($A$19:$A$2018,$E$12),1)+1)-INDEX($D$19:$D$2018,MATCH(M73,$A$19:INDEX($A$19:$A$2018,$E$12),1)))/(INDEX($A$19:$A$2018,MATCH(M73,$A$19:INDEX($A$19:$A$2018,$E$12),1)+1)-INDEX($A$19:$A$2018,MATCH(M73,$A$19:INDEX($A$19:$A$2018,$E$12),1))))))</f>
        <v/>
      </c>
      <c r="Y73">
        <f>IF(X73="","",X73*1000/$B$4)</f>
        <v/>
      </c>
    </row>
    <row r="74">
      <c r="A74" s="10" t="n"/>
      <c r="B74" s="10" t="n"/>
      <c r="C74" s="11">
        <f>IF(A74="","",$B$5*TAN(RADIANS(A74)))</f>
        <v/>
      </c>
      <c r="D74" s="11">
        <f>IF(C74="","",C74*(1+B74/100))</f>
        <v/>
      </c>
      <c r="E74" s="11">
        <f>IF(A74="","",$B$6*TAN(RADIANS(A74)))</f>
        <v/>
      </c>
      <c r="G74" s="12">
        <f>IF(U74="","",T74)</f>
        <v/>
      </c>
      <c r="H74" s="12">
        <f>IF(U74="","",$E$4+V74*COS(RADIANS($E$8))-W74*SIN(RADIANS($E$8)))</f>
        <v/>
      </c>
      <c r="I74" s="12">
        <f>IF(U74="","",$E$5+V74*SIN(RADIANS($E$8))+W74*COS(RADIANS($E$8)))</f>
        <v/>
      </c>
      <c r="J74" s="12">
        <f>IF(H74="","",H74-$B$7)</f>
        <v/>
      </c>
      <c r="K74" s="12">
        <f>IF(I74="","",I74-$B$8)</f>
        <v/>
      </c>
      <c r="L74" s="12">
        <f>IFERROR(SQRT(J74^2+K74^2)*$B$4/1000,"")</f>
        <v/>
      </c>
      <c r="M74" s="12">
        <f>IF(OR($E$13&lt;&gt;"OK",L74=""),"",IF(L74&lt;=$D$19,$A$19,IF(L74&gt;=INDEX($D$19:$D$2018,$E$12),INDEX($A$19:$A$2018,$E$12),INDEX($A$19:$A$2018,MATCH(L74,$D$19:INDEX($D$19:$D$2018,$E$12),1))+(L74-INDEX($D$19:$D$2018,MATCH(L74,$D$19:INDEX($D$19:$D$2018,$E$12),1)))*(INDEX($A$19:$A$2018,MATCH(L74,$D$19:INDEX($D$19:$D$2018,$E$12),1)+1)-INDEX($A$19:$A$2018,MATCH(L74,$D$19:INDEX($D$19:$D$2018,$E$12),1)))/(INDEX($D$19:$D$2018,MATCH(L74,$D$19:INDEX($D$19:$D$2018,$E$12),1)+1)-INDEX($D$19:$D$2018,MATCH(L74,$D$19:INDEX($D$19:$D$2018,$E$12),1))))))</f>
        <v/>
      </c>
      <c r="N74" s="12">
        <f>IF(M74="","",$B$6*TAN(RADIANS(M74)))</f>
        <v/>
      </c>
      <c r="O74" s="12">
        <f>IF(N74="","",IF(L74=0,0,-N74*J74/SQRT(J74^2+K74^2)))</f>
        <v/>
      </c>
      <c r="P74" s="12">
        <f>IF(N74="","",IF(L74=0,0,N74*K74/SQRT(J74^2+K74^2)))</f>
        <v/>
      </c>
      <c r="Q74" s="12">
        <f>IF(N74="","",IF(N74=0,$B$7,$B$7-Y74*O74/N74))</f>
        <v/>
      </c>
      <c r="R74" s="12">
        <f>IF(N74="","",IF(N74=0,$B$8,$B$8+Y74*P74/N74))</f>
        <v/>
      </c>
      <c r="S74" s="12">
        <f>IFERROR(SQRT((Q74-H74)^2+(R74-I74)^2),"")</f>
        <v/>
      </c>
      <c r="T74">
        <f>47</f>
        <v/>
      </c>
      <c r="U74">
        <f>IF(T74&gt;4*$E$9,"",MIN(INT(T74/$E$9)+1,4))</f>
        <v/>
      </c>
      <c r="V74">
        <f>IF(T74=4*$E$9,-$E$6/2,IF(U74="","",CHOOSE(U74,-$E$6/2+MOD(T74,$E$9)/$E$9*$E$6,$E$6/2,$E$6/2-MOD(T74,$E$9)/$E$9*$E$6,-$E$6/2)))</f>
        <v/>
      </c>
      <c r="W74">
        <f>IF(T74=4*$E$9,-$E$7/2,IF(U74="","",CHOOSE(U74,-$E$7/2,-$E$7/2+MOD(T74,$E$9)/$E$9*$E$7,$E$7/2,$E$7/2-MOD(T74,$E$9)/$E$9*$E$7)))</f>
        <v/>
      </c>
      <c r="X74">
        <f>IF(OR($E$13&lt;&gt;"OK",M74=""),"",IF(M74&lt;=$A$19,$D$19,IF(M74&gt;=INDEX($A$19:$A$2018,$E$12),INDEX($D$19:$D$2018,$E$12),INDEX($D$19:$D$2018,MATCH(M74,$A$19:INDEX($A$19:$A$2018,$E$12),1))+(M74-INDEX($A$19:$A$2018,MATCH(M74,$A$19:INDEX($A$19:$A$2018,$E$12),1)))*(INDEX($D$19:$D$2018,MATCH(M74,$A$19:INDEX($A$19:$A$2018,$E$12),1)+1)-INDEX($D$19:$D$2018,MATCH(M74,$A$19:INDEX($A$19:$A$2018,$E$12),1)))/(INDEX($A$19:$A$2018,MATCH(M74,$A$19:INDEX($A$19:$A$2018,$E$12),1)+1)-INDEX($A$19:$A$2018,MATCH(M74,$A$19:INDEX($A$19:$A$2018,$E$12),1))))))</f>
        <v/>
      </c>
      <c r="Y74">
        <f>IF(X74="","",X74*1000/$B$4)</f>
        <v/>
      </c>
    </row>
    <row r="75">
      <c r="A75" s="10" t="n"/>
      <c r="B75" s="10" t="n"/>
      <c r="C75" s="11">
        <f>IF(A75="","",$B$5*TAN(RADIANS(A75)))</f>
        <v/>
      </c>
      <c r="D75" s="11">
        <f>IF(C75="","",C75*(1+B75/100))</f>
        <v/>
      </c>
      <c r="E75" s="11">
        <f>IF(A75="","",$B$6*TAN(RADIANS(A75)))</f>
        <v/>
      </c>
      <c r="G75" s="12">
        <f>IF(U75="","",T75)</f>
        <v/>
      </c>
      <c r="H75" s="12">
        <f>IF(U75="","",$E$4+V75*COS(RADIANS($E$8))-W75*SIN(RADIANS($E$8)))</f>
        <v/>
      </c>
      <c r="I75" s="12">
        <f>IF(U75="","",$E$5+V75*SIN(RADIANS($E$8))+W75*COS(RADIANS($E$8)))</f>
        <v/>
      </c>
      <c r="J75" s="12">
        <f>IF(H75="","",H75-$B$7)</f>
        <v/>
      </c>
      <c r="K75" s="12">
        <f>IF(I75="","",I75-$B$8)</f>
        <v/>
      </c>
      <c r="L75" s="12">
        <f>IFERROR(SQRT(J75^2+K75^2)*$B$4/1000,"")</f>
        <v/>
      </c>
      <c r="M75" s="12">
        <f>IF(OR($E$13&lt;&gt;"OK",L75=""),"",IF(L75&lt;=$D$19,$A$19,IF(L75&gt;=INDEX($D$19:$D$2018,$E$12),INDEX($A$19:$A$2018,$E$12),INDEX($A$19:$A$2018,MATCH(L75,$D$19:INDEX($D$19:$D$2018,$E$12),1))+(L75-INDEX($D$19:$D$2018,MATCH(L75,$D$19:INDEX($D$19:$D$2018,$E$12),1)))*(INDEX($A$19:$A$2018,MATCH(L75,$D$19:INDEX($D$19:$D$2018,$E$12),1)+1)-INDEX($A$19:$A$2018,MATCH(L75,$D$19:INDEX($D$19:$D$2018,$E$12),1)))/(INDEX($D$19:$D$2018,MATCH(L75,$D$19:INDEX($D$19:$D$2018,$E$12),1)+1)-INDEX($D$19:$D$2018,MATCH(L75,$D$19:INDEX($D$19:$D$2018,$E$12),1))))))</f>
        <v/>
      </c>
      <c r="N75" s="12">
        <f>IF(M75="","",$B$6*TAN(RADIANS(M75)))</f>
        <v/>
      </c>
      <c r="O75" s="12">
        <f>IF(N75="","",IF(L75=0,0,-N75*J75/SQRT(J75^2+K75^2)))</f>
        <v/>
      </c>
      <c r="P75" s="12">
        <f>IF(N75="","",IF(L75=0,0,N75*K75/SQRT(J75^2+K75^2)))</f>
        <v/>
      </c>
      <c r="Q75" s="12">
        <f>IF(N75="","",IF(N75=0,$B$7,$B$7-Y75*O75/N75))</f>
        <v/>
      </c>
      <c r="R75" s="12">
        <f>IF(N75="","",IF(N75=0,$B$8,$B$8+Y75*P75/N75))</f>
        <v/>
      </c>
      <c r="S75" s="12">
        <f>IFERROR(SQRT((Q75-H75)^2+(R75-I75)^2),"")</f>
        <v/>
      </c>
      <c r="T75">
        <f>48</f>
        <v/>
      </c>
      <c r="U75">
        <f>IF(T75&gt;4*$E$9,"",MIN(INT(T75/$E$9)+1,4))</f>
        <v/>
      </c>
      <c r="V75">
        <f>IF(T75=4*$E$9,-$E$6/2,IF(U75="","",CHOOSE(U75,-$E$6/2+MOD(T75,$E$9)/$E$9*$E$6,$E$6/2,$E$6/2-MOD(T75,$E$9)/$E$9*$E$6,-$E$6/2)))</f>
        <v/>
      </c>
      <c r="W75">
        <f>IF(T75=4*$E$9,-$E$7/2,IF(U75="","",CHOOSE(U75,-$E$7/2,-$E$7/2+MOD(T75,$E$9)/$E$9*$E$7,$E$7/2,$E$7/2-MOD(T75,$E$9)/$E$9*$E$7)))</f>
        <v/>
      </c>
      <c r="X75">
        <f>IF(OR($E$13&lt;&gt;"OK",M75=""),"",IF(M75&lt;=$A$19,$D$19,IF(M75&gt;=INDEX($A$19:$A$2018,$E$12),INDEX($D$19:$D$2018,$E$12),INDEX($D$19:$D$2018,MATCH(M75,$A$19:INDEX($A$19:$A$2018,$E$12),1))+(M75-INDEX($A$19:$A$2018,MATCH(M75,$A$19:INDEX($A$19:$A$2018,$E$12),1)))*(INDEX($D$19:$D$2018,MATCH(M75,$A$19:INDEX($A$19:$A$2018,$E$12),1)+1)-INDEX($D$19:$D$2018,MATCH(M75,$A$19:INDEX($A$19:$A$2018,$E$12),1)))/(INDEX($A$19:$A$2018,MATCH(M75,$A$19:INDEX($A$19:$A$2018,$E$12),1)+1)-INDEX($A$19:$A$2018,MATCH(M75,$A$19:INDEX($A$19:$A$2018,$E$12),1))))))</f>
        <v/>
      </c>
      <c r="Y75">
        <f>IF(X75="","",X75*1000/$B$4)</f>
        <v/>
      </c>
    </row>
    <row r="76">
      <c r="A76" s="10" t="n"/>
      <c r="B76" s="10" t="n"/>
      <c r="C76" s="11">
        <f>IF(A76="","",$B$5*TAN(RADIANS(A76)))</f>
        <v/>
      </c>
      <c r="D76" s="11">
        <f>IF(C76="","",C76*(1+B76/100))</f>
        <v/>
      </c>
      <c r="E76" s="11">
        <f>IF(A76="","",$B$6*TAN(RADIANS(A76)))</f>
        <v/>
      </c>
      <c r="G76" s="12">
        <f>IF(U76="","",T76)</f>
        <v/>
      </c>
      <c r="H76" s="12">
        <f>IF(U76="","",$E$4+V76*COS(RADIANS($E$8))-W76*SIN(RADIANS($E$8)))</f>
        <v/>
      </c>
      <c r="I76" s="12">
        <f>IF(U76="","",$E$5+V76*SIN(RADIANS($E$8))+W76*COS(RADIANS($E$8)))</f>
        <v/>
      </c>
      <c r="J76" s="12">
        <f>IF(H76="","",H76-$B$7)</f>
        <v/>
      </c>
      <c r="K76" s="12">
        <f>IF(I76="","",I76-$B$8)</f>
        <v/>
      </c>
      <c r="L76" s="12">
        <f>IFERROR(SQRT(J76^2+K76^2)*$B$4/1000,"")</f>
        <v/>
      </c>
      <c r="M76" s="12">
        <f>IF(OR($E$13&lt;&gt;"OK",L76=""),"",IF(L76&lt;=$D$19,$A$19,IF(L76&gt;=INDEX($D$19:$D$2018,$E$12),INDEX($A$19:$A$2018,$E$12),INDEX($A$19:$A$2018,MATCH(L76,$D$19:INDEX($D$19:$D$2018,$E$12),1))+(L76-INDEX($D$19:$D$2018,MATCH(L76,$D$19:INDEX($D$19:$D$2018,$E$12),1)))*(INDEX($A$19:$A$2018,MATCH(L76,$D$19:INDEX($D$19:$D$2018,$E$12),1)+1)-INDEX($A$19:$A$2018,MATCH(L76,$D$19:INDEX($D$19:$D$2018,$E$12),1)))/(INDEX($D$19:$D$2018,MATCH(L76,$D$19:INDEX($D$19:$D$2018,$E$12),1)+1)-INDEX($D$19:$D$2018,MATCH(L76,$D$19:INDEX($D$19:$D$2018,$E$12),1))))))</f>
        <v/>
      </c>
      <c r="N76" s="12">
        <f>IF(M76="","",$B$6*TAN(RADIANS(M76)))</f>
        <v/>
      </c>
      <c r="O76" s="12">
        <f>IF(N76="","",IF(L76=0,0,-N76*J76/SQRT(J76^2+K76^2)))</f>
        <v/>
      </c>
      <c r="P76" s="12">
        <f>IF(N76="","",IF(L76=0,0,N76*K76/SQRT(J76^2+K76^2)))</f>
        <v/>
      </c>
      <c r="Q76" s="12">
        <f>IF(N76="","",IF(N76=0,$B$7,$B$7-Y76*O76/N76))</f>
        <v/>
      </c>
      <c r="R76" s="12">
        <f>IF(N76="","",IF(N76=0,$B$8,$B$8+Y76*P76/N76))</f>
        <v/>
      </c>
      <c r="S76" s="12">
        <f>IFERROR(SQRT((Q76-H76)^2+(R76-I76)^2),"")</f>
        <v/>
      </c>
      <c r="T76">
        <f>49</f>
        <v/>
      </c>
      <c r="U76">
        <f>IF(T76&gt;4*$E$9,"",MIN(INT(T76/$E$9)+1,4))</f>
        <v/>
      </c>
      <c r="V76">
        <f>IF(T76=4*$E$9,-$E$6/2,IF(U76="","",CHOOSE(U76,-$E$6/2+MOD(T76,$E$9)/$E$9*$E$6,$E$6/2,$E$6/2-MOD(T76,$E$9)/$E$9*$E$6,-$E$6/2)))</f>
        <v/>
      </c>
      <c r="W76">
        <f>IF(T76=4*$E$9,-$E$7/2,IF(U76="","",CHOOSE(U76,-$E$7/2,-$E$7/2+MOD(T76,$E$9)/$E$9*$E$7,$E$7/2,$E$7/2-MOD(T76,$E$9)/$E$9*$E$7)))</f>
        <v/>
      </c>
      <c r="X76">
        <f>IF(OR($E$13&lt;&gt;"OK",M76=""),"",IF(M76&lt;=$A$19,$D$19,IF(M76&gt;=INDEX($A$19:$A$2018,$E$12),INDEX($D$19:$D$2018,$E$12),INDEX($D$19:$D$2018,MATCH(M76,$A$19:INDEX($A$19:$A$2018,$E$12),1))+(M76-INDEX($A$19:$A$2018,MATCH(M76,$A$19:INDEX($A$19:$A$2018,$E$12),1)))*(INDEX($D$19:$D$2018,MATCH(M76,$A$19:INDEX($A$19:$A$2018,$E$12),1)+1)-INDEX($D$19:$D$2018,MATCH(M76,$A$19:INDEX($A$19:$A$2018,$E$12),1)))/(INDEX($A$19:$A$2018,MATCH(M76,$A$19:INDEX($A$19:$A$2018,$E$12),1)+1)-INDEX($A$19:$A$2018,MATCH(M76,$A$19:INDEX($A$19:$A$2018,$E$12),1))))))</f>
        <v/>
      </c>
      <c r="Y76">
        <f>IF(X76="","",X76*1000/$B$4)</f>
        <v/>
      </c>
    </row>
    <row r="77">
      <c r="A77" s="10" t="n"/>
      <c r="B77" s="10" t="n"/>
      <c r="C77" s="11">
        <f>IF(A77="","",$B$5*TAN(RADIANS(A77)))</f>
        <v/>
      </c>
      <c r="D77" s="11">
        <f>IF(C77="","",C77*(1+B77/100))</f>
        <v/>
      </c>
      <c r="E77" s="11">
        <f>IF(A77="","",$B$6*TAN(RADIANS(A77)))</f>
        <v/>
      </c>
      <c r="G77" s="12">
        <f>IF(U77="","",T77)</f>
        <v/>
      </c>
      <c r="H77" s="12">
        <f>IF(U77="","",$E$4+V77*COS(RADIANS($E$8))-W77*SIN(RADIANS($E$8)))</f>
        <v/>
      </c>
      <c r="I77" s="12">
        <f>IF(U77="","",$E$5+V77*SIN(RADIANS($E$8))+W77*COS(RADIANS($E$8)))</f>
        <v/>
      </c>
      <c r="J77" s="12">
        <f>IF(H77="","",H77-$B$7)</f>
        <v/>
      </c>
      <c r="K77" s="12">
        <f>IF(I77="","",I77-$B$8)</f>
        <v/>
      </c>
      <c r="L77" s="12">
        <f>IFERROR(SQRT(J77^2+K77^2)*$B$4/1000,"")</f>
        <v/>
      </c>
      <c r="M77" s="12">
        <f>IF(OR($E$13&lt;&gt;"OK",L77=""),"",IF(L77&lt;=$D$19,$A$19,IF(L77&gt;=INDEX($D$19:$D$2018,$E$12),INDEX($A$19:$A$2018,$E$12),INDEX($A$19:$A$2018,MATCH(L77,$D$19:INDEX($D$19:$D$2018,$E$12),1))+(L77-INDEX($D$19:$D$2018,MATCH(L77,$D$19:INDEX($D$19:$D$2018,$E$12),1)))*(INDEX($A$19:$A$2018,MATCH(L77,$D$19:INDEX($D$19:$D$2018,$E$12),1)+1)-INDEX($A$19:$A$2018,MATCH(L77,$D$19:INDEX($D$19:$D$2018,$E$12),1)))/(INDEX($D$19:$D$2018,MATCH(L77,$D$19:INDEX($D$19:$D$2018,$E$12),1)+1)-INDEX($D$19:$D$2018,MATCH(L77,$D$19:INDEX($D$19:$D$2018,$E$12),1))))))</f>
        <v/>
      </c>
      <c r="N77" s="12">
        <f>IF(M77="","",$B$6*TAN(RADIANS(M77)))</f>
        <v/>
      </c>
      <c r="O77" s="12">
        <f>IF(N77="","",IF(L77=0,0,-N77*J77/SQRT(J77^2+K77^2)))</f>
        <v/>
      </c>
      <c r="P77" s="12">
        <f>IF(N77="","",IF(L77=0,0,N77*K77/SQRT(J77^2+K77^2)))</f>
        <v/>
      </c>
      <c r="Q77" s="12">
        <f>IF(N77="","",IF(N77=0,$B$7,$B$7-Y77*O77/N77))</f>
        <v/>
      </c>
      <c r="R77" s="12">
        <f>IF(N77="","",IF(N77=0,$B$8,$B$8+Y77*P77/N77))</f>
        <v/>
      </c>
      <c r="S77" s="12">
        <f>IFERROR(SQRT((Q77-H77)^2+(R77-I77)^2),"")</f>
        <v/>
      </c>
      <c r="T77">
        <f>50</f>
        <v/>
      </c>
      <c r="U77">
        <f>IF(T77&gt;4*$E$9,"",MIN(INT(T77/$E$9)+1,4))</f>
        <v/>
      </c>
      <c r="V77">
        <f>IF(T77=4*$E$9,-$E$6/2,IF(U77="","",CHOOSE(U77,-$E$6/2+MOD(T77,$E$9)/$E$9*$E$6,$E$6/2,$E$6/2-MOD(T77,$E$9)/$E$9*$E$6,-$E$6/2)))</f>
        <v/>
      </c>
      <c r="W77">
        <f>IF(T77=4*$E$9,-$E$7/2,IF(U77="","",CHOOSE(U77,-$E$7/2,-$E$7/2+MOD(T77,$E$9)/$E$9*$E$7,$E$7/2,$E$7/2-MOD(T77,$E$9)/$E$9*$E$7)))</f>
        <v/>
      </c>
      <c r="X77">
        <f>IF(OR($E$13&lt;&gt;"OK",M77=""),"",IF(M77&lt;=$A$19,$D$19,IF(M77&gt;=INDEX($A$19:$A$2018,$E$12),INDEX($D$19:$D$2018,$E$12),INDEX($D$19:$D$2018,MATCH(M77,$A$19:INDEX($A$19:$A$2018,$E$12),1))+(M77-INDEX($A$19:$A$2018,MATCH(M77,$A$19:INDEX($A$19:$A$2018,$E$12),1)))*(INDEX($D$19:$D$2018,MATCH(M77,$A$19:INDEX($A$19:$A$2018,$E$12),1)+1)-INDEX($D$19:$D$2018,MATCH(M77,$A$19:INDEX($A$19:$A$2018,$E$12),1)))/(INDEX($A$19:$A$2018,MATCH(M77,$A$19:INDEX($A$19:$A$2018,$E$12),1)+1)-INDEX($A$19:$A$2018,MATCH(M77,$A$19:INDEX($A$19:$A$2018,$E$12),1))))))</f>
        <v/>
      </c>
      <c r="Y77">
        <f>IF(X77="","",X77*1000/$B$4)</f>
        <v/>
      </c>
    </row>
    <row r="78">
      <c r="A78" s="10" t="n"/>
      <c r="B78" s="10" t="n"/>
      <c r="C78" s="11">
        <f>IF(A78="","",$B$5*TAN(RADIANS(A78)))</f>
        <v/>
      </c>
      <c r="D78" s="11">
        <f>IF(C78="","",C78*(1+B78/100))</f>
        <v/>
      </c>
      <c r="E78" s="11">
        <f>IF(A78="","",$B$6*TAN(RADIANS(A78)))</f>
        <v/>
      </c>
      <c r="G78" s="12">
        <f>IF(U78="","",T78)</f>
        <v/>
      </c>
      <c r="H78" s="12">
        <f>IF(U78="","",$E$4+V78*COS(RADIANS($E$8))-W78*SIN(RADIANS($E$8)))</f>
        <v/>
      </c>
      <c r="I78" s="12">
        <f>IF(U78="","",$E$5+V78*SIN(RADIANS($E$8))+W78*COS(RADIANS($E$8)))</f>
        <v/>
      </c>
      <c r="J78" s="12">
        <f>IF(H78="","",H78-$B$7)</f>
        <v/>
      </c>
      <c r="K78" s="12">
        <f>IF(I78="","",I78-$B$8)</f>
        <v/>
      </c>
      <c r="L78" s="12">
        <f>IFERROR(SQRT(J78^2+K78^2)*$B$4/1000,"")</f>
        <v/>
      </c>
      <c r="M78" s="12">
        <f>IF(OR($E$13&lt;&gt;"OK",L78=""),"",IF(L78&lt;=$D$19,$A$19,IF(L78&gt;=INDEX($D$19:$D$2018,$E$12),INDEX($A$19:$A$2018,$E$12),INDEX($A$19:$A$2018,MATCH(L78,$D$19:INDEX($D$19:$D$2018,$E$12),1))+(L78-INDEX($D$19:$D$2018,MATCH(L78,$D$19:INDEX($D$19:$D$2018,$E$12),1)))*(INDEX($A$19:$A$2018,MATCH(L78,$D$19:INDEX($D$19:$D$2018,$E$12),1)+1)-INDEX($A$19:$A$2018,MATCH(L78,$D$19:INDEX($D$19:$D$2018,$E$12),1)))/(INDEX($D$19:$D$2018,MATCH(L78,$D$19:INDEX($D$19:$D$2018,$E$12),1)+1)-INDEX($D$19:$D$2018,MATCH(L78,$D$19:INDEX($D$19:$D$2018,$E$12),1))))))</f>
        <v/>
      </c>
      <c r="N78" s="12">
        <f>IF(M78="","",$B$6*TAN(RADIANS(M78)))</f>
        <v/>
      </c>
      <c r="O78" s="12">
        <f>IF(N78="","",IF(L78=0,0,-N78*J78/SQRT(J78^2+K78^2)))</f>
        <v/>
      </c>
      <c r="P78" s="12">
        <f>IF(N78="","",IF(L78=0,0,N78*K78/SQRT(J78^2+K78^2)))</f>
        <v/>
      </c>
      <c r="Q78" s="12">
        <f>IF(N78="","",IF(N78=0,$B$7,$B$7-Y78*O78/N78))</f>
        <v/>
      </c>
      <c r="R78" s="12">
        <f>IF(N78="","",IF(N78=0,$B$8,$B$8+Y78*P78/N78))</f>
        <v/>
      </c>
      <c r="S78" s="12">
        <f>IFERROR(SQRT((Q78-H78)^2+(R78-I78)^2),"")</f>
        <v/>
      </c>
      <c r="T78">
        <f>51</f>
        <v/>
      </c>
      <c r="U78">
        <f>IF(T78&gt;4*$E$9,"",MIN(INT(T78/$E$9)+1,4))</f>
        <v/>
      </c>
      <c r="V78">
        <f>IF(T78=4*$E$9,-$E$6/2,IF(U78="","",CHOOSE(U78,-$E$6/2+MOD(T78,$E$9)/$E$9*$E$6,$E$6/2,$E$6/2-MOD(T78,$E$9)/$E$9*$E$6,-$E$6/2)))</f>
        <v/>
      </c>
      <c r="W78">
        <f>IF(T78=4*$E$9,-$E$7/2,IF(U78="","",CHOOSE(U78,-$E$7/2,-$E$7/2+MOD(T78,$E$9)/$E$9*$E$7,$E$7/2,$E$7/2-MOD(T78,$E$9)/$E$9*$E$7)))</f>
        <v/>
      </c>
      <c r="X78">
        <f>IF(OR($E$13&lt;&gt;"OK",M78=""),"",IF(M78&lt;=$A$19,$D$19,IF(M78&gt;=INDEX($A$19:$A$2018,$E$12),INDEX($D$19:$D$2018,$E$12),INDEX($D$19:$D$2018,MATCH(M78,$A$19:INDEX($A$19:$A$2018,$E$12),1))+(M78-INDEX($A$19:$A$2018,MATCH(M78,$A$19:INDEX($A$19:$A$2018,$E$12),1)))*(INDEX($D$19:$D$2018,MATCH(M78,$A$19:INDEX($A$19:$A$2018,$E$12),1)+1)-INDEX($D$19:$D$2018,MATCH(M78,$A$19:INDEX($A$19:$A$2018,$E$12),1)))/(INDEX($A$19:$A$2018,MATCH(M78,$A$19:INDEX($A$19:$A$2018,$E$12),1)+1)-INDEX($A$19:$A$2018,MATCH(M78,$A$19:INDEX($A$19:$A$2018,$E$12),1))))))</f>
        <v/>
      </c>
      <c r="Y78">
        <f>IF(X78="","",X78*1000/$B$4)</f>
        <v/>
      </c>
    </row>
    <row r="79">
      <c r="A79" s="10" t="n"/>
      <c r="B79" s="10" t="n"/>
      <c r="C79" s="11">
        <f>IF(A79="","",$B$5*TAN(RADIANS(A79)))</f>
        <v/>
      </c>
      <c r="D79" s="11">
        <f>IF(C79="","",C79*(1+B79/100))</f>
        <v/>
      </c>
      <c r="E79" s="11">
        <f>IF(A79="","",$B$6*TAN(RADIANS(A79)))</f>
        <v/>
      </c>
      <c r="G79" s="12">
        <f>IF(U79="","",T79)</f>
        <v/>
      </c>
      <c r="H79" s="12">
        <f>IF(U79="","",$E$4+V79*COS(RADIANS($E$8))-W79*SIN(RADIANS($E$8)))</f>
        <v/>
      </c>
      <c r="I79" s="12">
        <f>IF(U79="","",$E$5+V79*SIN(RADIANS($E$8))+W79*COS(RADIANS($E$8)))</f>
        <v/>
      </c>
      <c r="J79" s="12">
        <f>IF(H79="","",H79-$B$7)</f>
        <v/>
      </c>
      <c r="K79" s="12">
        <f>IF(I79="","",I79-$B$8)</f>
        <v/>
      </c>
      <c r="L79" s="12">
        <f>IFERROR(SQRT(J79^2+K79^2)*$B$4/1000,"")</f>
        <v/>
      </c>
      <c r="M79" s="12">
        <f>IF(OR($E$13&lt;&gt;"OK",L79=""),"",IF(L79&lt;=$D$19,$A$19,IF(L79&gt;=INDEX($D$19:$D$2018,$E$12),INDEX($A$19:$A$2018,$E$12),INDEX($A$19:$A$2018,MATCH(L79,$D$19:INDEX($D$19:$D$2018,$E$12),1))+(L79-INDEX($D$19:$D$2018,MATCH(L79,$D$19:INDEX($D$19:$D$2018,$E$12),1)))*(INDEX($A$19:$A$2018,MATCH(L79,$D$19:INDEX($D$19:$D$2018,$E$12),1)+1)-INDEX($A$19:$A$2018,MATCH(L79,$D$19:INDEX($D$19:$D$2018,$E$12),1)))/(INDEX($D$19:$D$2018,MATCH(L79,$D$19:INDEX($D$19:$D$2018,$E$12),1)+1)-INDEX($D$19:$D$2018,MATCH(L79,$D$19:INDEX($D$19:$D$2018,$E$12),1))))))</f>
        <v/>
      </c>
      <c r="N79" s="12">
        <f>IF(M79="","",$B$6*TAN(RADIANS(M79)))</f>
        <v/>
      </c>
      <c r="O79" s="12">
        <f>IF(N79="","",IF(L79=0,0,-N79*J79/SQRT(J79^2+K79^2)))</f>
        <v/>
      </c>
      <c r="P79" s="12">
        <f>IF(N79="","",IF(L79=0,0,N79*K79/SQRT(J79^2+K79^2)))</f>
        <v/>
      </c>
      <c r="Q79" s="12">
        <f>IF(N79="","",IF(N79=0,$B$7,$B$7-Y79*O79/N79))</f>
        <v/>
      </c>
      <c r="R79" s="12">
        <f>IF(N79="","",IF(N79=0,$B$8,$B$8+Y79*P79/N79))</f>
        <v/>
      </c>
      <c r="S79" s="12">
        <f>IFERROR(SQRT((Q79-H79)^2+(R79-I79)^2),"")</f>
        <v/>
      </c>
      <c r="T79">
        <f>52</f>
        <v/>
      </c>
      <c r="U79">
        <f>IF(T79&gt;4*$E$9,"",MIN(INT(T79/$E$9)+1,4))</f>
        <v/>
      </c>
      <c r="V79">
        <f>IF(T79=4*$E$9,-$E$6/2,IF(U79="","",CHOOSE(U79,-$E$6/2+MOD(T79,$E$9)/$E$9*$E$6,$E$6/2,$E$6/2-MOD(T79,$E$9)/$E$9*$E$6,-$E$6/2)))</f>
        <v/>
      </c>
      <c r="W79">
        <f>IF(T79=4*$E$9,-$E$7/2,IF(U79="","",CHOOSE(U79,-$E$7/2,-$E$7/2+MOD(T79,$E$9)/$E$9*$E$7,$E$7/2,$E$7/2-MOD(T79,$E$9)/$E$9*$E$7)))</f>
        <v/>
      </c>
      <c r="X79">
        <f>IF(OR($E$13&lt;&gt;"OK",M79=""),"",IF(M79&lt;=$A$19,$D$19,IF(M79&gt;=INDEX($A$19:$A$2018,$E$12),INDEX($D$19:$D$2018,$E$12),INDEX($D$19:$D$2018,MATCH(M79,$A$19:INDEX($A$19:$A$2018,$E$12),1))+(M79-INDEX($A$19:$A$2018,MATCH(M79,$A$19:INDEX($A$19:$A$2018,$E$12),1)))*(INDEX($D$19:$D$2018,MATCH(M79,$A$19:INDEX($A$19:$A$2018,$E$12),1)+1)-INDEX($D$19:$D$2018,MATCH(M79,$A$19:INDEX($A$19:$A$2018,$E$12),1)))/(INDEX($A$19:$A$2018,MATCH(M79,$A$19:INDEX($A$19:$A$2018,$E$12),1)+1)-INDEX($A$19:$A$2018,MATCH(M79,$A$19:INDEX($A$19:$A$2018,$E$12),1))))))</f>
        <v/>
      </c>
      <c r="Y79">
        <f>IF(X79="","",X79*1000/$B$4)</f>
        <v/>
      </c>
    </row>
    <row r="80">
      <c r="A80" s="10" t="n"/>
      <c r="B80" s="10" t="n"/>
      <c r="C80" s="11">
        <f>IF(A80="","",$B$5*TAN(RADIANS(A80)))</f>
        <v/>
      </c>
      <c r="D80" s="11">
        <f>IF(C80="","",C80*(1+B80/100))</f>
        <v/>
      </c>
      <c r="E80" s="11">
        <f>IF(A80="","",$B$6*TAN(RADIANS(A80)))</f>
        <v/>
      </c>
      <c r="G80" s="12">
        <f>IF(U80="","",T80)</f>
        <v/>
      </c>
      <c r="H80" s="12">
        <f>IF(U80="","",$E$4+V80*COS(RADIANS($E$8))-W80*SIN(RADIANS($E$8)))</f>
        <v/>
      </c>
      <c r="I80" s="12">
        <f>IF(U80="","",$E$5+V80*SIN(RADIANS($E$8))+W80*COS(RADIANS($E$8)))</f>
        <v/>
      </c>
      <c r="J80" s="12">
        <f>IF(H80="","",H80-$B$7)</f>
        <v/>
      </c>
      <c r="K80" s="12">
        <f>IF(I80="","",I80-$B$8)</f>
        <v/>
      </c>
      <c r="L80" s="12">
        <f>IFERROR(SQRT(J80^2+K80^2)*$B$4/1000,"")</f>
        <v/>
      </c>
      <c r="M80" s="12">
        <f>IF(OR($E$13&lt;&gt;"OK",L80=""),"",IF(L80&lt;=$D$19,$A$19,IF(L80&gt;=INDEX($D$19:$D$2018,$E$12),INDEX($A$19:$A$2018,$E$12),INDEX($A$19:$A$2018,MATCH(L80,$D$19:INDEX($D$19:$D$2018,$E$12),1))+(L80-INDEX($D$19:$D$2018,MATCH(L80,$D$19:INDEX($D$19:$D$2018,$E$12),1)))*(INDEX($A$19:$A$2018,MATCH(L80,$D$19:INDEX($D$19:$D$2018,$E$12),1)+1)-INDEX($A$19:$A$2018,MATCH(L80,$D$19:INDEX($D$19:$D$2018,$E$12),1)))/(INDEX($D$19:$D$2018,MATCH(L80,$D$19:INDEX($D$19:$D$2018,$E$12),1)+1)-INDEX($D$19:$D$2018,MATCH(L80,$D$19:INDEX($D$19:$D$2018,$E$12),1))))))</f>
        <v/>
      </c>
      <c r="N80" s="12">
        <f>IF(M80="","",$B$6*TAN(RADIANS(M80)))</f>
        <v/>
      </c>
      <c r="O80" s="12">
        <f>IF(N80="","",IF(L80=0,0,-N80*J80/SQRT(J80^2+K80^2)))</f>
        <v/>
      </c>
      <c r="P80" s="12">
        <f>IF(N80="","",IF(L80=0,0,N80*K80/SQRT(J80^2+K80^2)))</f>
        <v/>
      </c>
      <c r="Q80" s="12">
        <f>IF(N80="","",IF(N80=0,$B$7,$B$7-Y80*O80/N80))</f>
        <v/>
      </c>
      <c r="R80" s="12">
        <f>IF(N80="","",IF(N80=0,$B$8,$B$8+Y80*P80/N80))</f>
        <v/>
      </c>
      <c r="S80" s="12">
        <f>IFERROR(SQRT((Q80-H80)^2+(R80-I80)^2),"")</f>
        <v/>
      </c>
      <c r="T80">
        <f>53</f>
        <v/>
      </c>
      <c r="U80">
        <f>IF(T80&gt;4*$E$9,"",MIN(INT(T80/$E$9)+1,4))</f>
        <v/>
      </c>
      <c r="V80">
        <f>IF(T80=4*$E$9,-$E$6/2,IF(U80="","",CHOOSE(U80,-$E$6/2+MOD(T80,$E$9)/$E$9*$E$6,$E$6/2,$E$6/2-MOD(T80,$E$9)/$E$9*$E$6,-$E$6/2)))</f>
        <v/>
      </c>
      <c r="W80">
        <f>IF(T80=4*$E$9,-$E$7/2,IF(U80="","",CHOOSE(U80,-$E$7/2,-$E$7/2+MOD(T80,$E$9)/$E$9*$E$7,$E$7/2,$E$7/2-MOD(T80,$E$9)/$E$9*$E$7)))</f>
        <v/>
      </c>
      <c r="X80">
        <f>IF(OR($E$13&lt;&gt;"OK",M80=""),"",IF(M80&lt;=$A$19,$D$19,IF(M80&gt;=INDEX($A$19:$A$2018,$E$12),INDEX($D$19:$D$2018,$E$12),INDEX($D$19:$D$2018,MATCH(M80,$A$19:INDEX($A$19:$A$2018,$E$12),1))+(M80-INDEX($A$19:$A$2018,MATCH(M80,$A$19:INDEX($A$19:$A$2018,$E$12),1)))*(INDEX($D$19:$D$2018,MATCH(M80,$A$19:INDEX($A$19:$A$2018,$E$12),1)+1)-INDEX($D$19:$D$2018,MATCH(M80,$A$19:INDEX($A$19:$A$2018,$E$12),1)))/(INDEX($A$19:$A$2018,MATCH(M80,$A$19:INDEX($A$19:$A$2018,$E$12),1)+1)-INDEX($A$19:$A$2018,MATCH(M80,$A$19:INDEX($A$19:$A$2018,$E$12),1))))))</f>
        <v/>
      </c>
      <c r="Y80">
        <f>IF(X80="","",X80*1000/$B$4)</f>
        <v/>
      </c>
    </row>
    <row r="81">
      <c r="A81" s="10" t="n"/>
      <c r="B81" s="10" t="n"/>
      <c r="C81" s="11">
        <f>IF(A81="","",$B$5*TAN(RADIANS(A81)))</f>
        <v/>
      </c>
      <c r="D81" s="11">
        <f>IF(C81="","",C81*(1+B81/100))</f>
        <v/>
      </c>
      <c r="E81" s="11">
        <f>IF(A81="","",$B$6*TAN(RADIANS(A81)))</f>
        <v/>
      </c>
      <c r="G81" s="12">
        <f>IF(U81="","",T81)</f>
        <v/>
      </c>
      <c r="H81" s="12">
        <f>IF(U81="","",$E$4+V81*COS(RADIANS($E$8))-W81*SIN(RADIANS($E$8)))</f>
        <v/>
      </c>
      <c r="I81" s="12">
        <f>IF(U81="","",$E$5+V81*SIN(RADIANS($E$8))+W81*COS(RADIANS($E$8)))</f>
        <v/>
      </c>
      <c r="J81" s="12">
        <f>IF(H81="","",H81-$B$7)</f>
        <v/>
      </c>
      <c r="K81" s="12">
        <f>IF(I81="","",I81-$B$8)</f>
        <v/>
      </c>
      <c r="L81" s="12">
        <f>IFERROR(SQRT(J81^2+K81^2)*$B$4/1000,"")</f>
        <v/>
      </c>
      <c r="M81" s="12">
        <f>IF(OR($E$13&lt;&gt;"OK",L81=""),"",IF(L81&lt;=$D$19,$A$19,IF(L81&gt;=INDEX($D$19:$D$2018,$E$12),INDEX($A$19:$A$2018,$E$12),INDEX($A$19:$A$2018,MATCH(L81,$D$19:INDEX($D$19:$D$2018,$E$12),1))+(L81-INDEX($D$19:$D$2018,MATCH(L81,$D$19:INDEX($D$19:$D$2018,$E$12),1)))*(INDEX($A$19:$A$2018,MATCH(L81,$D$19:INDEX($D$19:$D$2018,$E$12),1)+1)-INDEX($A$19:$A$2018,MATCH(L81,$D$19:INDEX($D$19:$D$2018,$E$12),1)))/(INDEX($D$19:$D$2018,MATCH(L81,$D$19:INDEX($D$19:$D$2018,$E$12),1)+1)-INDEX($D$19:$D$2018,MATCH(L81,$D$19:INDEX($D$19:$D$2018,$E$12),1))))))</f>
        <v/>
      </c>
      <c r="N81" s="12">
        <f>IF(M81="","",$B$6*TAN(RADIANS(M81)))</f>
        <v/>
      </c>
      <c r="O81" s="12">
        <f>IF(N81="","",IF(L81=0,0,-N81*J81/SQRT(J81^2+K81^2)))</f>
        <v/>
      </c>
      <c r="P81" s="12">
        <f>IF(N81="","",IF(L81=0,0,N81*K81/SQRT(J81^2+K81^2)))</f>
        <v/>
      </c>
      <c r="Q81" s="12">
        <f>IF(N81="","",IF(N81=0,$B$7,$B$7-Y81*O81/N81))</f>
        <v/>
      </c>
      <c r="R81" s="12">
        <f>IF(N81="","",IF(N81=0,$B$8,$B$8+Y81*P81/N81))</f>
        <v/>
      </c>
      <c r="S81" s="12">
        <f>IFERROR(SQRT((Q81-H81)^2+(R81-I81)^2),"")</f>
        <v/>
      </c>
      <c r="T81">
        <f>54</f>
        <v/>
      </c>
      <c r="U81">
        <f>IF(T81&gt;4*$E$9,"",MIN(INT(T81/$E$9)+1,4))</f>
        <v/>
      </c>
      <c r="V81">
        <f>IF(T81=4*$E$9,-$E$6/2,IF(U81="","",CHOOSE(U81,-$E$6/2+MOD(T81,$E$9)/$E$9*$E$6,$E$6/2,$E$6/2-MOD(T81,$E$9)/$E$9*$E$6,-$E$6/2)))</f>
        <v/>
      </c>
      <c r="W81">
        <f>IF(T81=4*$E$9,-$E$7/2,IF(U81="","",CHOOSE(U81,-$E$7/2,-$E$7/2+MOD(T81,$E$9)/$E$9*$E$7,$E$7/2,$E$7/2-MOD(T81,$E$9)/$E$9*$E$7)))</f>
        <v/>
      </c>
      <c r="X81">
        <f>IF(OR($E$13&lt;&gt;"OK",M81=""),"",IF(M81&lt;=$A$19,$D$19,IF(M81&gt;=INDEX($A$19:$A$2018,$E$12),INDEX($D$19:$D$2018,$E$12),INDEX($D$19:$D$2018,MATCH(M81,$A$19:INDEX($A$19:$A$2018,$E$12),1))+(M81-INDEX($A$19:$A$2018,MATCH(M81,$A$19:INDEX($A$19:$A$2018,$E$12),1)))*(INDEX($D$19:$D$2018,MATCH(M81,$A$19:INDEX($A$19:$A$2018,$E$12),1)+1)-INDEX($D$19:$D$2018,MATCH(M81,$A$19:INDEX($A$19:$A$2018,$E$12),1)))/(INDEX($A$19:$A$2018,MATCH(M81,$A$19:INDEX($A$19:$A$2018,$E$12),1)+1)-INDEX($A$19:$A$2018,MATCH(M81,$A$19:INDEX($A$19:$A$2018,$E$12),1))))))</f>
        <v/>
      </c>
      <c r="Y81">
        <f>IF(X81="","",X81*1000/$B$4)</f>
        <v/>
      </c>
    </row>
    <row r="82">
      <c r="A82" s="10" t="n"/>
      <c r="B82" s="10" t="n"/>
      <c r="C82" s="11">
        <f>IF(A82="","",$B$5*TAN(RADIANS(A82)))</f>
        <v/>
      </c>
      <c r="D82" s="11">
        <f>IF(C82="","",C82*(1+B82/100))</f>
        <v/>
      </c>
      <c r="E82" s="11">
        <f>IF(A82="","",$B$6*TAN(RADIANS(A82)))</f>
        <v/>
      </c>
      <c r="G82" s="12">
        <f>IF(U82="","",T82)</f>
        <v/>
      </c>
      <c r="H82" s="12">
        <f>IF(U82="","",$E$4+V82*COS(RADIANS($E$8))-W82*SIN(RADIANS($E$8)))</f>
        <v/>
      </c>
      <c r="I82" s="12">
        <f>IF(U82="","",$E$5+V82*SIN(RADIANS($E$8))+W82*COS(RADIANS($E$8)))</f>
        <v/>
      </c>
      <c r="J82" s="12">
        <f>IF(H82="","",H82-$B$7)</f>
        <v/>
      </c>
      <c r="K82" s="12">
        <f>IF(I82="","",I82-$B$8)</f>
        <v/>
      </c>
      <c r="L82" s="12">
        <f>IFERROR(SQRT(J82^2+K82^2)*$B$4/1000,"")</f>
        <v/>
      </c>
      <c r="M82" s="12">
        <f>IF(OR($E$13&lt;&gt;"OK",L82=""),"",IF(L82&lt;=$D$19,$A$19,IF(L82&gt;=INDEX($D$19:$D$2018,$E$12),INDEX($A$19:$A$2018,$E$12),INDEX($A$19:$A$2018,MATCH(L82,$D$19:INDEX($D$19:$D$2018,$E$12),1))+(L82-INDEX($D$19:$D$2018,MATCH(L82,$D$19:INDEX($D$19:$D$2018,$E$12),1)))*(INDEX($A$19:$A$2018,MATCH(L82,$D$19:INDEX($D$19:$D$2018,$E$12),1)+1)-INDEX($A$19:$A$2018,MATCH(L82,$D$19:INDEX($D$19:$D$2018,$E$12),1)))/(INDEX($D$19:$D$2018,MATCH(L82,$D$19:INDEX($D$19:$D$2018,$E$12),1)+1)-INDEX($D$19:$D$2018,MATCH(L82,$D$19:INDEX($D$19:$D$2018,$E$12),1))))))</f>
        <v/>
      </c>
      <c r="N82" s="12">
        <f>IF(M82="","",$B$6*TAN(RADIANS(M82)))</f>
        <v/>
      </c>
      <c r="O82" s="12">
        <f>IF(N82="","",IF(L82=0,0,-N82*J82/SQRT(J82^2+K82^2)))</f>
        <v/>
      </c>
      <c r="P82" s="12">
        <f>IF(N82="","",IF(L82=0,0,N82*K82/SQRT(J82^2+K82^2)))</f>
        <v/>
      </c>
      <c r="Q82" s="12">
        <f>IF(N82="","",IF(N82=0,$B$7,$B$7-Y82*O82/N82))</f>
        <v/>
      </c>
      <c r="R82" s="12">
        <f>IF(N82="","",IF(N82=0,$B$8,$B$8+Y82*P82/N82))</f>
        <v/>
      </c>
      <c r="S82" s="12">
        <f>IFERROR(SQRT((Q82-H82)^2+(R82-I82)^2),"")</f>
        <v/>
      </c>
      <c r="T82">
        <f>55</f>
        <v/>
      </c>
      <c r="U82">
        <f>IF(T82&gt;4*$E$9,"",MIN(INT(T82/$E$9)+1,4))</f>
        <v/>
      </c>
      <c r="V82">
        <f>IF(T82=4*$E$9,-$E$6/2,IF(U82="","",CHOOSE(U82,-$E$6/2+MOD(T82,$E$9)/$E$9*$E$6,$E$6/2,$E$6/2-MOD(T82,$E$9)/$E$9*$E$6,-$E$6/2)))</f>
        <v/>
      </c>
      <c r="W82">
        <f>IF(T82=4*$E$9,-$E$7/2,IF(U82="","",CHOOSE(U82,-$E$7/2,-$E$7/2+MOD(T82,$E$9)/$E$9*$E$7,$E$7/2,$E$7/2-MOD(T82,$E$9)/$E$9*$E$7)))</f>
        <v/>
      </c>
      <c r="X82">
        <f>IF(OR($E$13&lt;&gt;"OK",M82=""),"",IF(M82&lt;=$A$19,$D$19,IF(M82&gt;=INDEX($A$19:$A$2018,$E$12),INDEX($D$19:$D$2018,$E$12),INDEX($D$19:$D$2018,MATCH(M82,$A$19:INDEX($A$19:$A$2018,$E$12),1))+(M82-INDEX($A$19:$A$2018,MATCH(M82,$A$19:INDEX($A$19:$A$2018,$E$12),1)))*(INDEX($D$19:$D$2018,MATCH(M82,$A$19:INDEX($A$19:$A$2018,$E$12),1)+1)-INDEX($D$19:$D$2018,MATCH(M82,$A$19:INDEX($A$19:$A$2018,$E$12),1)))/(INDEX($A$19:$A$2018,MATCH(M82,$A$19:INDEX($A$19:$A$2018,$E$12),1)+1)-INDEX($A$19:$A$2018,MATCH(M82,$A$19:INDEX($A$19:$A$2018,$E$12),1))))))</f>
        <v/>
      </c>
      <c r="Y82">
        <f>IF(X82="","",X82*1000/$B$4)</f>
        <v/>
      </c>
    </row>
    <row r="83">
      <c r="A83" s="10" t="n"/>
      <c r="B83" s="10" t="n"/>
      <c r="C83" s="11">
        <f>IF(A83="","",$B$5*TAN(RADIANS(A83)))</f>
        <v/>
      </c>
      <c r="D83" s="11">
        <f>IF(C83="","",C83*(1+B83/100))</f>
        <v/>
      </c>
      <c r="E83" s="11">
        <f>IF(A83="","",$B$6*TAN(RADIANS(A83)))</f>
        <v/>
      </c>
      <c r="G83" s="12">
        <f>IF(U83="","",T83)</f>
        <v/>
      </c>
      <c r="H83" s="12">
        <f>IF(U83="","",$E$4+V83*COS(RADIANS($E$8))-W83*SIN(RADIANS($E$8)))</f>
        <v/>
      </c>
      <c r="I83" s="12">
        <f>IF(U83="","",$E$5+V83*SIN(RADIANS($E$8))+W83*COS(RADIANS($E$8)))</f>
        <v/>
      </c>
      <c r="J83" s="12">
        <f>IF(H83="","",H83-$B$7)</f>
        <v/>
      </c>
      <c r="K83" s="12">
        <f>IF(I83="","",I83-$B$8)</f>
        <v/>
      </c>
      <c r="L83" s="12">
        <f>IFERROR(SQRT(J83^2+K83^2)*$B$4/1000,"")</f>
        <v/>
      </c>
      <c r="M83" s="12">
        <f>IF(OR($E$13&lt;&gt;"OK",L83=""),"",IF(L83&lt;=$D$19,$A$19,IF(L83&gt;=INDEX($D$19:$D$2018,$E$12),INDEX($A$19:$A$2018,$E$12),INDEX($A$19:$A$2018,MATCH(L83,$D$19:INDEX($D$19:$D$2018,$E$12),1))+(L83-INDEX($D$19:$D$2018,MATCH(L83,$D$19:INDEX($D$19:$D$2018,$E$12),1)))*(INDEX($A$19:$A$2018,MATCH(L83,$D$19:INDEX($D$19:$D$2018,$E$12),1)+1)-INDEX($A$19:$A$2018,MATCH(L83,$D$19:INDEX($D$19:$D$2018,$E$12),1)))/(INDEX($D$19:$D$2018,MATCH(L83,$D$19:INDEX($D$19:$D$2018,$E$12),1)+1)-INDEX($D$19:$D$2018,MATCH(L83,$D$19:INDEX($D$19:$D$2018,$E$12),1))))))</f>
        <v/>
      </c>
      <c r="N83" s="12">
        <f>IF(M83="","",$B$6*TAN(RADIANS(M83)))</f>
        <v/>
      </c>
      <c r="O83" s="12">
        <f>IF(N83="","",IF(L83=0,0,-N83*J83/SQRT(J83^2+K83^2)))</f>
        <v/>
      </c>
      <c r="P83" s="12">
        <f>IF(N83="","",IF(L83=0,0,N83*K83/SQRT(J83^2+K83^2)))</f>
        <v/>
      </c>
      <c r="Q83" s="12">
        <f>IF(N83="","",IF(N83=0,$B$7,$B$7-Y83*O83/N83))</f>
        <v/>
      </c>
      <c r="R83" s="12">
        <f>IF(N83="","",IF(N83=0,$B$8,$B$8+Y83*P83/N83))</f>
        <v/>
      </c>
      <c r="S83" s="12">
        <f>IFERROR(SQRT((Q83-H83)^2+(R83-I83)^2),"")</f>
        <v/>
      </c>
      <c r="T83">
        <f>56</f>
        <v/>
      </c>
      <c r="U83">
        <f>IF(T83&gt;4*$E$9,"",MIN(INT(T83/$E$9)+1,4))</f>
        <v/>
      </c>
      <c r="V83">
        <f>IF(T83=4*$E$9,-$E$6/2,IF(U83="","",CHOOSE(U83,-$E$6/2+MOD(T83,$E$9)/$E$9*$E$6,$E$6/2,$E$6/2-MOD(T83,$E$9)/$E$9*$E$6,-$E$6/2)))</f>
        <v/>
      </c>
      <c r="W83">
        <f>IF(T83=4*$E$9,-$E$7/2,IF(U83="","",CHOOSE(U83,-$E$7/2,-$E$7/2+MOD(T83,$E$9)/$E$9*$E$7,$E$7/2,$E$7/2-MOD(T83,$E$9)/$E$9*$E$7)))</f>
        <v/>
      </c>
      <c r="X83">
        <f>IF(OR($E$13&lt;&gt;"OK",M83=""),"",IF(M83&lt;=$A$19,$D$19,IF(M83&gt;=INDEX($A$19:$A$2018,$E$12),INDEX($D$19:$D$2018,$E$12),INDEX($D$19:$D$2018,MATCH(M83,$A$19:INDEX($A$19:$A$2018,$E$12),1))+(M83-INDEX($A$19:$A$2018,MATCH(M83,$A$19:INDEX($A$19:$A$2018,$E$12),1)))*(INDEX($D$19:$D$2018,MATCH(M83,$A$19:INDEX($A$19:$A$2018,$E$12),1)+1)-INDEX($D$19:$D$2018,MATCH(M83,$A$19:INDEX($A$19:$A$2018,$E$12),1)))/(INDEX($A$19:$A$2018,MATCH(M83,$A$19:INDEX($A$19:$A$2018,$E$12),1)+1)-INDEX($A$19:$A$2018,MATCH(M83,$A$19:INDEX($A$19:$A$2018,$E$12),1))))))</f>
        <v/>
      </c>
      <c r="Y83">
        <f>IF(X83="","",X83*1000/$B$4)</f>
        <v/>
      </c>
    </row>
    <row r="84">
      <c r="A84" s="10" t="n"/>
      <c r="B84" s="10" t="n"/>
      <c r="C84" s="11">
        <f>IF(A84="","",$B$5*TAN(RADIANS(A84)))</f>
        <v/>
      </c>
      <c r="D84" s="11">
        <f>IF(C84="","",C84*(1+B84/100))</f>
        <v/>
      </c>
      <c r="E84" s="11">
        <f>IF(A84="","",$B$6*TAN(RADIANS(A84)))</f>
        <v/>
      </c>
      <c r="G84" s="12">
        <f>IF(U84="","",T84)</f>
        <v/>
      </c>
      <c r="H84" s="12">
        <f>IF(U84="","",$E$4+V84*COS(RADIANS($E$8))-W84*SIN(RADIANS($E$8)))</f>
        <v/>
      </c>
      <c r="I84" s="12">
        <f>IF(U84="","",$E$5+V84*SIN(RADIANS($E$8))+W84*COS(RADIANS($E$8)))</f>
        <v/>
      </c>
      <c r="J84" s="12">
        <f>IF(H84="","",H84-$B$7)</f>
        <v/>
      </c>
      <c r="K84" s="12">
        <f>IF(I84="","",I84-$B$8)</f>
        <v/>
      </c>
      <c r="L84" s="12">
        <f>IFERROR(SQRT(J84^2+K84^2)*$B$4/1000,"")</f>
        <v/>
      </c>
      <c r="M84" s="12">
        <f>IF(OR($E$13&lt;&gt;"OK",L84=""),"",IF(L84&lt;=$D$19,$A$19,IF(L84&gt;=INDEX($D$19:$D$2018,$E$12),INDEX($A$19:$A$2018,$E$12),INDEX($A$19:$A$2018,MATCH(L84,$D$19:INDEX($D$19:$D$2018,$E$12),1))+(L84-INDEX($D$19:$D$2018,MATCH(L84,$D$19:INDEX($D$19:$D$2018,$E$12),1)))*(INDEX($A$19:$A$2018,MATCH(L84,$D$19:INDEX($D$19:$D$2018,$E$12),1)+1)-INDEX($A$19:$A$2018,MATCH(L84,$D$19:INDEX($D$19:$D$2018,$E$12),1)))/(INDEX($D$19:$D$2018,MATCH(L84,$D$19:INDEX($D$19:$D$2018,$E$12),1)+1)-INDEX($D$19:$D$2018,MATCH(L84,$D$19:INDEX($D$19:$D$2018,$E$12),1))))))</f>
        <v/>
      </c>
      <c r="N84" s="12">
        <f>IF(M84="","",$B$6*TAN(RADIANS(M84)))</f>
        <v/>
      </c>
      <c r="O84" s="12">
        <f>IF(N84="","",IF(L84=0,0,-N84*J84/SQRT(J84^2+K84^2)))</f>
        <v/>
      </c>
      <c r="P84" s="12">
        <f>IF(N84="","",IF(L84=0,0,N84*K84/SQRT(J84^2+K84^2)))</f>
        <v/>
      </c>
      <c r="Q84" s="12">
        <f>IF(N84="","",IF(N84=0,$B$7,$B$7-Y84*O84/N84))</f>
        <v/>
      </c>
      <c r="R84" s="12">
        <f>IF(N84="","",IF(N84=0,$B$8,$B$8+Y84*P84/N84))</f>
        <v/>
      </c>
      <c r="S84" s="12">
        <f>IFERROR(SQRT((Q84-H84)^2+(R84-I84)^2),"")</f>
        <v/>
      </c>
      <c r="T84">
        <f>57</f>
        <v/>
      </c>
      <c r="U84">
        <f>IF(T84&gt;4*$E$9,"",MIN(INT(T84/$E$9)+1,4))</f>
        <v/>
      </c>
      <c r="V84">
        <f>IF(T84=4*$E$9,-$E$6/2,IF(U84="","",CHOOSE(U84,-$E$6/2+MOD(T84,$E$9)/$E$9*$E$6,$E$6/2,$E$6/2-MOD(T84,$E$9)/$E$9*$E$6,-$E$6/2)))</f>
        <v/>
      </c>
      <c r="W84">
        <f>IF(T84=4*$E$9,-$E$7/2,IF(U84="","",CHOOSE(U84,-$E$7/2,-$E$7/2+MOD(T84,$E$9)/$E$9*$E$7,$E$7/2,$E$7/2-MOD(T84,$E$9)/$E$9*$E$7)))</f>
        <v/>
      </c>
      <c r="X84">
        <f>IF(OR($E$13&lt;&gt;"OK",M84=""),"",IF(M84&lt;=$A$19,$D$19,IF(M84&gt;=INDEX($A$19:$A$2018,$E$12),INDEX($D$19:$D$2018,$E$12),INDEX($D$19:$D$2018,MATCH(M84,$A$19:INDEX($A$19:$A$2018,$E$12),1))+(M84-INDEX($A$19:$A$2018,MATCH(M84,$A$19:INDEX($A$19:$A$2018,$E$12),1)))*(INDEX($D$19:$D$2018,MATCH(M84,$A$19:INDEX($A$19:$A$2018,$E$12),1)+1)-INDEX($D$19:$D$2018,MATCH(M84,$A$19:INDEX($A$19:$A$2018,$E$12),1)))/(INDEX($A$19:$A$2018,MATCH(M84,$A$19:INDEX($A$19:$A$2018,$E$12),1)+1)-INDEX($A$19:$A$2018,MATCH(M84,$A$19:INDEX($A$19:$A$2018,$E$12),1))))))</f>
        <v/>
      </c>
      <c r="Y84">
        <f>IF(X84="","",X84*1000/$B$4)</f>
        <v/>
      </c>
    </row>
    <row r="85">
      <c r="A85" s="10" t="n"/>
      <c r="B85" s="10" t="n"/>
      <c r="C85" s="11">
        <f>IF(A85="","",$B$5*TAN(RADIANS(A85)))</f>
        <v/>
      </c>
      <c r="D85" s="11">
        <f>IF(C85="","",C85*(1+B85/100))</f>
        <v/>
      </c>
      <c r="E85" s="11">
        <f>IF(A85="","",$B$6*TAN(RADIANS(A85)))</f>
        <v/>
      </c>
      <c r="G85" s="12">
        <f>IF(U85="","",T85)</f>
        <v/>
      </c>
      <c r="H85" s="12">
        <f>IF(U85="","",$E$4+V85*COS(RADIANS($E$8))-W85*SIN(RADIANS($E$8)))</f>
        <v/>
      </c>
      <c r="I85" s="12">
        <f>IF(U85="","",$E$5+V85*SIN(RADIANS($E$8))+W85*COS(RADIANS($E$8)))</f>
        <v/>
      </c>
      <c r="J85" s="12">
        <f>IF(H85="","",H85-$B$7)</f>
        <v/>
      </c>
      <c r="K85" s="12">
        <f>IF(I85="","",I85-$B$8)</f>
        <v/>
      </c>
      <c r="L85" s="12">
        <f>IFERROR(SQRT(J85^2+K85^2)*$B$4/1000,"")</f>
        <v/>
      </c>
      <c r="M85" s="12">
        <f>IF(OR($E$13&lt;&gt;"OK",L85=""),"",IF(L85&lt;=$D$19,$A$19,IF(L85&gt;=INDEX($D$19:$D$2018,$E$12),INDEX($A$19:$A$2018,$E$12),INDEX($A$19:$A$2018,MATCH(L85,$D$19:INDEX($D$19:$D$2018,$E$12),1))+(L85-INDEX($D$19:$D$2018,MATCH(L85,$D$19:INDEX($D$19:$D$2018,$E$12),1)))*(INDEX($A$19:$A$2018,MATCH(L85,$D$19:INDEX($D$19:$D$2018,$E$12),1)+1)-INDEX($A$19:$A$2018,MATCH(L85,$D$19:INDEX($D$19:$D$2018,$E$12),1)))/(INDEX($D$19:$D$2018,MATCH(L85,$D$19:INDEX($D$19:$D$2018,$E$12),1)+1)-INDEX($D$19:$D$2018,MATCH(L85,$D$19:INDEX($D$19:$D$2018,$E$12),1))))))</f>
        <v/>
      </c>
      <c r="N85" s="12">
        <f>IF(M85="","",$B$6*TAN(RADIANS(M85)))</f>
        <v/>
      </c>
      <c r="O85" s="12">
        <f>IF(N85="","",IF(L85=0,0,-N85*J85/SQRT(J85^2+K85^2)))</f>
        <v/>
      </c>
      <c r="P85" s="12">
        <f>IF(N85="","",IF(L85=0,0,N85*K85/SQRT(J85^2+K85^2)))</f>
        <v/>
      </c>
      <c r="Q85" s="12">
        <f>IF(N85="","",IF(N85=0,$B$7,$B$7-Y85*O85/N85))</f>
        <v/>
      </c>
      <c r="R85" s="12">
        <f>IF(N85="","",IF(N85=0,$B$8,$B$8+Y85*P85/N85))</f>
        <v/>
      </c>
      <c r="S85" s="12">
        <f>IFERROR(SQRT((Q85-H85)^2+(R85-I85)^2),"")</f>
        <v/>
      </c>
      <c r="T85">
        <f>58</f>
        <v/>
      </c>
      <c r="U85">
        <f>IF(T85&gt;4*$E$9,"",MIN(INT(T85/$E$9)+1,4))</f>
        <v/>
      </c>
      <c r="V85">
        <f>IF(T85=4*$E$9,-$E$6/2,IF(U85="","",CHOOSE(U85,-$E$6/2+MOD(T85,$E$9)/$E$9*$E$6,$E$6/2,$E$6/2-MOD(T85,$E$9)/$E$9*$E$6,-$E$6/2)))</f>
        <v/>
      </c>
      <c r="W85">
        <f>IF(T85=4*$E$9,-$E$7/2,IF(U85="","",CHOOSE(U85,-$E$7/2,-$E$7/2+MOD(T85,$E$9)/$E$9*$E$7,$E$7/2,$E$7/2-MOD(T85,$E$9)/$E$9*$E$7)))</f>
        <v/>
      </c>
      <c r="X85">
        <f>IF(OR($E$13&lt;&gt;"OK",M85=""),"",IF(M85&lt;=$A$19,$D$19,IF(M85&gt;=INDEX($A$19:$A$2018,$E$12),INDEX($D$19:$D$2018,$E$12),INDEX($D$19:$D$2018,MATCH(M85,$A$19:INDEX($A$19:$A$2018,$E$12),1))+(M85-INDEX($A$19:$A$2018,MATCH(M85,$A$19:INDEX($A$19:$A$2018,$E$12),1)))*(INDEX($D$19:$D$2018,MATCH(M85,$A$19:INDEX($A$19:$A$2018,$E$12),1)+1)-INDEX($D$19:$D$2018,MATCH(M85,$A$19:INDEX($A$19:$A$2018,$E$12),1)))/(INDEX($A$19:$A$2018,MATCH(M85,$A$19:INDEX($A$19:$A$2018,$E$12),1)+1)-INDEX($A$19:$A$2018,MATCH(M85,$A$19:INDEX($A$19:$A$2018,$E$12),1))))))</f>
        <v/>
      </c>
      <c r="Y85">
        <f>IF(X85="","",X85*1000/$B$4)</f>
        <v/>
      </c>
    </row>
    <row r="86">
      <c r="A86" s="10" t="n"/>
      <c r="B86" s="10" t="n"/>
      <c r="C86" s="11">
        <f>IF(A86="","",$B$5*TAN(RADIANS(A86)))</f>
        <v/>
      </c>
      <c r="D86" s="11">
        <f>IF(C86="","",C86*(1+B86/100))</f>
        <v/>
      </c>
      <c r="E86" s="11">
        <f>IF(A86="","",$B$6*TAN(RADIANS(A86)))</f>
        <v/>
      </c>
      <c r="G86" s="12">
        <f>IF(U86="","",T86)</f>
        <v/>
      </c>
      <c r="H86" s="12">
        <f>IF(U86="","",$E$4+V86*COS(RADIANS($E$8))-W86*SIN(RADIANS($E$8)))</f>
        <v/>
      </c>
      <c r="I86" s="12">
        <f>IF(U86="","",$E$5+V86*SIN(RADIANS($E$8))+W86*COS(RADIANS($E$8)))</f>
        <v/>
      </c>
      <c r="J86" s="12">
        <f>IF(H86="","",H86-$B$7)</f>
        <v/>
      </c>
      <c r="K86" s="12">
        <f>IF(I86="","",I86-$B$8)</f>
        <v/>
      </c>
      <c r="L86" s="12">
        <f>IFERROR(SQRT(J86^2+K86^2)*$B$4/1000,"")</f>
        <v/>
      </c>
      <c r="M86" s="12">
        <f>IF(OR($E$13&lt;&gt;"OK",L86=""),"",IF(L86&lt;=$D$19,$A$19,IF(L86&gt;=INDEX($D$19:$D$2018,$E$12),INDEX($A$19:$A$2018,$E$12),INDEX($A$19:$A$2018,MATCH(L86,$D$19:INDEX($D$19:$D$2018,$E$12),1))+(L86-INDEX($D$19:$D$2018,MATCH(L86,$D$19:INDEX($D$19:$D$2018,$E$12),1)))*(INDEX($A$19:$A$2018,MATCH(L86,$D$19:INDEX($D$19:$D$2018,$E$12),1)+1)-INDEX($A$19:$A$2018,MATCH(L86,$D$19:INDEX($D$19:$D$2018,$E$12),1)))/(INDEX($D$19:$D$2018,MATCH(L86,$D$19:INDEX($D$19:$D$2018,$E$12),1)+1)-INDEX($D$19:$D$2018,MATCH(L86,$D$19:INDEX($D$19:$D$2018,$E$12),1))))))</f>
        <v/>
      </c>
      <c r="N86" s="12">
        <f>IF(M86="","",$B$6*TAN(RADIANS(M86)))</f>
        <v/>
      </c>
      <c r="O86" s="12">
        <f>IF(N86="","",IF(L86=0,0,-N86*J86/SQRT(J86^2+K86^2)))</f>
        <v/>
      </c>
      <c r="P86" s="12">
        <f>IF(N86="","",IF(L86=0,0,N86*K86/SQRT(J86^2+K86^2)))</f>
        <v/>
      </c>
      <c r="Q86" s="12">
        <f>IF(N86="","",IF(N86=0,$B$7,$B$7-Y86*O86/N86))</f>
        <v/>
      </c>
      <c r="R86" s="12">
        <f>IF(N86="","",IF(N86=0,$B$8,$B$8+Y86*P86/N86))</f>
        <v/>
      </c>
      <c r="S86" s="12">
        <f>IFERROR(SQRT((Q86-H86)^2+(R86-I86)^2),"")</f>
        <v/>
      </c>
      <c r="T86">
        <f>59</f>
        <v/>
      </c>
      <c r="U86">
        <f>IF(T86&gt;4*$E$9,"",MIN(INT(T86/$E$9)+1,4))</f>
        <v/>
      </c>
      <c r="V86">
        <f>IF(T86=4*$E$9,-$E$6/2,IF(U86="","",CHOOSE(U86,-$E$6/2+MOD(T86,$E$9)/$E$9*$E$6,$E$6/2,$E$6/2-MOD(T86,$E$9)/$E$9*$E$6,-$E$6/2)))</f>
        <v/>
      </c>
      <c r="W86">
        <f>IF(T86=4*$E$9,-$E$7/2,IF(U86="","",CHOOSE(U86,-$E$7/2,-$E$7/2+MOD(T86,$E$9)/$E$9*$E$7,$E$7/2,$E$7/2-MOD(T86,$E$9)/$E$9*$E$7)))</f>
        <v/>
      </c>
      <c r="X86">
        <f>IF(OR($E$13&lt;&gt;"OK",M86=""),"",IF(M86&lt;=$A$19,$D$19,IF(M86&gt;=INDEX($A$19:$A$2018,$E$12),INDEX($D$19:$D$2018,$E$12),INDEX($D$19:$D$2018,MATCH(M86,$A$19:INDEX($A$19:$A$2018,$E$12),1))+(M86-INDEX($A$19:$A$2018,MATCH(M86,$A$19:INDEX($A$19:$A$2018,$E$12),1)))*(INDEX($D$19:$D$2018,MATCH(M86,$A$19:INDEX($A$19:$A$2018,$E$12),1)+1)-INDEX($D$19:$D$2018,MATCH(M86,$A$19:INDEX($A$19:$A$2018,$E$12),1)))/(INDEX($A$19:$A$2018,MATCH(M86,$A$19:INDEX($A$19:$A$2018,$E$12),1)+1)-INDEX($A$19:$A$2018,MATCH(M86,$A$19:INDEX($A$19:$A$2018,$E$12),1))))))</f>
        <v/>
      </c>
      <c r="Y86">
        <f>IF(X86="","",X86*1000/$B$4)</f>
        <v/>
      </c>
    </row>
    <row r="87">
      <c r="A87" s="10" t="n"/>
      <c r="B87" s="10" t="n"/>
      <c r="C87" s="11">
        <f>IF(A87="","",$B$5*TAN(RADIANS(A87)))</f>
        <v/>
      </c>
      <c r="D87" s="11">
        <f>IF(C87="","",C87*(1+B87/100))</f>
        <v/>
      </c>
      <c r="E87" s="11">
        <f>IF(A87="","",$B$6*TAN(RADIANS(A87)))</f>
        <v/>
      </c>
      <c r="G87" s="12">
        <f>IF(U87="","",T87)</f>
        <v/>
      </c>
      <c r="H87" s="12">
        <f>IF(U87="","",$E$4+V87*COS(RADIANS($E$8))-W87*SIN(RADIANS($E$8)))</f>
        <v/>
      </c>
      <c r="I87" s="12">
        <f>IF(U87="","",$E$5+V87*SIN(RADIANS($E$8))+W87*COS(RADIANS($E$8)))</f>
        <v/>
      </c>
      <c r="J87" s="12">
        <f>IF(H87="","",H87-$B$7)</f>
        <v/>
      </c>
      <c r="K87" s="12">
        <f>IF(I87="","",I87-$B$8)</f>
        <v/>
      </c>
      <c r="L87" s="12">
        <f>IFERROR(SQRT(J87^2+K87^2)*$B$4/1000,"")</f>
        <v/>
      </c>
      <c r="M87" s="12">
        <f>IF(OR($E$13&lt;&gt;"OK",L87=""),"",IF(L87&lt;=$D$19,$A$19,IF(L87&gt;=INDEX($D$19:$D$2018,$E$12),INDEX($A$19:$A$2018,$E$12),INDEX($A$19:$A$2018,MATCH(L87,$D$19:INDEX($D$19:$D$2018,$E$12),1))+(L87-INDEX($D$19:$D$2018,MATCH(L87,$D$19:INDEX($D$19:$D$2018,$E$12),1)))*(INDEX($A$19:$A$2018,MATCH(L87,$D$19:INDEX($D$19:$D$2018,$E$12),1)+1)-INDEX($A$19:$A$2018,MATCH(L87,$D$19:INDEX($D$19:$D$2018,$E$12),1)))/(INDEX($D$19:$D$2018,MATCH(L87,$D$19:INDEX($D$19:$D$2018,$E$12),1)+1)-INDEX($D$19:$D$2018,MATCH(L87,$D$19:INDEX($D$19:$D$2018,$E$12),1))))))</f>
        <v/>
      </c>
      <c r="N87" s="12">
        <f>IF(M87="","",$B$6*TAN(RADIANS(M87)))</f>
        <v/>
      </c>
      <c r="O87" s="12">
        <f>IF(N87="","",IF(L87=0,0,-N87*J87/SQRT(J87^2+K87^2)))</f>
        <v/>
      </c>
      <c r="P87" s="12">
        <f>IF(N87="","",IF(L87=0,0,N87*K87/SQRT(J87^2+K87^2)))</f>
        <v/>
      </c>
      <c r="Q87" s="12">
        <f>IF(N87="","",IF(N87=0,$B$7,$B$7-Y87*O87/N87))</f>
        <v/>
      </c>
      <c r="R87" s="12">
        <f>IF(N87="","",IF(N87=0,$B$8,$B$8+Y87*P87/N87))</f>
        <v/>
      </c>
      <c r="S87" s="12">
        <f>IFERROR(SQRT((Q87-H87)^2+(R87-I87)^2),"")</f>
        <v/>
      </c>
      <c r="T87">
        <f>60</f>
        <v/>
      </c>
      <c r="U87">
        <f>IF(T87&gt;4*$E$9,"",MIN(INT(T87/$E$9)+1,4))</f>
        <v/>
      </c>
      <c r="V87">
        <f>IF(T87=4*$E$9,-$E$6/2,IF(U87="","",CHOOSE(U87,-$E$6/2+MOD(T87,$E$9)/$E$9*$E$6,$E$6/2,$E$6/2-MOD(T87,$E$9)/$E$9*$E$6,-$E$6/2)))</f>
        <v/>
      </c>
      <c r="W87">
        <f>IF(T87=4*$E$9,-$E$7/2,IF(U87="","",CHOOSE(U87,-$E$7/2,-$E$7/2+MOD(T87,$E$9)/$E$9*$E$7,$E$7/2,$E$7/2-MOD(T87,$E$9)/$E$9*$E$7)))</f>
        <v/>
      </c>
      <c r="X87">
        <f>IF(OR($E$13&lt;&gt;"OK",M87=""),"",IF(M87&lt;=$A$19,$D$19,IF(M87&gt;=INDEX($A$19:$A$2018,$E$12),INDEX($D$19:$D$2018,$E$12),INDEX($D$19:$D$2018,MATCH(M87,$A$19:INDEX($A$19:$A$2018,$E$12),1))+(M87-INDEX($A$19:$A$2018,MATCH(M87,$A$19:INDEX($A$19:$A$2018,$E$12),1)))*(INDEX($D$19:$D$2018,MATCH(M87,$A$19:INDEX($A$19:$A$2018,$E$12),1)+1)-INDEX($D$19:$D$2018,MATCH(M87,$A$19:INDEX($A$19:$A$2018,$E$12),1)))/(INDEX($A$19:$A$2018,MATCH(M87,$A$19:INDEX($A$19:$A$2018,$E$12),1)+1)-INDEX($A$19:$A$2018,MATCH(M87,$A$19:INDEX($A$19:$A$2018,$E$12),1))))))</f>
        <v/>
      </c>
      <c r="Y87">
        <f>IF(X87="","",X87*1000/$B$4)</f>
        <v/>
      </c>
    </row>
    <row r="88">
      <c r="A88" s="10" t="n"/>
      <c r="B88" s="10" t="n"/>
      <c r="C88" s="11">
        <f>IF(A88="","",$B$5*TAN(RADIANS(A88)))</f>
        <v/>
      </c>
      <c r="D88" s="11">
        <f>IF(C88="","",C88*(1+B88/100))</f>
        <v/>
      </c>
      <c r="E88" s="11">
        <f>IF(A88="","",$B$6*TAN(RADIANS(A88)))</f>
        <v/>
      </c>
      <c r="G88" s="12">
        <f>IF(U88="","",T88)</f>
        <v/>
      </c>
      <c r="H88" s="12">
        <f>IF(U88="","",$E$4+V88*COS(RADIANS($E$8))-W88*SIN(RADIANS($E$8)))</f>
        <v/>
      </c>
      <c r="I88" s="12">
        <f>IF(U88="","",$E$5+V88*SIN(RADIANS($E$8))+W88*COS(RADIANS($E$8)))</f>
        <v/>
      </c>
      <c r="J88" s="12">
        <f>IF(H88="","",H88-$B$7)</f>
        <v/>
      </c>
      <c r="K88" s="12">
        <f>IF(I88="","",I88-$B$8)</f>
        <v/>
      </c>
      <c r="L88" s="12">
        <f>IFERROR(SQRT(J88^2+K88^2)*$B$4/1000,"")</f>
        <v/>
      </c>
      <c r="M88" s="12">
        <f>IF(OR($E$13&lt;&gt;"OK",L88=""),"",IF(L88&lt;=$D$19,$A$19,IF(L88&gt;=INDEX($D$19:$D$2018,$E$12),INDEX($A$19:$A$2018,$E$12),INDEX($A$19:$A$2018,MATCH(L88,$D$19:INDEX($D$19:$D$2018,$E$12),1))+(L88-INDEX($D$19:$D$2018,MATCH(L88,$D$19:INDEX($D$19:$D$2018,$E$12),1)))*(INDEX($A$19:$A$2018,MATCH(L88,$D$19:INDEX($D$19:$D$2018,$E$12),1)+1)-INDEX($A$19:$A$2018,MATCH(L88,$D$19:INDEX($D$19:$D$2018,$E$12),1)))/(INDEX($D$19:$D$2018,MATCH(L88,$D$19:INDEX($D$19:$D$2018,$E$12),1)+1)-INDEX($D$19:$D$2018,MATCH(L88,$D$19:INDEX($D$19:$D$2018,$E$12),1))))))</f>
        <v/>
      </c>
      <c r="N88" s="12">
        <f>IF(M88="","",$B$6*TAN(RADIANS(M88)))</f>
        <v/>
      </c>
      <c r="O88" s="12">
        <f>IF(N88="","",IF(L88=0,0,-N88*J88/SQRT(J88^2+K88^2)))</f>
        <v/>
      </c>
      <c r="P88" s="12">
        <f>IF(N88="","",IF(L88=0,0,N88*K88/SQRT(J88^2+K88^2)))</f>
        <v/>
      </c>
      <c r="Q88" s="12">
        <f>IF(N88="","",IF(N88=0,$B$7,$B$7-Y88*O88/N88))</f>
        <v/>
      </c>
      <c r="R88" s="12">
        <f>IF(N88="","",IF(N88=0,$B$8,$B$8+Y88*P88/N88))</f>
        <v/>
      </c>
      <c r="S88" s="12">
        <f>IFERROR(SQRT((Q88-H88)^2+(R88-I88)^2),"")</f>
        <v/>
      </c>
      <c r="T88">
        <f>61</f>
        <v/>
      </c>
      <c r="U88">
        <f>IF(T88&gt;4*$E$9,"",MIN(INT(T88/$E$9)+1,4))</f>
        <v/>
      </c>
      <c r="V88">
        <f>IF(T88=4*$E$9,-$E$6/2,IF(U88="","",CHOOSE(U88,-$E$6/2+MOD(T88,$E$9)/$E$9*$E$6,$E$6/2,$E$6/2-MOD(T88,$E$9)/$E$9*$E$6,-$E$6/2)))</f>
        <v/>
      </c>
      <c r="W88">
        <f>IF(T88=4*$E$9,-$E$7/2,IF(U88="","",CHOOSE(U88,-$E$7/2,-$E$7/2+MOD(T88,$E$9)/$E$9*$E$7,$E$7/2,$E$7/2-MOD(T88,$E$9)/$E$9*$E$7)))</f>
        <v/>
      </c>
      <c r="X88">
        <f>IF(OR($E$13&lt;&gt;"OK",M88=""),"",IF(M88&lt;=$A$19,$D$19,IF(M88&gt;=INDEX($A$19:$A$2018,$E$12),INDEX($D$19:$D$2018,$E$12),INDEX($D$19:$D$2018,MATCH(M88,$A$19:INDEX($A$19:$A$2018,$E$12),1))+(M88-INDEX($A$19:$A$2018,MATCH(M88,$A$19:INDEX($A$19:$A$2018,$E$12),1)))*(INDEX($D$19:$D$2018,MATCH(M88,$A$19:INDEX($A$19:$A$2018,$E$12),1)+1)-INDEX($D$19:$D$2018,MATCH(M88,$A$19:INDEX($A$19:$A$2018,$E$12),1)))/(INDEX($A$19:$A$2018,MATCH(M88,$A$19:INDEX($A$19:$A$2018,$E$12),1)+1)-INDEX($A$19:$A$2018,MATCH(M88,$A$19:INDEX($A$19:$A$2018,$E$12),1))))))</f>
        <v/>
      </c>
      <c r="Y88">
        <f>IF(X88="","",X88*1000/$B$4)</f>
        <v/>
      </c>
    </row>
    <row r="89">
      <c r="A89" s="10" t="n"/>
      <c r="B89" s="10" t="n"/>
      <c r="C89" s="11">
        <f>IF(A89="","",$B$5*TAN(RADIANS(A89)))</f>
        <v/>
      </c>
      <c r="D89" s="11">
        <f>IF(C89="","",C89*(1+B89/100))</f>
        <v/>
      </c>
      <c r="E89" s="11">
        <f>IF(A89="","",$B$6*TAN(RADIANS(A89)))</f>
        <v/>
      </c>
      <c r="G89" s="12">
        <f>IF(U89="","",T89)</f>
        <v/>
      </c>
      <c r="H89" s="12">
        <f>IF(U89="","",$E$4+V89*COS(RADIANS($E$8))-W89*SIN(RADIANS($E$8)))</f>
        <v/>
      </c>
      <c r="I89" s="12">
        <f>IF(U89="","",$E$5+V89*SIN(RADIANS($E$8))+W89*COS(RADIANS($E$8)))</f>
        <v/>
      </c>
      <c r="J89" s="12">
        <f>IF(H89="","",H89-$B$7)</f>
        <v/>
      </c>
      <c r="K89" s="12">
        <f>IF(I89="","",I89-$B$8)</f>
        <v/>
      </c>
      <c r="L89" s="12">
        <f>IFERROR(SQRT(J89^2+K89^2)*$B$4/1000,"")</f>
        <v/>
      </c>
      <c r="M89" s="12">
        <f>IF(OR($E$13&lt;&gt;"OK",L89=""),"",IF(L89&lt;=$D$19,$A$19,IF(L89&gt;=INDEX($D$19:$D$2018,$E$12),INDEX($A$19:$A$2018,$E$12),INDEX($A$19:$A$2018,MATCH(L89,$D$19:INDEX($D$19:$D$2018,$E$12),1))+(L89-INDEX($D$19:$D$2018,MATCH(L89,$D$19:INDEX($D$19:$D$2018,$E$12),1)))*(INDEX($A$19:$A$2018,MATCH(L89,$D$19:INDEX($D$19:$D$2018,$E$12),1)+1)-INDEX($A$19:$A$2018,MATCH(L89,$D$19:INDEX($D$19:$D$2018,$E$12),1)))/(INDEX($D$19:$D$2018,MATCH(L89,$D$19:INDEX($D$19:$D$2018,$E$12),1)+1)-INDEX($D$19:$D$2018,MATCH(L89,$D$19:INDEX($D$19:$D$2018,$E$12),1))))))</f>
        <v/>
      </c>
      <c r="N89" s="12">
        <f>IF(M89="","",$B$6*TAN(RADIANS(M89)))</f>
        <v/>
      </c>
      <c r="O89" s="12">
        <f>IF(N89="","",IF(L89=0,0,-N89*J89/SQRT(J89^2+K89^2)))</f>
        <v/>
      </c>
      <c r="P89" s="12">
        <f>IF(N89="","",IF(L89=0,0,N89*K89/SQRT(J89^2+K89^2)))</f>
        <v/>
      </c>
      <c r="Q89" s="12">
        <f>IF(N89="","",IF(N89=0,$B$7,$B$7-Y89*O89/N89))</f>
        <v/>
      </c>
      <c r="R89" s="12">
        <f>IF(N89="","",IF(N89=0,$B$8,$B$8+Y89*P89/N89))</f>
        <v/>
      </c>
      <c r="S89" s="12">
        <f>IFERROR(SQRT((Q89-H89)^2+(R89-I89)^2),"")</f>
        <v/>
      </c>
      <c r="T89">
        <f>62</f>
        <v/>
      </c>
      <c r="U89">
        <f>IF(T89&gt;4*$E$9,"",MIN(INT(T89/$E$9)+1,4))</f>
        <v/>
      </c>
      <c r="V89">
        <f>IF(T89=4*$E$9,-$E$6/2,IF(U89="","",CHOOSE(U89,-$E$6/2+MOD(T89,$E$9)/$E$9*$E$6,$E$6/2,$E$6/2-MOD(T89,$E$9)/$E$9*$E$6,-$E$6/2)))</f>
        <v/>
      </c>
      <c r="W89">
        <f>IF(T89=4*$E$9,-$E$7/2,IF(U89="","",CHOOSE(U89,-$E$7/2,-$E$7/2+MOD(T89,$E$9)/$E$9*$E$7,$E$7/2,$E$7/2-MOD(T89,$E$9)/$E$9*$E$7)))</f>
        <v/>
      </c>
      <c r="X89">
        <f>IF(OR($E$13&lt;&gt;"OK",M89=""),"",IF(M89&lt;=$A$19,$D$19,IF(M89&gt;=INDEX($A$19:$A$2018,$E$12),INDEX($D$19:$D$2018,$E$12),INDEX($D$19:$D$2018,MATCH(M89,$A$19:INDEX($A$19:$A$2018,$E$12),1))+(M89-INDEX($A$19:$A$2018,MATCH(M89,$A$19:INDEX($A$19:$A$2018,$E$12),1)))*(INDEX($D$19:$D$2018,MATCH(M89,$A$19:INDEX($A$19:$A$2018,$E$12),1)+1)-INDEX($D$19:$D$2018,MATCH(M89,$A$19:INDEX($A$19:$A$2018,$E$12),1)))/(INDEX($A$19:$A$2018,MATCH(M89,$A$19:INDEX($A$19:$A$2018,$E$12),1)+1)-INDEX($A$19:$A$2018,MATCH(M89,$A$19:INDEX($A$19:$A$2018,$E$12),1))))))</f>
        <v/>
      </c>
      <c r="Y89">
        <f>IF(X89="","",X89*1000/$B$4)</f>
        <v/>
      </c>
    </row>
    <row r="90">
      <c r="A90" s="10" t="n"/>
      <c r="B90" s="10" t="n"/>
      <c r="C90" s="11">
        <f>IF(A90="","",$B$5*TAN(RADIANS(A90)))</f>
        <v/>
      </c>
      <c r="D90" s="11">
        <f>IF(C90="","",C90*(1+B90/100))</f>
        <v/>
      </c>
      <c r="E90" s="11">
        <f>IF(A90="","",$B$6*TAN(RADIANS(A90)))</f>
        <v/>
      </c>
      <c r="G90" s="12">
        <f>IF(U90="","",T90)</f>
        <v/>
      </c>
      <c r="H90" s="12">
        <f>IF(U90="","",$E$4+V90*COS(RADIANS($E$8))-W90*SIN(RADIANS($E$8)))</f>
        <v/>
      </c>
      <c r="I90" s="12">
        <f>IF(U90="","",$E$5+V90*SIN(RADIANS($E$8))+W90*COS(RADIANS($E$8)))</f>
        <v/>
      </c>
      <c r="J90" s="12">
        <f>IF(H90="","",H90-$B$7)</f>
        <v/>
      </c>
      <c r="K90" s="12">
        <f>IF(I90="","",I90-$B$8)</f>
        <v/>
      </c>
      <c r="L90" s="12">
        <f>IFERROR(SQRT(J90^2+K90^2)*$B$4/1000,"")</f>
        <v/>
      </c>
      <c r="M90" s="12">
        <f>IF(OR($E$13&lt;&gt;"OK",L90=""),"",IF(L90&lt;=$D$19,$A$19,IF(L90&gt;=INDEX($D$19:$D$2018,$E$12),INDEX($A$19:$A$2018,$E$12),INDEX($A$19:$A$2018,MATCH(L90,$D$19:INDEX($D$19:$D$2018,$E$12),1))+(L90-INDEX($D$19:$D$2018,MATCH(L90,$D$19:INDEX($D$19:$D$2018,$E$12),1)))*(INDEX($A$19:$A$2018,MATCH(L90,$D$19:INDEX($D$19:$D$2018,$E$12),1)+1)-INDEX($A$19:$A$2018,MATCH(L90,$D$19:INDEX($D$19:$D$2018,$E$12),1)))/(INDEX($D$19:$D$2018,MATCH(L90,$D$19:INDEX($D$19:$D$2018,$E$12),1)+1)-INDEX($D$19:$D$2018,MATCH(L90,$D$19:INDEX($D$19:$D$2018,$E$12),1))))))</f>
        <v/>
      </c>
      <c r="N90" s="12">
        <f>IF(M90="","",$B$6*TAN(RADIANS(M90)))</f>
        <v/>
      </c>
      <c r="O90" s="12">
        <f>IF(N90="","",IF(L90=0,0,-N90*J90/SQRT(J90^2+K90^2)))</f>
        <v/>
      </c>
      <c r="P90" s="12">
        <f>IF(N90="","",IF(L90=0,0,N90*K90/SQRT(J90^2+K90^2)))</f>
        <v/>
      </c>
      <c r="Q90" s="12">
        <f>IF(N90="","",IF(N90=0,$B$7,$B$7-Y90*O90/N90))</f>
        <v/>
      </c>
      <c r="R90" s="12">
        <f>IF(N90="","",IF(N90=0,$B$8,$B$8+Y90*P90/N90))</f>
        <v/>
      </c>
      <c r="S90" s="12">
        <f>IFERROR(SQRT((Q90-H90)^2+(R90-I90)^2),"")</f>
        <v/>
      </c>
      <c r="T90">
        <f>63</f>
        <v/>
      </c>
      <c r="U90">
        <f>IF(T90&gt;4*$E$9,"",MIN(INT(T90/$E$9)+1,4))</f>
        <v/>
      </c>
      <c r="V90">
        <f>IF(T90=4*$E$9,-$E$6/2,IF(U90="","",CHOOSE(U90,-$E$6/2+MOD(T90,$E$9)/$E$9*$E$6,$E$6/2,$E$6/2-MOD(T90,$E$9)/$E$9*$E$6,-$E$6/2)))</f>
        <v/>
      </c>
      <c r="W90">
        <f>IF(T90=4*$E$9,-$E$7/2,IF(U90="","",CHOOSE(U90,-$E$7/2,-$E$7/2+MOD(T90,$E$9)/$E$9*$E$7,$E$7/2,$E$7/2-MOD(T90,$E$9)/$E$9*$E$7)))</f>
        <v/>
      </c>
      <c r="X90">
        <f>IF(OR($E$13&lt;&gt;"OK",M90=""),"",IF(M90&lt;=$A$19,$D$19,IF(M90&gt;=INDEX($A$19:$A$2018,$E$12),INDEX($D$19:$D$2018,$E$12),INDEX($D$19:$D$2018,MATCH(M90,$A$19:INDEX($A$19:$A$2018,$E$12),1))+(M90-INDEX($A$19:$A$2018,MATCH(M90,$A$19:INDEX($A$19:$A$2018,$E$12),1)))*(INDEX($D$19:$D$2018,MATCH(M90,$A$19:INDEX($A$19:$A$2018,$E$12),1)+1)-INDEX($D$19:$D$2018,MATCH(M90,$A$19:INDEX($A$19:$A$2018,$E$12),1)))/(INDEX($A$19:$A$2018,MATCH(M90,$A$19:INDEX($A$19:$A$2018,$E$12),1)+1)-INDEX($A$19:$A$2018,MATCH(M90,$A$19:INDEX($A$19:$A$2018,$E$12),1))))))</f>
        <v/>
      </c>
      <c r="Y90">
        <f>IF(X90="","",X90*1000/$B$4)</f>
        <v/>
      </c>
    </row>
    <row r="91">
      <c r="A91" s="10" t="n"/>
      <c r="B91" s="10" t="n"/>
      <c r="C91" s="11">
        <f>IF(A91="","",$B$5*TAN(RADIANS(A91)))</f>
        <v/>
      </c>
      <c r="D91" s="11">
        <f>IF(C91="","",C91*(1+B91/100))</f>
        <v/>
      </c>
      <c r="E91" s="11">
        <f>IF(A91="","",$B$6*TAN(RADIANS(A91)))</f>
        <v/>
      </c>
      <c r="G91" s="12">
        <f>IF(U91="","",T91)</f>
        <v/>
      </c>
      <c r="H91" s="12">
        <f>IF(U91="","",$E$4+V91*COS(RADIANS($E$8))-W91*SIN(RADIANS($E$8)))</f>
        <v/>
      </c>
      <c r="I91" s="12">
        <f>IF(U91="","",$E$5+V91*SIN(RADIANS($E$8))+W91*COS(RADIANS($E$8)))</f>
        <v/>
      </c>
      <c r="J91" s="12">
        <f>IF(H91="","",H91-$B$7)</f>
        <v/>
      </c>
      <c r="K91" s="12">
        <f>IF(I91="","",I91-$B$8)</f>
        <v/>
      </c>
      <c r="L91" s="12">
        <f>IFERROR(SQRT(J91^2+K91^2)*$B$4/1000,"")</f>
        <v/>
      </c>
      <c r="M91" s="12">
        <f>IF(OR($E$13&lt;&gt;"OK",L91=""),"",IF(L91&lt;=$D$19,$A$19,IF(L91&gt;=INDEX($D$19:$D$2018,$E$12),INDEX($A$19:$A$2018,$E$12),INDEX($A$19:$A$2018,MATCH(L91,$D$19:INDEX($D$19:$D$2018,$E$12),1))+(L91-INDEX($D$19:$D$2018,MATCH(L91,$D$19:INDEX($D$19:$D$2018,$E$12),1)))*(INDEX($A$19:$A$2018,MATCH(L91,$D$19:INDEX($D$19:$D$2018,$E$12),1)+1)-INDEX($A$19:$A$2018,MATCH(L91,$D$19:INDEX($D$19:$D$2018,$E$12),1)))/(INDEX($D$19:$D$2018,MATCH(L91,$D$19:INDEX($D$19:$D$2018,$E$12),1)+1)-INDEX($D$19:$D$2018,MATCH(L91,$D$19:INDEX($D$19:$D$2018,$E$12),1))))))</f>
        <v/>
      </c>
      <c r="N91" s="12">
        <f>IF(M91="","",$B$6*TAN(RADIANS(M91)))</f>
        <v/>
      </c>
      <c r="O91" s="12">
        <f>IF(N91="","",IF(L91=0,0,-N91*J91/SQRT(J91^2+K91^2)))</f>
        <v/>
      </c>
      <c r="P91" s="12">
        <f>IF(N91="","",IF(L91=0,0,N91*K91/SQRT(J91^2+K91^2)))</f>
        <v/>
      </c>
      <c r="Q91" s="12">
        <f>IF(N91="","",IF(N91=0,$B$7,$B$7-Y91*O91/N91))</f>
        <v/>
      </c>
      <c r="R91" s="12">
        <f>IF(N91="","",IF(N91=0,$B$8,$B$8+Y91*P91/N91))</f>
        <v/>
      </c>
      <c r="S91" s="12">
        <f>IFERROR(SQRT((Q91-H91)^2+(R91-I91)^2),"")</f>
        <v/>
      </c>
      <c r="T91">
        <f>64</f>
        <v/>
      </c>
      <c r="U91">
        <f>IF(T91&gt;4*$E$9,"",MIN(INT(T91/$E$9)+1,4))</f>
        <v/>
      </c>
      <c r="V91">
        <f>IF(T91=4*$E$9,-$E$6/2,IF(U91="","",CHOOSE(U91,-$E$6/2+MOD(T91,$E$9)/$E$9*$E$6,$E$6/2,$E$6/2-MOD(T91,$E$9)/$E$9*$E$6,-$E$6/2)))</f>
        <v/>
      </c>
      <c r="W91">
        <f>IF(T91=4*$E$9,-$E$7/2,IF(U91="","",CHOOSE(U91,-$E$7/2,-$E$7/2+MOD(T91,$E$9)/$E$9*$E$7,$E$7/2,$E$7/2-MOD(T91,$E$9)/$E$9*$E$7)))</f>
        <v/>
      </c>
      <c r="X91">
        <f>IF(OR($E$13&lt;&gt;"OK",M91=""),"",IF(M91&lt;=$A$19,$D$19,IF(M91&gt;=INDEX($A$19:$A$2018,$E$12),INDEX($D$19:$D$2018,$E$12),INDEX($D$19:$D$2018,MATCH(M91,$A$19:INDEX($A$19:$A$2018,$E$12),1))+(M91-INDEX($A$19:$A$2018,MATCH(M91,$A$19:INDEX($A$19:$A$2018,$E$12),1)))*(INDEX($D$19:$D$2018,MATCH(M91,$A$19:INDEX($A$19:$A$2018,$E$12),1)+1)-INDEX($D$19:$D$2018,MATCH(M91,$A$19:INDEX($A$19:$A$2018,$E$12),1)))/(INDEX($A$19:$A$2018,MATCH(M91,$A$19:INDEX($A$19:$A$2018,$E$12),1)+1)-INDEX($A$19:$A$2018,MATCH(M91,$A$19:INDEX($A$19:$A$2018,$E$12),1))))))</f>
        <v/>
      </c>
      <c r="Y91">
        <f>IF(X91="","",X91*1000/$B$4)</f>
        <v/>
      </c>
    </row>
    <row r="92">
      <c r="A92" s="10" t="n"/>
      <c r="B92" s="10" t="n"/>
      <c r="C92" s="11">
        <f>IF(A92="","",$B$5*TAN(RADIANS(A92)))</f>
        <v/>
      </c>
      <c r="D92" s="11">
        <f>IF(C92="","",C92*(1+B92/100))</f>
        <v/>
      </c>
      <c r="E92" s="11">
        <f>IF(A92="","",$B$6*TAN(RADIANS(A92)))</f>
        <v/>
      </c>
      <c r="G92" s="12">
        <f>IF(U92="","",T92)</f>
        <v/>
      </c>
      <c r="H92" s="12">
        <f>IF(U92="","",$E$4+V92*COS(RADIANS($E$8))-W92*SIN(RADIANS($E$8)))</f>
        <v/>
      </c>
      <c r="I92" s="12">
        <f>IF(U92="","",$E$5+V92*SIN(RADIANS($E$8))+W92*COS(RADIANS($E$8)))</f>
        <v/>
      </c>
      <c r="J92" s="12">
        <f>IF(H92="","",H92-$B$7)</f>
        <v/>
      </c>
      <c r="K92" s="12">
        <f>IF(I92="","",I92-$B$8)</f>
        <v/>
      </c>
      <c r="L92" s="12">
        <f>IFERROR(SQRT(J92^2+K92^2)*$B$4/1000,"")</f>
        <v/>
      </c>
      <c r="M92" s="12">
        <f>IF(OR($E$13&lt;&gt;"OK",L92=""),"",IF(L92&lt;=$D$19,$A$19,IF(L92&gt;=INDEX($D$19:$D$2018,$E$12),INDEX($A$19:$A$2018,$E$12),INDEX($A$19:$A$2018,MATCH(L92,$D$19:INDEX($D$19:$D$2018,$E$12),1))+(L92-INDEX($D$19:$D$2018,MATCH(L92,$D$19:INDEX($D$19:$D$2018,$E$12),1)))*(INDEX($A$19:$A$2018,MATCH(L92,$D$19:INDEX($D$19:$D$2018,$E$12),1)+1)-INDEX($A$19:$A$2018,MATCH(L92,$D$19:INDEX($D$19:$D$2018,$E$12),1)))/(INDEX($D$19:$D$2018,MATCH(L92,$D$19:INDEX($D$19:$D$2018,$E$12),1)+1)-INDEX($D$19:$D$2018,MATCH(L92,$D$19:INDEX($D$19:$D$2018,$E$12),1))))))</f>
        <v/>
      </c>
      <c r="N92" s="12">
        <f>IF(M92="","",$B$6*TAN(RADIANS(M92)))</f>
        <v/>
      </c>
      <c r="O92" s="12">
        <f>IF(N92="","",IF(L92=0,0,-N92*J92/SQRT(J92^2+K92^2)))</f>
        <v/>
      </c>
      <c r="P92" s="12">
        <f>IF(N92="","",IF(L92=0,0,N92*K92/SQRT(J92^2+K92^2)))</f>
        <v/>
      </c>
      <c r="Q92" s="12">
        <f>IF(N92="","",IF(N92=0,$B$7,$B$7-Y92*O92/N92))</f>
        <v/>
      </c>
      <c r="R92" s="12">
        <f>IF(N92="","",IF(N92=0,$B$8,$B$8+Y92*P92/N92))</f>
        <v/>
      </c>
      <c r="S92" s="12">
        <f>IFERROR(SQRT((Q92-H92)^2+(R92-I92)^2),"")</f>
        <v/>
      </c>
      <c r="T92">
        <f>65</f>
        <v/>
      </c>
      <c r="U92">
        <f>IF(T92&gt;4*$E$9,"",MIN(INT(T92/$E$9)+1,4))</f>
        <v/>
      </c>
      <c r="V92">
        <f>IF(T92=4*$E$9,-$E$6/2,IF(U92="","",CHOOSE(U92,-$E$6/2+MOD(T92,$E$9)/$E$9*$E$6,$E$6/2,$E$6/2-MOD(T92,$E$9)/$E$9*$E$6,-$E$6/2)))</f>
        <v/>
      </c>
      <c r="W92">
        <f>IF(T92=4*$E$9,-$E$7/2,IF(U92="","",CHOOSE(U92,-$E$7/2,-$E$7/2+MOD(T92,$E$9)/$E$9*$E$7,$E$7/2,$E$7/2-MOD(T92,$E$9)/$E$9*$E$7)))</f>
        <v/>
      </c>
      <c r="X92">
        <f>IF(OR($E$13&lt;&gt;"OK",M92=""),"",IF(M92&lt;=$A$19,$D$19,IF(M92&gt;=INDEX($A$19:$A$2018,$E$12),INDEX($D$19:$D$2018,$E$12),INDEX($D$19:$D$2018,MATCH(M92,$A$19:INDEX($A$19:$A$2018,$E$12),1))+(M92-INDEX($A$19:$A$2018,MATCH(M92,$A$19:INDEX($A$19:$A$2018,$E$12),1)))*(INDEX($D$19:$D$2018,MATCH(M92,$A$19:INDEX($A$19:$A$2018,$E$12),1)+1)-INDEX($D$19:$D$2018,MATCH(M92,$A$19:INDEX($A$19:$A$2018,$E$12),1)))/(INDEX($A$19:$A$2018,MATCH(M92,$A$19:INDEX($A$19:$A$2018,$E$12),1)+1)-INDEX($A$19:$A$2018,MATCH(M92,$A$19:INDEX($A$19:$A$2018,$E$12),1))))))</f>
        <v/>
      </c>
      <c r="Y92">
        <f>IF(X92="","",X92*1000/$B$4)</f>
        <v/>
      </c>
    </row>
    <row r="93">
      <c r="A93" s="10" t="n"/>
      <c r="B93" s="10" t="n"/>
      <c r="C93" s="11">
        <f>IF(A93="","",$B$5*TAN(RADIANS(A93)))</f>
        <v/>
      </c>
      <c r="D93" s="11">
        <f>IF(C93="","",C93*(1+B93/100))</f>
        <v/>
      </c>
      <c r="E93" s="11">
        <f>IF(A93="","",$B$6*TAN(RADIANS(A93)))</f>
        <v/>
      </c>
      <c r="G93" s="12">
        <f>IF(U93="","",T93)</f>
        <v/>
      </c>
      <c r="H93" s="12">
        <f>IF(U93="","",$E$4+V93*COS(RADIANS($E$8))-W93*SIN(RADIANS($E$8)))</f>
        <v/>
      </c>
      <c r="I93" s="12">
        <f>IF(U93="","",$E$5+V93*SIN(RADIANS($E$8))+W93*COS(RADIANS($E$8)))</f>
        <v/>
      </c>
      <c r="J93" s="12">
        <f>IF(H93="","",H93-$B$7)</f>
        <v/>
      </c>
      <c r="K93" s="12">
        <f>IF(I93="","",I93-$B$8)</f>
        <v/>
      </c>
      <c r="L93" s="12">
        <f>IFERROR(SQRT(J93^2+K93^2)*$B$4/1000,"")</f>
        <v/>
      </c>
      <c r="M93" s="12">
        <f>IF(OR($E$13&lt;&gt;"OK",L93=""),"",IF(L93&lt;=$D$19,$A$19,IF(L93&gt;=INDEX($D$19:$D$2018,$E$12),INDEX($A$19:$A$2018,$E$12),INDEX($A$19:$A$2018,MATCH(L93,$D$19:INDEX($D$19:$D$2018,$E$12),1))+(L93-INDEX($D$19:$D$2018,MATCH(L93,$D$19:INDEX($D$19:$D$2018,$E$12),1)))*(INDEX($A$19:$A$2018,MATCH(L93,$D$19:INDEX($D$19:$D$2018,$E$12),1)+1)-INDEX($A$19:$A$2018,MATCH(L93,$D$19:INDEX($D$19:$D$2018,$E$12),1)))/(INDEX($D$19:$D$2018,MATCH(L93,$D$19:INDEX($D$19:$D$2018,$E$12),1)+1)-INDEX($D$19:$D$2018,MATCH(L93,$D$19:INDEX($D$19:$D$2018,$E$12),1))))))</f>
        <v/>
      </c>
      <c r="N93" s="12">
        <f>IF(M93="","",$B$6*TAN(RADIANS(M93)))</f>
        <v/>
      </c>
      <c r="O93" s="12">
        <f>IF(N93="","",IF(L93=0,0,-N93*J93/SQRT(J93^2+K93^2)))</f>
        <v/>
      </c>
      <c r="P93" s="12">
        <f>IF(N93="","",IF(L93=0,0,N93*K93/SQRT(J93^2+K93^2)))</f>
        <v/>
      </c>
      <c r="Q93" s="12">
        <f>IF(N93="","",IF(N93=0,$B$7,$B$7-Y93*O93/N93))</f>
        <v/>
      </c>
      <c r="R93" s="12">
        <f>IF(N93="","",IF(N93=0,$B$8,$B$8+Y93*P93/N93))</f>
        <v/>
      </c>
      <c r="S93" s="12">
        <f>IFERROR(SQRT((Q93-H93)^2+(R93-I93)^2),"")</f>
        <v/>
      </c>
      <c r="T93">
        <f>66</f>
        <v/>
      </c>
      <c r="U93">
        <f>IF(T93&gt;4*$E$9,"",MIN(INT(T93/$E$9)+1,4))</f>
        <v/>
      </c>
      <c r="V93">
        <f>IF(T93=4*$E$9,-$E$6/2,IF(U93="","",CHOOSE(U93,-$E$6/2+MOD(T93,$E$9)/$E$9*$E$6,$E$6/2,$E$6/2-MOD(T93,$E$9)/$E$9*$E$6,-$E$6/2)))</f>
        <v/>
      </c>
      <c r="W93">
        <f>IF(T93=4*$E$9,-$E$7/2,IF(U93="","",CHOOSE(U93,-$E$7/2,-$E$7/2+MOD(T93,$E$9)/$E$9*$E$7,$E$7/2,$E$7/2-MOD(T93,$E$9)/$E$9*$E$7)))</f>
        <v/>
      </c>
      <c r="X93">
        <f>IF(OR($E$13&lt;&gt;"OK",M93=""),"",IF(M93&lt;=$A$19,$D$19,IF(M93&gt;=INDEX($A$19:$A$2018,$E$12),INDEX($D$19:$D$2018,$E$12),INDEX($D$19:$D$2018,MATCH(M93,$A$19:INDEX($A$19:$A$2018,$E$12),1))+(M93-INDEX($A$19:$A$2018,MATCH(M93,$A$19:INDEX($A$19:$A$2018,$E$12),1)))*(INDEX($D$19:$D$2018,MATCH(M93,$A$19:INDEX($A$19:$A$2018,$E$12),1)+1)-INDEX($D$19:$D$2018,MATCH(M93,$A$19:INDEX($A$19:$A$2018,$E$12),1)))/(INDEX($A$19:$A$2018,MATCH(M93,$A$19:INDEX($A$19:$A$2018,$E$12),1)+1)-INDEX($A$19:$A$2018,MATCH(M93,$A$19:INDEX($A$19:$A$2018,$E$12),1))))))</f>
        <v/>
      </c>
      <c r="Y93">
        <f>IF(X93="","",X93*1000/$B$4)</f>
        <v/>
      </c>
    </row>
    <row r="94">
      <c r="A94" s="10" t="n"/>
      <c r="B94" s="10" t="n"/>
      <c r="C94" s="11">
        <f>IF(A94="","",$B$5*TAN(RADIANS(A94)))</f>
        <v/>
      </c>
      <c r="D94" s="11">
        <f>IF(C94="","",C94*(1+B94/100))</f>
        <v/>
      </c>
      <c r="E94" s="11">
        <f>IF(A94="","",$B$6*TAN(RADIANS(A94)))</f>
        <v/>
      </c>
      <c r="G94" s="12">
        <f>IF(U94="","",T94)</f>
        <v/>
      </c>
      <c r="H94" s="12">
        <f>IF(U94="","",$E$4+V94*COS(RADIANS($E$8))-W94*SIN(RADIANS($E$8)))</f>
        <v/>
      </c>
      <c r="I94" s="12">
        <f>IF(U94="","",$E$5+V94*SIN(RADIANS($E$8))+W94*COS(RADIANS($E$8)))</f>
        <v/>
      </c>
      <c r="J94" s="12">
        <f>IF(H94="","",H94-$B$7)</f>
        <v/>
      </c>
      <c r="K94" s="12">
        <f>IF(I94="","",I94-$B$8)</f>
        <v/>
      </c>
      <c r="L94" s="12">
        <f>IFERROR(SQRT(J94^2+K94^2)*$B$4/1000,"")</f>
        <v/>
      </c>
      <c r="M94" s="12">
        <f>IF(OR($E$13&lt;&gt;"OK",L94=""),"",IF(L94&lt;=$D$19,$A$19,IF(L94&gt;=INDEX($D$19:$D$2018,$E$12),INDEX($A$19:$A$2018,$E$12),INDEX($A$19:$A$2018,MATCH(L94,$D$19:INDEX($D$19:$D$2018,$E$12),1))+(L94-INDEX($D$19:$D$2018,MATCH(L94,$D$19:INDEX($D$19:$D$2018,$E$12),1)))*(INDEX($A$19:$A$2018,MATCH(L94,$D$19:INDEX($D$19:$D$2018,$E$12),1)+1)-INDEX($A$19:$A$2018,MATCH(L94,$D$19:INDEX($D$19:$D$2018,$E$12),1)))/(INDEX($D$19:$D$2018,MATCH(L94,$D$19:INDEX($D$19:$D$2018,$E$12),1)+1)-INDEX($D$19:$D$2018,MATCH(L94,$D$19:INDEX($D$19:$D$2018,$E$12),1))))))</f>
        <v/>
      </c>
      <c r="N94" s="12">
        <f>IF(M94="","",$B$6*TAN(RADIANS(M94)))</f>
        <v/>
      </c>
      <c r="O94" s="12">
        <f>IF(N94="","",IF(L94=0,0,-N94*J94/SQRT(J94^2+K94^2)))</f>
        <v/>
      </c>
      <c r="P94" s="12">
        <f>IF(N94="","",IF(L94=0,0,N94*K94/SQRT(J94^2+K94^2)))</f>
        <v/>
      </c>
      <c r="Q94" s="12">
        <f>IF(N94="","",IF(N94=0,$B$7,$B$7-Y94*O94/N94))</f>
        <v/>
      </c>
      <c r="R94" s="12">
        <f>IF(N94="","",IF(N94=0,$B$8,$B$8+Y94*P94/N94))</f>
        <v/>
      </c>
      <c r="S94" s="12">
        <f>IFERROR(SQRT((Q94-H94)^2+(R94-I94)^2),"")</f>
        <v/>
      </c>
      <c r="T94">
        <f>67</f>
        <v/>
      </c>
      <c r="U94">
        <f>IF(T94&gt;4*$E$9,"",MIN(INT(T94/$E$9)+1,4))</f>
        <v/>
      </c>
      <c r="V94">
        <f>IF(T94=4*$E$9,-$E$6/2,IF(U94="","",CHOOSE(U94,-$E$6/2+MOD(T94,$E$9)/$E$9*$E$6,$E$6/2,$E$6/2-MOD(T94,$E$9)/$E$9*$E$6,-$E$6/2)))</f>
        <v/>
      </c>
      <c r="W94">
        <f>IF(T94=4*$E$9,-$E$7/2,IF(U94="","",CHOOSE(U94,-$E$7/2,-$E$7/2+MOD(T94,$E$9)/$E$9*$E$7,$E$7/2,$E$7/2-MOD(T94,$E$9)/$E$9*$E$7)))</f>
        <v/>
      </c>
      <c r="X94">
        <f>IF(OR($E$13&lt;&gt;"OK",M94=""),"",IF(M94&lt;=$A$19,$D$19,IF(M94&gt;=INDEX($A$19:$A$2018,$E$12),INDEX($D$19:$D$2018,$E$12),INDEX($D$19:$D$2018,MATCH(M94,$A$19:INDEX($A$19:$A$2018,$E$12),1))+(M94-INDEX($A$19:$A$2018,MATCH(M94,$A$19:INDEX($A$19:$A$2018,$E$12),1)))*(INDEX($D$19:$D$2018,MATCH(M94,$A$19:INDEX($A$19:$A$2018,$E$12),1)+1)-INDEX($D$19:$D$2018,MATCH(M94,$A$19:INDEX($A$19:$A$2018,$E$12),1)))/(INDEX($A$19:$A$2018,MATCH(M94,$A$19:INDEX($A$19:$A$2018,$E$12),1)+1)-INDEX($A$19:$A$2018,MATCH(M94,$A$19:INDEX($A$19:$A$2018,$E$12),1))))))</f>
        <v/>
      </c>
      <c r="Y94">
        <f>IF(X94="","",X94*1000/$B$4)</f>
        <v/>
      </c>
    </row>
    <row r="95">
      <c r="A95" s="10" t="n"/>
      <c r="B95" s="10" t="n"/>
      <c r="C95" s="11">
        <f>IF(A95="","",$B$5*TAN(RADIANS(A95)))</f>
        <v/>
      </c>
      <c r="D95" s="11">
        <f>IF(C95="","",C95*(1+B95/100))</f>
        <v/>
      </c>
      <c r="E95" s="11">
        <f>IF(A95="","",$B$6*TAN(RADIANS(A95)))</f>
        <v/>
      </c>
      <c r="G95" s="12">
        <f>IF(U95="","",T95)</f>
        <v/>
      </c>
      <c r="H95" s="12">
        <f>IF(U95="","",$E$4+V95*COS(RADIANS($E$8))-W95*SIN(RADIANS($E$8)))</f>
        <v/>
      </c>
      <c r="I95" s="12">
        <f>IF(U95="","",$E$5+V95*SIN(RADIANS($E$8))+W95*COS(RADIANS($E$8)))</f>
        <v/>
      </c>
      <c r="J95" s="12">
        <f>IF(H95="","",H95-$B$7)</f>
        <v/>
      </c>
      <c r="K95" s="12">
        <f>IF(I95="","",I95-$B$8)</f>
        <v/>
      </c>
      <c r="L95" s="12">
        <f>IFERROR(SQRT(J95^2+K95^2)*$B$4/1000,"")</f>
        <v/>
      </c>
      <c r="M95" s="12">
        <f>IF(OR($E$13&lt;&gt;"OK",L95=""),"",IF(L95&lt;=$D$19,$A$19,IF(L95&gt;=INDEX($D$19:$D$2018,$E$12),INDEX($A$19:$A$2018,$E$12),INDEX($A$19:$A$2018,MATCH(L95,$D$19:INDEX($D$19:$D$2018,$E$12),1))+(L95-INDEX($D$19:$D$2018,MATCH(L95,$D$19:INDEX($D$19:$D$2018,$E$12),1)))*(INDEX($A$19:$A$2018,MATCH(L95,$D$19:INDEX($D$19:$D$2018,$E$12),1)+1)-INDEX($A$19:$A$2018,MATCH(L95,$D$19:INDEX($D$19:$D$2018,$E$12),1)))/(INDEX($D$19:$D$2018,MATCH(L95,$D$19:INDEX($D$19:$D$2018,$E$12),1)+1)-INDEX($D$19:$D$2018,MATCH(L95,$D$19:INDEX($D$19:$D$2018,$E$12),1))))))</f>
        <v/>
      </c>
      <c r="N95" s="12">
        <f>IF(M95="","",$B$6*TAN(RADIANS(M95)))</f>
        <v/>
      </c>
      <c r="O95" s="12">
        <f>IF(N95="","",IF(L95=0,0,-N95*J95/SQRT(J95^2+K95^2)))</f>
        <v/>
      </c>
      <c r="P95" s="12">
        <f>IF(N95="","",IF(L95=0,0,N95*K95/SQRT(J95^2+K95^2)))</f>
        <v/>
      </c>
      <c r="Q95" s="12">
        <f>IF(N95="","",IF(N95=0,$B$7,$B$7-Y95*O95/N95))</f>
        <v/>
      </c>
      <c r="R95" s="12">
        <f>IF(N95="","",IF(N95=0,$B$8,$B$8+Y95*P95/N95))</f>
        <v/>
      </c>
      <c r="S95" s="12">
        <f>IFERROR(SQRT((Q95-H95)^2+(R95-I95)^2),"")</f>
        <v/>
      </c>
      <c r="T95">
        <f>68</f>
        <v/>
      </c>
      <c r="U95">
        <f>IF(T95&gt;4*$E$9,"",MIN(INT(T95/$E$9)+1,4))</f>
        <v/>
      </c>
      <c r="V95">
        <f>IF(T95=4*$E$9,-$E$6/2,IF(U95="","",CHOOSE(U95,-$E$6/2+MOD(T95,$E$9)/$E$9*$E$6,$E$6/2,$E$6/2-MOD(T95,$E$9)/$E$9*$E$6,-$E$6/2)))</f>
        <v/>
      </c>
      <c r="W95">
        <f>IF(T95=4*$E$9,-$E$7/2,IF(U95="","",CHOOSE(U95,-$E$7/2,-$E$7/2+MOD(T95,$E$9)/$E$9*$E$7,$E$7/2,$E$7/2-MOD(T95,$E$9)/$E$9*$E$7)))</f>
        <v/>
      </c>
      <c r="X95">
        <f>IF(OR($E$13&lt;&gt;"OK",M95=""),"",IF(M95&lt;=$A$19,$D$19,IF(M95&gt;=INDEX($A$19:$A$2018,$E$12),INDEX($D$19:$D$2018,$E$12),INDEX($D$19:$D$2018,MATCH(M95,$A$19:INDEX($A$19:$A$2018,$E$12),1))+(M95-INDEX($A$19:$A$2018,MATCH(M95,$A$19:INDEX($A$19:$A$2018,$E$12),1)))*(INDEX($D$19:$D$2018,MATCH(M95,$A$19:INDEX($A$19:$A$2018,$E$12),1)+1)-INDEX($D$19:$D$2018,MATCH(M95,$A$19:INDEX($A$19:$A$2018,$E$12),1)))/(INDEX($A$19:$A$2018,MATCH(M95,$A$19:INDEX($A$19:$A$2018,$E$12),1)+1)-INDEX($A$19:$A$2018,MATCH(M95,$A$19:INDEX($A$19:$A$2018,$E$12),1))))))</f>
        <v/>
      </c>
      <c r="Y95">
        <f>IF(X95="","",X95*1000/$B$4)</f>
        <v/>
      </c>
    </row>
    <row r="96">
      <c r="A96" s="10" t="n"/>
      <c r="B96" s="10" t="n"/>
      <c r="C96" s="11">
        <f>IF(A96="","",$B$5*TAN(RADIANS(A96)))</f>
        <v/>
      </c>
      <c r="D96" s="11">
        <f>IF(C96="","",C96*(1+B96/100))</f>
        <v/>
      </c>
      <c r="E96" s="11">
        <f>IF(A96="","",$B$6*TAN(RADIANS(A96)))</f>
        <v/>
      </c>
      <c r="G96" s="12">
        <f>IF(U96="","",T96)</f>
        <v/>
      </c>
      <c r="H96" s="12">
        <f>IF(U96="","",$E$4+V96*COS(RADIANS($E$8))-W96*SIN(RADIANS($E$8)))</f>
        <v/>
      </c>
      <c r="I96" s="12">
        <f>IF(U96="","",$E$5+V96*SIN(RADIANS($E$8))+W96*COS(RADIANS($E$8)))</f>
        <v/>
      </c>
      <c r="J96" s="12">
        <f>IF(H96="","",H96-$B$7)</f>
        <v/>
      </c>
      <c r="K96" s="12">
        <f>IF(I96="","",I96-$B$8)</f>
        <v/>
      </c>
      <c r="L96" s="12">
        <f>IFERROR(SQRT(J96^2+K96^2)*$B$4/1000,"")</f>
        <v/>
      </c>
      <c r="M96" s="12">
        <f>IF(OR($E$13&lt;&gt;"OK",L96=""),"",IF(L96&lt;=$D$19,$A$19,IF(L96&gt;=INDEX($D$19:$D$2018,$E$12),INDEX($A$19:$A$2018,$E$12),INDEX($A$19:$A$2018,MATCH(L96,$D$19:INDEX($D$19:$D$2018,$E$12),1))+(L96-INDEX($D$19:$D$2018,MATCH(L96,$D$19:INDEX($D$19:$D$2018,$E$12),1)))*(INDEX($A$19:$A$2018,MATCH(L96,$D$19:INDEX($D$19:$D$2018,$E$12),1)+1)-INDEX($A$19:$A$2018,MATCH(L96,$D$19:INDEX($D$19:$D$2018,$E$12),1)))/(INDEX($D$19:$D$2018,MATCH(L96,$D$19:INDEX($D$19:$D$2018,$E$12),1)+1)-INDEX($D$19:$D$2018,MATCH(L96,$D$19:INDEX($D$19:$D$2018,$E$12),1))))))</f>
        <v/>
      </c>
      <c r="N96" s="12">
        <f>IF(M96="","",$B$6*TAN(RADIANS(M96)))</f>
        <v/>
      </c>
      <c r="O96" s="12">
        <f>IF(N96="","",IF(L96=0,0,-N96*J96/SQRT(J96^2+K96^2)))</f>
        <v/>
      </c>
      <c r="P96" s="12">
        <f>IF(N96="","",IF(L96=0,0,N96*K96/SQRT(J96^2+K96^2)))</f>
        <v/>
      </c>
      <c r="Q96" s="12">
        <f>IF(N96="","",IF(N96=0,$B$7,$B$7-Y96*O96/N96))</f>
        <v/>
      </c>
      <c r="R96" s="12">
        <f>IF(N96="","",IF(N96=0,$B$8,$B$8+Y96*P96/N96))</f>
        <v/>
      </c>
      <c r="S96" s="12">
        <f>IFERROR(SQRT((Q96-H96)^2+(R96-I96)^2),"")</f>
        <v/>
      </c>
      <c r="T96">
        <f>69</f>
        <v/>
      </c>
      <c r="U96">
        <f>IF(T96&gt;4*$E$9,"",MIN(INT(T96/$E$9)+1,4))</f>
        <v/>
      </c>
      <c r="V96">
        <f>IF(T96=4*$E$9,-$E$6/2,IF(U96="","",CHOOSE(U96,-$E$6/2+MOD(T96,$E$9)/$E$9*$E$6,$E$6/2,$E$6/2-MOD(T96,$E$9)/$E$9*$E$6,-$E$6/2)))</f>
        <v/>
      </c>
      <c r="W96">
        <f>IF(T96=4*$E$9,-$E$7/2,IF(U96="","",CHOOSE(U96,-$E$7/2,-$E$7/2+MOD(T96,$E$9)/$E$9*$E$7,$E$7/2,$E$7/2-MOD(T96,$E$9)/$E$9*$E$7)))</f>
        <v/>
      </c>
      <c r="X96">
        <f>IF(OR($E$13&lt;&gt;"OK",M96=""),"",IF(M96&lt;=$A$19,$D$19,IF(M96&gt;=INDEX($A$19:$A$2018,$E$12),INDEX($D$19:$D$2018,$E$12),INDEX($D$19:$D$2018,MATCH(M96,$A$19:INDEX($A$19:$A$2018,$E$12),1))+(M96-INDEX($A$19:$A$2018,MATCH(M96,$A$19:INDEX($A$19:$A$2018,$E$12),1)))*(INDEX($D$19:$D$2018,MATCH(M96,$A$19:INDEX($A$19:$A$2018,$E$12),1)+1)-INDEX($D$19:$D$2018,MATCH(M96,$A$19:INDEX($A$19:$A$2018,$E$12),1)))/(INDEX($A$19:$A$2018,MATCH(M96,$A$19:INDEX($A$19:$A$2018,$E$12),1)+1)-INDEX($A$19:$A$2018,MATCH(M96,$A$19:INDEX($A$19:$A$2018,$E$12),1))))))</f>
        <v/>
      </c>
      <c r="Y96">
        <f>IF(X96="","",X96*1000/$B$4)</f>
        <v/>
      </c>
    </row>
    <row r="97">
      <c r="A97" s="10" t="n"/>
      <c r="B97" s="10" t="n"/>
      <c r="C97" s="11">
        <f>IF(A97="","",$B$5*TAN(RADIANS(A97)))</f>
        <v/>
      </c>
      <c r="D97" s="11">
        <f>IF(C97="","",C97*(1+B97/100))</f>
        <v/>
      </c>
      <c r="E97" s="11">
        <f>IF(A97="","",$B$6*TAN(RADIANS(A97)))</f>
        <v/>
      </c>
      <c r="G97" s="12">
        <f>IF(U97="","",T97)</f>
        <v/>
      </c>
      <c r="H97" s="12">
        <f>IF(U97="","",$E$4+V97*COS(RADIANS($E$8))-W97*SIN(RADIANS($E$8)))</f>
        <v/>
      </c>
      <c r="I97" s="12">
        <f>IF(U97="","",$E$5+V97*SIN(RADIANS($E$8))+W97*COS(RADIANS($E$8)))</f>
        <v/>
      </c>
      <c r="J97" s="12">
        <f>IF(H97="","",H97-$B$7)</f>
        <v/>
      </c>
      <c r="K97" s="12">
        <f>IF(I97="","",I97-$B$8)</f>
        <v/>
      </c>
      <c r="L97" s="12">
        <f>IFERROR(SQRT(J97^2+K97^2)*$B$4/1000,"")</f>
        <v/>
      </c>
      <c r="M97" s="12">
        <f>IF(OR($E$13&lt;&gt;"OK",L97=""),"",IF(L97&lt;=$D$19,$A$19,IF(L97&gt;=INDEX($D$19:$D$2018,$E$12),INDEX($A$19:$A$2018,$E$12),INDEX($A$19:$A$2018,MATCH(L97,$D$19:INDEX($D$19:$D$2018,$E$12),1))+(L97-INDEX($D$19:$D$2018,MATCH(L97,$D$19:INDEX($D$19:$D$2018,$E$12),1)))*(INDEX($A$19:$A$2018,MATCH(L97,$D$19:INDEX($D$19:$D$2018,$E$12),1)+1)-INDEX($A$19:$A$2018,MATCH(L97,$D$19:INDEX($D$19:$D$2018,$E$12),1)))/(INDEX($D$19:$D$2018,MATCH(L97,$D$19:INDEX($D$19:$D$2018,$E$12),1)+1)-INDEX($D$19:$D$2018,MATCH(L97,$D$19:INDEX($D$19:$D$2018,$E$12),1))))))</f>
        <v/>
      </c>
      <c r="N97" s="12">
        <f>IF(M97="","",$B$6*TAN(RADIANS(M97)))</f>
        <v/>
      </c>
      <c r="O97" s="12">
        <f>IF(N97="","",IF(L97=0,0,-N97*J97/SQRT(J97^2+K97^2)))</f>
        <v/>
      </c>
      <c r="P97" s="12">
        <f>IF(N97="","",IF(L97=0,0,N97*K97/SQRT(J97^2+K97^2)))</f>
        <v/>
      </c>
      <c r="Q97" s="12">
        <f>IF(N97="","",IF(N97=0,$B$7,$B$7-Y97*O97/N97))</f>
        <v/>
      </c>
      <c r="R97" s="12">
        <f>IF(N97="","",IF(N97=0,$B$8,$B$8+Y97*P97/N97))</f>
        <v/>
      </c>
      <c r="S97" s="12">
        <f>IFERROR(SQRT((Q97-H97)^2+(R97-I97)^2),"")</f>
        <v/>
      </c>
      <c r="T97">
        <f>70</f>
        <v/>
      </c>
      <c r="U97">
        <f>IF(T97&gt;4*$E$9,"",MIN(INT(T97/$E$9)+1,4))</f>
        <v/>
      </c>
      <c r="V97">
        <f>IF(T97=4*$E$9,-$E$6/2,IF(U97="","",CHOOSE(U97,-$E$6/2+MOD(T97,$E$9)/$E$9*$E$6,$E$6/2,$E$6/2-MOD(T97,$E$9)/$E$9*$E$6,-$E$6/2)))</f>
        <v/>
      </c>
      <c r="W97">
        <f>IF(T97=4*$E$9,-$E$7/2,IF(U97="","",CHOOSE(U97,-$E$7/2,-$E$7/2+MOD(T97,$E$9)/$E$9*$E$7,$E$7/2,$E$7/2-MOD(T97,$E$9)/$E$9*$E$7)))</f>
        <v/>
      </c>
      <c r="X97">
        <f>IF(OR($E$13&lt;&gt;"OK",M97=""),"",IF(M97&lt;=$A$19,$D$19,IF(M97&gt;=INDEX($A$19:$A$2018,$E$12),INDEX($D$19:$D$2018,$E$12),INDEX($D$19:$D$2018,MATCH(M97,$A$19:INDEX($A$19:$A$2018,$E$12),1))+(M97-INDEX($A$19:$A$2018,MATCH(M97,$A$19:INDEX($A$19:$A$2018,$E$12),1)))*(INDEX($D$19:$D$2018,MATCH(M97,$A$19:INDEX($A$19:$A$2018,$E$12),1)+1)-INDEX($D$19:$D$2018,MATCH(M97,$A$19:INDEX($A$19:$A$2018,$E$12),1)))/(INDEX($A$19:$A$2018,MATCH(M97,$A$19:INDEX($A$19:$A$2018,$E$12),1)+1)-INDEX($A$19:$A$2018,MATCH(M97,$A$19:INDEX($A$19:$A$2018,$E$12),1))))))</f>
        <v/>
      </c>
      <c r="Y97">
        <f>IF(X97="","",X97*1000/$B$4)</f>
        <v/>
      </c>
    </row>
    <row r="98">
      <c r="A98" s="10" t="n"/>
      <c r="B98" s="10" t="n"/>
      <c r="C98" s="11">
        <f>IF(A98="","",$B$5*TAN(RADIANS(A98)))</f>
        <v/>
      </c>
      <c r="D98" s="11">
        <f>IF(C98="","",C98*(1+B98/100))</f>
        <v/>
      </c>
      <c r="E98" s="11">
        <f>IF(A98="","",$B$6*TAN(RADIANS(A98)))</f>
        <v/>
      </c>
      <c r="G98" s="12">
        <f>IF(U98="","",T98)</f>
        <v/>
      </c>
      <c r="H98" s="12">
        <f>IF(U98="","",$E$4+V98*COS(RADIANS($E$8))-W98*SIN(RADIANS($E$8)))</f>
        <v/>
      </c>
      <c r="I98" s="12">
        <f>IF(U98="","",$E$5+V98*SIN(RADIANS($E$8))+W98*COS(RADIANS($E$8)))</f>
        <v/>
      </c>
      <c r="J98" s="12">
        <f>IF(H98="","",H98-$B$7)</f>
        <v/>
      </c>
      <c r="K98" s="12">
        <f>IF(I98="","",I98-$B$8)</f>
        <v/>
      </c>
      <c r="L98" s="12">
        <f>IFERROR(SQRT(J98^2+K98^2)*$B$4/1000,"")</f>
        <v/>
      </c>
      <c r="M98" s="12">
        <f>IF(OR($E$13&lt;&gt;"OK",L98=""),"",IF(L98&lt;=$D$19,$A$19,IF(L98&gt;=INDEX($D$19:$D$2018,$E$12),INDEX($A$19:$A$2018,$E$12),INDEX($A$19:$A$2018,MATCH(L98,$D$19:INDEX($D$19:$D$2018,$E$12),1))+(L98-INDEX($D$19:$D$2018,MATCH(L98,$D$19:INDEX($D$19:$D$2018,$E$12),1)))*(INDEX($A$19:$A$2018,MATCH(L98,$D$19:INDEX($D$19:$D$2018,$E$12),1)+1)-INDEX($A$19:$A$2018,MATCH(L98,$D$19:INDEX($D$19:$D$2018,$E$12),1)))/(INDEX($D$19:$D$2018,MATCH(L98,$D$19:INDEX($D$19:$D$2018,$E$12),1)+1)-INDEX($D$19:$D$2018,MATCH(L98,$D$19:INDEX($D$19:$D$2018,$E$12),1))))))</f>
        <v/>
      </c>
      <c r="N98" s="12">
        <f>IF(M98="","",$B$6*TAN(RADIANS(M98)))</f>
        <v/>
      </c>
      <c r="O98" s="12">
        <f>IF(N98="","",IF(L98=0,0,-N98*J98/SQRT(J98^2+K98^2)))</f>
        <v/>
      </c>
      <c r="P98" s="12">
        <f>IF(N98="","",IF(L98=0,0,N98*K98/SQRT(J98^2+K98^2)))</f>
        <v/>
      </c>
      <c r="Q98" s="12">
        <f>IF(N98="","",IF(N98=0,$B$7,$B$7-Y98*O98/N98))</f>
        <v/>
      </c>
      <c r="R98" s="12">
        <f>IF(N98="","",IF(N98=0,$B$8,$B$8+Y98*P98/N98))</f>
        <v/>
      </c>
      <c r="S98" s="12">
        <f>IFERROR(SQRT((Q98-H98)^2+(R98-I98)^2),"")</f>
        <v/>
      </c>
      <c r="T98">
        <f>71</f>
        <v/>
      </c>
      <c r="U98">
        <f>IF(T98&gt;4*$E$9,"",MIN(INT(T98/$E$9)+1,4))</f>
        <v/>
      </c>
      <c r="V98">
        <f>IF(T98=4*$E$9,-$E$6/2,IF(U98="","",CHOOSE(U98,-$E$6/2+MOD(T98,$E$9)/$E$9*$E$6,$E$6/2,$E$6/2-MOD(T98,$E$9)/$E$9*$E$6,-$E$6/2)))</f>
        <v/>
      </c>
      <c r="W98">
        <f>IF(T98=4*$E$9,-$E$7/2,IF(U98="","",CHOOSE(U98,-$E$7/2,-$E$7/2+MOD(T98,$E$9)/$E$9*$E$7,$E$7/2,$E$7/2-MOD(T98,$E$9)/$E$9*$E$7)))</f>
        <v/>
      </c>
      <c r="X98">
        <f>IF(OR($E$13&lt;&gt;"OK",M98=""),"",IF(M98&lt;=$A$19,$D$19,IF(M98&gt;=INDEX($A$19:$A$2018,$E$12),INDEX($D$19:$D$2018,$E$12),INDEX($D$19:$D$2018,MATCH(M98,$A$19:INDEX($A$19:$A$2018,$E$12),1))+(M98-INDEX($A$19:$A$2018,MATCH(M98,$A$19:INDEX($A$19:$A$2018,$E$12),1)))*(INDEX($D$19:$D$2018,MATCH(M98,$A$19:INDEX($A$19:$A$2018,$E$12),1)+1)-INDEX($D$19:$D$2018,MATCH(M98,$A$19:INDEX($A$19:$A$2018,$E$12),1)))/(INDEX($A$19:$A$2018,MATCH(M98,$A$19:INDEX($A$19:$A$2018,$E$12),1)+1)-INDEX($A$19:$A$2018,MATCH(M98,$A$19:INDEX($A$19:$A$2018,$E$12),1))))))</f>
        <v/>
      </c>
      <c r="Y98">
        <f>IF(X98="","",X98*1000/$B$4)</f>
        <v/>
      </c>
    </row>
    <row r="99">
      <c r="A99" s="10" t="n"/>
      <c r="B99" s="10" t="n"/>
      <c r="C99" s="11">
        <f>IF(A99="","",$B$5*TAN(RADIANS(A99)))</f>
        <v/>
      </c>
      <c r="D99" s="11">
        <f>IF(C99="","",C99*(1+B99/100))</f>
        <v/>
      </c>
      <c r="E99" s="11">
        <f>IF(A99="","",$B$6*TAN(RADIANS(A99)))</f>
        <v/>
      </c>
      <c r="G99" s="12">
        <f>IF(U99="","",T99)</f>
        <v/>
      </c>
      <c r="H99" s="12">
        <f>IF(U99="","",$E$4+V99*COS(RADIANS($E$8))-W99*SIN(RADIANS($E$8)))</f>
        <v/>
      </c>
      <c r="I99" s="12">
        <f>IF(U99="","",$E$5+V99*SIN(RADIANS($E$8))+W99*COS(RADIANS($E$8)))</f>
        <v/>
      </c>
      <c r="J99" s="12">
        <f>IF(H99="","",H99-$B$7)</f>
        <v/>
      </c>
      <c r="K99" s="12">
        <f>IF(I99="","",I99-$B$8)</f>
        <v/>
      </c>
      <c r="L99" s="12">
        <f>IFERROR(SQRT(J99^2+K99^2)*$B$4/1000,"")</f>
        <v/>
      </c>
      <c r="M99" s="12">
        <f>IF(OR($E$13&lt;&gt;"OK",L99=""),"",IF(L99&lt;=$D$19,$A$19,IF(L99&gt;=INDEX($D$19:$D$2018,$E$12),INDEX($A$19:$A$2018,$E$12),INDEX($A$19:$A$2018,MATCH(L99,$D$19:INDEX($D$19:$D$2018,$E$12),1))+(L99-INDEX($D$19:$D$2018,MATCH(L99,$D$19:INDEX($D$19:$D$2018,$E$12),1)))*(INDEX($A$19:$A$2018,MATCH(L99,$D$19:INDEX($D$19:$D$2018,$E$12),1)+1)-INDEX($A$19:$A$2018,MATCH(L99,$D$19:INDEX($D$19:$D$2018,$E$12),1)))/(INDEX($D$19:$D$2018,MATCH(L99,$D$19:INDEX($D$19:$D$2018,$E$12),1)+1)-INDEX($D$19:$D$2018,MATCH(L99,$D$19:INDEX($D$19:$D$2018,$E$12),1))))))</f>
        <v/>
      </c>
      <c r="N99" s="12">
        <f>IF(M99="","",$B$6*TAN(RADIANS(M99)))</f>
        <v/>
      </c>
      <c r="O99" s="12">
        <f>IF(N99="","",IF(L99=0,0,-N99*J99/SQRT(J99^2+K99^2)))</f>
        <v/>
      </c>
      <c r="P99" s="12">
        <f>IF(N99="","",IF(L99=0,0,N99*K99/SQRT(J99^2+K99^2)))</f>
        <v/>
      </c>
      <c r="Q99" s="12">
        <f>IF(N99="","",IF(N99=0,$B$7,$B$7-Y99*O99/N99))</f>
        <v/>
      </c>
      <c r="R99" s="12">
        <f>IF(N99="","",IF(N99=0,$B$8,$B$8+Y99*P99/N99))</f>
        <v/>
      </c>
      <c r="S99" s="12">
        <f>IFERROR(SQRT((Q99-H99)^2+(R99-I99)^2),"")</f>
        <v/>
      </c>
      <c r="T99">
        <f>72</f>
        <v/>
      </c>
      <c r="U99">
        <f>IF(T99&gt;4*$E$9,"",MIN(INT(T99/$E$9)+1,4))</f>
        <v/>
      </c>
      <c r="V99">
        <f>IF(T99=4*$E$9,-$E$6/2,IF(U99="","",CHOOSE(U99,-$E$6/2+MOD(T99,$E$9)/$E$9*$E$6,$E$6/2,$E$6/2-MOD(T99,$E$9)/$E$9*$E$6,-$E$6/2)))</f>
        <v/>
      </c>
      <c r="W99">
        <f>IF(T99=4*$E$9,-$E$7/2,IF(U99="","",CHOOSE(U99,-$E$7/2,-$E$7/2+MOD(T99,$E$9)/$E$9*$E$7,$E$7/2,$E$7/2-MOD(T99,$E$9)/$E$9*$E$7)))</f>
        <v/>
      </c>
      <c r="X99">
        <f>IF(OR($E$13&lt;&gt;"OK",M99=""),"",IF(M99&lt;=$A$19,$D$19,IF(M99&gt;=INDEX($A$19:$A$2018,$E$12),INDEX($D$19:$D$2018,$E$12),INDEX($D$19:$D$2018,MATCH(M99,$A$19:INDEX($A$19:$A$2018,$E$12),1))+(M99-INDEX($A$19:$A$2018,MATCH(M99,$A$19:INDEX($A$19:$A$2018,$E$12),1)))*(INDEX($D$19:$D$2018,MATCH(M99,$A$19:INDEX($A$19:$A$2018,$E$12),1)+1)-INDEX($D$19:$D$2018,MATCH(M99,$A$19:INDEX($A$19:$A$2018,$E$12),1)))/(INDEX($A$19:$A$2018,MATCH(M99,$A$19:INDEX($A$19:$A$2018,$E$12),1)+1)-INDEX($A$19:$A$2018,MATCH(M99,$A$19:INDEX($A$19:$A$2018,$E$12),1))))))</f>
        <v/>
      </c>
      <c r="Y99">
        <f>IF(X99="","",X99*1000/$B$4)</f>
        <v/>
      </c>
    </row>
    <row r="100">
      <c r="A100" s="10" t="n"/>
      <c r="B100" s="10" t="n"/>
      <c r="C100" s="11">
        <f>IF(A100="","",$B$5*TAN(RADIANS(A100)))</f>
        <v/>
      </c>
      <c r="D100" s="11">
        <f>IF(C100="","",C100*(1+B100/100))</f>
        <v/>
      </c>
      <c r="E100" s="11">
        <f>IF(A100="","",$B$6*TAN(RADIANS(A100)))</f>
        <v/>
      </c>
      <c r="G100" s="12">
        <f>IF(U100="","",T100)</f>
        <v/>
      </c>
      <c r="H100" s="12">
        <f>IF(U100="","",$E$4+V100*COS(RADIANS($E$8))-W100*SIN(RADIANS($E$8)))</f>
        <v/>
      </c>
      <c r="I100" s="12">
        <f>IF(U100="","",$E$5+V100*SIN(RADIANS($E$8))+W100*COS(RADIANS($E$8)))</f>
        <v/>
      </c>
      <c r="J100" s="12">
        <f>IF(H100="","",H100-$B$7)</f>
        <v/>
      </c>
      <c r="K100" s="12">
        <f>IF(I100="","",I100-$B$8)</f>
        <v/>
      </c>
      <c r="L100" s="12">
        <f>IFERROR(SQRT(J100^2+K100^2)*$B$4/1000,"")</f>
        <v/>
      </c>
      <c r="M100" s="12">
        <f>IF(OR($E$13&lt;&gt;"OK",L100=""),"",IF(L100&lt;=$D$19,$A$19,IF(L100&gt;=INDEX($D$19:$D$2018,$E$12),INDEX($A$19:$A$2018,$E$12),INDEX($A$19:$A$2018,MATCH(L100,$D$19:INDEX($D$19:$D$2018,$E$12),1))+(L100-INDEX($D$19:$D$2018,MATCH(L100,$D$19:INDEX($D$19:$D$2018,$E$12),1)))*(INDEX($A$19:$A$2018,MATCH(L100,$D$19:INDEX($D$19:$D$2018,$E$12),1)+1)-INDEX($A$19:$A$2018,MATCH(L100,$D$19:INDEX($D$19:$D$2018,$E$12),1)))/(INDEX($D$19:$D$2018,MATCH(L100,$D$19:INDEX($D$19:$D$2018,$E$12),1)+1)-INDEX($D$19:$D$2018,MATCH(L100,$D$19:INDEX($D$19:$D$2018,$E$12),1))))))</f>
        <v/>
      </c>
      <c r="N100" s="12">
        <f>IF(M100="","",$B$6*TAN(RADIANS(M100)))</f>
        <v/>
      </c>
      <c r="O100" s="12">
        <f>IF(N100="","",IF(L100=0,0,-N100*J100/SQRT(J100^2+K100^2)))</f>
        <v/>
      </c>
      <c r="P100" s="12">
        <f>IF(N100="","",IF(L100=0,0,N100*K100/SQRT(J100^2+K100^2)))</f>
        <v/>
      </c>
      <c r="Q100" s="12">
        <f>IF(N100="","",IF(N100=0,$B$7,$B$7-Y100*O100/N100))</f>
        <v/>
      </c>
      <c r="R100" s="12">
        <f>IF(N100="","",IF(N100=0,$B$8,$B$8+Y100*P100/N100))</f>
        <v/>
      </c>
      <c r="S100" s="12">
        <f>IFERROR(SQRT((Q100-H100)^2+(R100-I100)^2),"")</f>
        <v/>
      </c>
      <c r="T100">
        <f>73</f>
        <v/>
      </c>
      <c r="U100">
        <f>IF(T100&gt;4*$E$9,"",MIN(INT(T100/$E$9)+1,4))</f>
        <v/>
      </c>
      <c r="V100">
        <f>IF(T100=4*$E$9,-$E$6/2,IF(U100="","",CHOOSE(U100,-$E$6/2+MOD(T100,$E$9)/$E$9*$E$6,$E$6/2,$E$6/2-MOD(T100,$E$9)/$E$9*$E$6,-$E$6/2)))</f>
        <v/>
      </c>
      <c r="W100">
        <f>IF(T100=4*$E$9,-$E$7/2,IF(U100="","",CHOOSE(U100,-$E$7/2,-$E$7/2+MOD(T100,$E$9)/$E$9*$E$7,$E$7/2,$E$7/2-MOD(T100,$E$9)/$E$9*$E$7)))</f>
        <v/>
      </c>
      <c r="X100">
        <f>IF(OR($E$13&lt;&gt;"OK",M100=""),"",IF(M100&lt;=$A$19,$D$19,IF(M100&gt;=INDEX($A$19:$A$2018,$E$12),INDEX($D$19:$D$2018,$E$12),INDEX($D$19:$D$2018,MATCH(M100,$A$19:INDEX($A$19:$A$2018,$E$12),1))+(M100-INDEX($A$19:$A$2018,MATCH(M100,$A$19:INDEX($A$19:$A$2018,$E$12),1)))*(INDEX($D$19:$D$2018,MATCH(M100,$A$19:INDEX($A$19:$A$2018,$E$12),1)+1)-INDEX($D$19:$D$2018,MATCH(M100,$A$19:INDEX($A$19:$A$2018,$E$12),1)))/(INDEX($A$19:$A$2018,MATCH(M100,$A$19:INDEX($A$19:$A$2018,$E$12),1)+1)-INDEX($A$19:$A$2018,MATCH(M100,$A$19:INDEX($A$19:$A$2018,$E$12),1))))))</f>
        <v/>
      </c>
      <c r="Y100">
        <f>IF(X100="","",X100*1000/$B$4)</f>
        <v/>
      </c>
    </row>
    <row r="101">
      <c r="A101" s="10" t="n"/>
      <c r="B101" s="10" t="n"/>
      <c r="C101" s="11">
        <f>IF(A101="","",$B$5*TAN(RADIANS(A101)))</f>
        <v/>
      </c>
      <c r="D101" s="11">
        <f>IF(C101="","",C101*(1+B101/100))</f>
        <v/>
      </c>
      <c r="E101" s="11">
        <f>IF(A101="","",$B$6*TAN(RADIANS(A101)))</f>
        <v/>
      </c>
      <c r="G101" s="12">
        <f>IF(U101="","",T101)</f>
        <v/>
      </c>
      <c r="H101" s="12">
        <f>IF(U101="","",$E$4+V101*COS(RADIANS($E$8))-W101*SIN(RADIANS($E$8)))</f>
        <v/>
      </c>
      <c r="I101" s="12">
        <f>IF(U101="","",$E$5+V101*SIN(RADIANS($E$8))+W101*COS(RADIANS($E$8)))</f>
        <v/>
      </c>
      <c r="J101" s="12">
        <f>IF(H101="","",H101-$B$7)</f>
        <v/>
      </c>
      <c r="K101" s="12">
        <f>IF(I101="","",I101-$B$8)</f>
        <v/>
      </c>
      <c r="L101" s="12">
        <f>IFERROR(SQRT(J101^2+K101^2)*$B$4/1000,"")</f>
        <v/>
      </c>
      <c r="M101" s="12">
        <f>IF(OR($E$13&lt;&gt;"OK",L101=""),"",IF(L101&lt;=$D$19,$A$19,IF(L101&gt;=INDEX($D$19:$D$2018,$E$12),INDEX($A$19:$A$2018,$E$12),INDEX($A$19:$A$2018,MATCH(L101,$D$19:INDEX($D$19:$D$2018,$E$12),1))+(L101-INDEX($D$19:$D$2018,MATCH(L101,$D$19:INDEX($D$19:$D$2018,$E$12),1)))*(INDEX($A$19:$A$2018,MATCH(L101,$D$19:INDEX($D$19:$D$2018,$E$12),1)+1)-INDEX($A$19:$A$2018,MATCH(L101,$D$19:INDEX($D$19:$D$2018,$E$12),1)))/(INDEX($D$19:$D$2018,MATCH(L101,$D$19:INDEX($D$19:$D$2018,$E$12),1)+1)-INDEX($D$19:$D$2018,MATCH(L101,$D$19:INDEX($D$19:$D$2018,$E$12),1))))))</f>
        <v/>
      </c>
      <c r="N101" s="12">
        <f>IF(M101="","",$B$6*TAN(RADIANS(M101)))</f>
        <v/>
      </c>
      <c r="O101" s="12">
        <f>IF(N101="","",IF(L101=0,0,-N101*J101/SQRT(J101^2+K101^2)))</f>
        <v/>
      </c>
      <c r="P101" s="12">
        <f>IF(N101="","",IF(L101=0,0,N101*K101/SQRT(J101^2+K101^2)))</f>
        <v/>
      </c>
      <c r="Q101" s="12">
        <f>IF(N101="","",IF(N101=0,$B$7,$B$7-Y101*O101/N101))</f>
        <v/>
      </c>
      <c r="R101" s="12">
        <f>IF(N101="","",IF(N101=0,$B$8,$B$8+Y101*P101/N101))</f>
        <v/>
      </c>
      <c r="S101" s="12">
        <f>IFERROR(SQRT((Q101-H101)^2+(R101-I101)^2),"")</f>
        <v/>
      </c>
      <c r="T101">
        <f>74</f>
        <v/>
      </c>
      <c r="U101">
        <f>IF(T101&gt;4*$E$9,"",MIN(INT(T101/$E$9)+1,4))</f>
        <v/>
      </c>
      <c r="V101">
        <f>IF(T101=4*$E$9,-$E$6/2,IF(U101="","",CHOOSE(U101,-$E$6/2+MOD(T101,$E$9)/$E$9*$E$6,$E$6/2,$E$6/2-MOD(T101,$E$9)/$E$9*$E$6,-$E$6/2)))</f>
        <v/>
      </c>
      <c r="W101">
        <f>IF(T101=4*$E$9,-$E$7/2,IF(U101="","",CHOOSE(U101,-$E$7/2,-$E$7/2+MOD(T101,$E$9)/$E$9*$E$7,$E$7/2,$E$7/2-MOD(T101,$E$9)/$E$9*$E$7)))</f>
        <v/>
      </c>
      <c r="X101">
        <f>IF(OR($E$13&lt;&gt;"OK",M101=""),"",IF(M101&lt;=$A$19,$D$19,IF(M101&gt;=INDEX($A$19:$A$2018,$E$12),INDEX($D$19:$D$2018,$E$12),INDEX($D$19:$D$2018,MATCH(M101,$A$19:INDEX($A$19:$A$2018,$E$12),1))+(M101-INDEX($A$19:$A$2018,MATCH(M101,$A$19:INDEX($A$19:$A$2018,$E$12),1)))*(INDEX($D$19:$D$2018,MATCH(M101,$A$19:INDEX($A$19:$A$2018,$E$12),1)+1)-INDEX($D$19:$D$2018,MATCH(M101,$A$19:INDEX($A$19:$A$2018,$E$12),1)))/(INDEX($A$19:$A$2018,MATCH(M101,$A$19:INDEX($A$19:$A$2018,$E$12),1)+1)-INDEX($A$19:$A$2018,MATCH(M101,$A$19:INDEX($A$19:$A$2018,$E$12),1))))))</f>
        <v/>
      </c>
      <c r="Y101">
        <f>IF(X101="","",X101*1000/$B$4)</f>
        <v/>
      </c>
    </row>
    <row r="102">
      <c r="A102" s="10" t="n"/>
      <c r="B102" s="10" t="n"/>
      <c r="C102" s="11">
        <f>IF(A102="","",$B$5*TAN(RADIANS(A102)))</f>
        <v/>
      </c>
      <c r="D102" s="11">
        <f>IF(C102="","",C102*(1+B102/100))</f>
        <v/>
      </c>
      <c r="E102" s="11">
        <f>IF(A102="","",$B$6*TAN(RADIANS(A102)))</f>
        <v/>
      </c>
      <c r="G102" s="12">
        <f>IF(U102="","",T102)</f>
        <v/>
      </c>
      <c r="H102" s="12">
        <f>IF(U102="","",$E$4+V102*COS(RADIANS($E$8))-W102*SIN(RADIANS($E$8)))</f>
        <v/>
      </c>
      <c r="I102" s="12">
        <f>IF(U102="","",$E$5+V102*SIN(RADIANS($E$8))+W102*COS(RADIANS($E$8)))</f>
        <v/>
      </c>
      <c r="J102" s="12">
        <f>IF(H102="","",H102-$B$7)</f>
        <v/>
      </c>
      <c r="K102" s="12">
        <f>IF(I102="","",I102-$B$8)</f>
        <v/>
      </c>
      <c r="L102" s="12">
        <f>IFERROR(SQRT(J102^2+K102^2)*$B$4/1000,"")</f>
        <v/>
      </c>
      <c r="M102" s="12">
        <f>IF(OR($E$13&lt;&gt;"OK",L102=""),"",IF(L102&lt;=$D$19,$A$19,IF(L102&gt;=INDEX($D$19:$D$2018,$E$12),INDEX($A$19:$A$2018,$E$12),INDEX($A$19:$A$2018,MATCH(L102,$D$19:INDEX($D$19:$D$2018,$E$12),1))+(L102-INDEX($D$19:$D$2018,MATCH(L102,$D$19:INDEX($D$19:$D$2018,$E$12),1)))*(INDEX($A$19:$A$2018,MATCH(L102,$D$19:INDEX($D$19:$D$2018,$E$12),1)+1)-INDEX($A$19:$A$2018,MATCH(L102,$D$19:INDEX($D$19:$D$2018,$E$12),1)))/(INDEX($D$19:$D$2018,MATCH(L102,$D$19:INDEX($D$19:$D$2018,$E$12),1)+1)-INDEX($D$19:$D$2018,MATCH(L102,$D$19:INDEX($D$19:$D$2018,$E$12),1))))))</f>
        <v/>
      </c>
      <c r="N102" s="12">
        <f>IF(M102="","",$B$6*TAN(RADIANS(M102)))</f>
        <v/>
      </c>
      <c r="O102" s="12">
        <f>IF(N102="","",IF(L102=0,0,-N102*J102/SQRT(J102^2+K102^2)))</f>
        <v/>
      </c>
      <c r="P102" s="12">
        <f>IF(N102="","",IF(L102=0,0,N102*K102/SQRT(J102^2+K102^2)))</f>
        <v/>
      </c>
      <c r="Q102" s="12">
        <f>IF(N102="","",IF(N102=0,$B$7,$B$7-Y102*O102/N102))</f>
        <v/>
      </c>
      <c r="R102" s="12">
        <f>IF(N102="","",IF(N102=0,$B$8,$B$8+Y102*P102/N102))</f>
        <v/>
      </c>
      <c r="S102" s="12">
        <f>IFERROR(SQRT((Q102-H102)^2+(R102-I102)^2),"")</f>
        <v/>
      </c>
      <c r="T102">
        <f>75</f>
        <v/>
      </c>
      <c r="U102">
        <f>IF(T102&gt;4*$E$9,"",MIN(INT(T102/$E$9)+1,4))</f>
        <v/>
      </c>
      <c r="V102">
        <f>IF(T102=4*$E$9,-$E$6/2,IF(U102="","",CHOOSE(U102,-$E$6/2+MOD(T102,$E$9)/$E$9*$E$6,$E$6/2,$E$6/2-MOD(T102,$E$9)/$E$9*$E$6,-$E$6/2)))</f>
        <v/>
      </c>
      <c r="W102">
        <f>IF(T102=4*$E$9,-$E$7/2,IF(U102="","",CHOOSE(U102,-$E$7/2,-$E$7/2+MOD(T102,$E$9)/$E$9*$E$7,$E$7/2,$E$7/2-MOD(T102,$E$9)/$E$9*$E$7)))</f>
        <v/>
      </c>
      <c r="X102">
        <f>IF(OR($E$13&lt;&gt;"OK",M102=""),"",IF(M102&lt;=$A$19,$D$19,IF(M102&gt;=INDEX($A$19:$A$2018,$E$12),INDEX($D$19:$D$2018,$E$12),INDEX($D$19:$D$2018,MATCH(M102,$A$19:INDEX($A$19:$A$2018,$E$12),1))+(M102-INDEX($A$19:$A$2018,MATCH(M102,$A$19:INDEX($A$19:$A$2018,$E$12),1)))*(INDEX($D$19:$D$2018,MATCH(M102,$A$19:INDEX($A$19:$A$2018,$E$12),1)+1)-INDEX($D$19:$D$2018,MATCH(M102,$A$19:INDEX($A$19:$A$2018,$E$12),1)))/(INDEX($A$19:$A$2018,MATCH(M102,$A$19:INDEX($A$19:$A$2018,$E$12),1)+1)-INDEX($A$19:$A$2018,MATCH(M102,$A$19:INDEX($A$19:$A$2018,$E$12),1))))))</f>
        <v/>
      </c>
      <c r="Y102">
        <f>IF(X102="","",X102*1000/$B$4)</f>
        <v/>
      </c>
    </row>
    <row r="103">
      <c r="A103" s="10" t="n"/>
      <c r="B103" s="10" t="n"/>
      <c r="C103" s="11">
        <f>IF(A103="","",$B$5*TAN(RADIANS(A103)))</f>
        <v/>
      </c>
      <c r="D103" s="11">
        <f>IF(C103="","",C103*(1+B103/100))</f>
        <v/>
      </c>
      <c r="E103" s="11">
        <f>IF(A103="","",$B$6*TAN(RADIANS(A103)))</f>
        <v/>
      </c>
      <c r="G103" s="12">
        <f>IF(U103="","",T103)</f>
        <v/>
      </c>
      <c r="H103" s="12">
        <f>IF(U103="","",$E$4+V103*COS(RADIANS($E$8))-W103*SIN(RADIANS($E$8)))</f>
        <v/>
      </c>
      <c r="I103" s="12">
        <f>IF(U103="","",$E$5+V103*SIN(RADIANS($E$8))+W103*COS(RADIANS($E$8)))</f>
        <v/>
      </c>
      <c r="J103" s="12">
        <f>IF(H103="","",H103-$B$7)</f>
        <v/>
      </c>
      <c r="K103" s="12">
        <f>IF(I103="","",I103-$B$8)</f>
        <v/>
      </c>
      <c r="L103" s="12">
        <f>IFERROR(SQRT(J103^2+K103^2)*$B$4/1000,"")</f>
        <v/>
      </c>
      <c r="M103" s="12">
        <f>IF(OR($E$13&lt;&gt;"OK",L103=""),"",IF(L103&lt;=$D$19,$A$19,IF(L103&gt;=INDEX($D$19:$D$2018,$E$12),INDEX($A$19:$A$2018,$E$12),INDEX($A$19:$A$2018,MATCH(L103,$D$19:INDEX($D$19:$D$2018,$E$12),1))+(L103-INDEX($D$19:$D$2018,MATCH(L103,$D$19:INDEX($D$19:$D$2018,$E$12),1)))*(INDEX($A$19:$A$2018,MATCH(L103,$D$19:INDEX($D$19:$D$2018,$E$12),1)+1)-INDEX($A$19:$A$2018,MATCH(L103,$D$19:INDEX($D$19:$D$2018,$E$12),1)))/(INDEX($D$19:$D$2018,MATCH(L103,$D$19:INDEX($D$19:$D$2018,$E$12),1)+1)-INDEX($D$19:$D$2018,MATCH(L103,$D$19:INDEX($D$19:$D$2018,$E$12),1))))))</f>
        <v/>
      </c>
      <c r="N103" s="12">
        <f>IF(M103="","",$B$6*TAN(RADIANS(M103)))</f>
        <v/>
      </c>
      <c r="O103" s="12">
        <f>IF(N103="","",IF(L103=0,0,-N103*J103/SQRT(J103^2+K103^2)))</f>
        <v/>
      </c>
      <c r="P103" s="12">
        <f>IF(N103="","",IF(L103=0,0,N103*K103/SQRT(J103^2+K103^2)))</f>
        <v/>
      </c>
      <c r="Q103" s="12">
        <f>IF(N103="","",IF(N103=0,$B$7,$B$7-Y103*O103/N103))</f>
        <v/>
      </c>
      <c r="R103" s="12">
        <f>IF(N103="","",IF(N103=0,$B$8,$B$8+Y103*P103/N103))</f>
        <v/>
      </c>
      <c r="S103" s="12">
        <f>IFERROR(SQRT((Q103-H103)^2+(R103-I103)^2),"")</f>
        <v/>
      </c>
      <c r="T103">
        <f>76</f>
        <v/>
      </c>
      <c r="U103">
        <f>IF(T103&gt;4*$E$9,"",MIN(INT(T103/$E$9)+1,4))</f>
        <v/>
      </c>
      <c r="V103">
        <f>IF(T103=4*$E$9,-$E$6/2,IF(U103="","",CHOOSE(U103,-$E$6/2+MOD(T103,$E$9)/$E$9*$E$6,$E$6/2,$E$6/2-MOD(T103,$E$9)/$E$9*$E$6,-$E$6/2)))</f>
        <v/>
      </c>
      <c r="W103">
        <f>IF(T103=4*$E$9,-$E$7/2,IF(U103="","",CHOOSE(U103,-$E$7/2,-$E$7/2+MOD(T103,$E$9)/$E$9*$E$7,$E$7/2,$E$7/2-MOD(T103,$E$9)/$E$9*$E$7)))</f>
        <v/>
      </c>
      <c r="X103">
        <f>IF(OR($E$13&lt;&gt;"OK",M103=""),"",IF(M103&lt;=$A$19,$D$19,IF(M103&gt;=INDEX($A$19:$A$2018,$E$12),INDEX($D$19:$D$2018,$E$12),INDEX($D$19:$D$2018,MATCH(M103,$A$19:INDEX($A$19:$A$2018,$E$12),1))+(M103-INDEX($A$19:$A$2018,MATCH(M103,$A$19:INDEX($A$19:$A$2018,$E$12),1)))*(INDEX($D$19:$D$2018,MATCH(M103,$A$19:INDEX($A$19:$A$2018,$E$12),1)+1)-INDEX($D$19:$D$2018,MATCH(M103,$A$19:INDEX($A$19:$A$2018,$E$12),1)))/(INDEX($A$19:$A$2018,MATCH(M103,$A$19:INDEX($A$19:$A$2018,$E$12),1)+1)-INDEX($A$19:$A$2018,MATCH(M103,$A$19:INDEX($A$19:$A$2018,$E$12),1))))))</f>
        <v/>
      </c>
      <c r="Y103">
        <f>IF(X103="","",X103*1000/$B$4)</f>
        <v/>
      </c>
    </row>
    <row r="104">
      <c r="A104" s="10" t="n"/>
      <c r="B104" s="10" t="n"/>
      <c r="C104" s="11">
        <f>IF(A104="","",$B$5*TAN(RADIANS(A104)))</f>
        <v/>
      </c>
      <c r="D104" s="11">
        <f>IF(C104="","",C104*(1+B104/100))</f>
        <v/>
      </c>
      <c r="E104" s="11">
        <f>IF(A104="","",$B$6*TAN(RADIANS(A104)))</f>
        <v/>
      </c>
      <c r="G104" s="12">
        <f>IF(U104="","",T104)</f>
        <v/>
      </c>
      <c r="H104" s="12">
        <f>IF(U104="","",$E$4+V104*COS(RADIANS($E$8))-W104*SIN(RADIANS($E$8)))</f>
        <v/>
      </c>
      <c r="I104" s="12">
        <f>IF(U104="","",$E$5+V104*SIN(RADIANS($E$8))+W104*COS(RADIANS($E$8)))</f>
        <v/>
      </c>
      <c r="J104" s="12">
        <f>IF(H104="","",H104-$B$7)</f>
        <v/>
      </c>
      <c r="K104" s="12">
        <f>IF(I104="","",I104-$B$8)</f>
        <v/>
      </c>
      <c r="L104" s="12">
        <f>IFERROR(SQRT(J104^2+K104^2)*$B$4/1000,"")</f>
        <v/>
      </c>
      <c r="M104" s="12">
        <f>IF(OR($E$13&lt;&gt;"OK",L104=""),"",IF(L104&lt;=$D$19,$A$19,IF(L104&gt;=INDEX($D$19:$D$2018,$E$12),INDEX($A$19:$A$2018,$E$12),INDEX($A$19:$A$2018,MATCH(L104,$D$19:INDEX($D$19:$D$2018,$E$12),1))+(L104-INDEX($D$19:$D$2018,MATCH(L104,$D$19:INDEX($D$19:$D$2018,$E$12),1)))*(INDEX($A$19:$A$2018,MATCH(L104,$D$19:INDEX($D$19:$D$2018,$E$12),1)+1)-INDEX($A$19:$A$2018,MATCH(L104,$D$19:INDEX($D$19:$D$2018,$E$12),1)))/(INDEX($D$19:$D$2018,MATCH(L104,$D$19:INDEX($D$19:$D$2018,$E$12),1)+1)-INDEX($D$19:$D$2018,MATCH(L104,$D$19:INDEX($D$19:$D$2018,$E$12),1))))))</f>
        <v/>
      </c>
      <c r="N104" s="12">
        <f>IF(M104="","",$B$6*TAN(RADIANS(M104)))</f>
        <v/>
      </c>
      <c r="O104" s="12">
        <f>IF(N104="","",IF(L104=0,0,-N104*J104/SQRT(J104^2+K104^2)))</f>
        <v/>
      </c>
      <c r="P104" s="12">
        <f>IF(N104="","",IF(L104=0,0,N104*K104/SQRT(J104^2+K104^2)))</f>
        <v/>
      </c>
      <c r="Q104" s="12">
        <f>IF(N104="","",IF(N104=0,$B$7,$B$7-Y104*O104/N104))</f>
        <v/>
      </c>
      <c r="R104" s="12">
        <f>IF(N104="","",IF(N104=0,$B$8,$B$8+Y104*P104/N104))</f>
        <v/>
      </c>
      <c r="S104" s="12">
        <f>IFERROR(SQRT((Q104-H104)^2+(R104-I104)^2),"")</f>
        <v/>
      </c>
      <c r="T104">
        <f>77</f>
        <v/>
      </c>
      <c r="U104">
        <f>IF(T104&gt;4*$E$9,"",MIN(INT(T104/$E$9)+1,4))</f>
        <v/>
      </c>
      <c r="V104">
        <f>IF(T104=4*$E$9,-$E$6/2,IF(U104="","",CHOOSE(U104,-$E$6/2+MOD(T104,$E$9)/$E$9*$E$6,$E$6/2,$E$6/2-MOD(T104,$E$9)/$E$9*$E$6,-$E$6/2)))</f>
        <v/>
      </c>
      <c r="W104">
        <f>IF(T104=4*$E$9,-$E$7/2,IF(U104="","",CHOOSE(U104,-$E$7/2,-$E$7/2+MOD(T104,$E$9)/$E$9*$E$7,$E$7/2,$E$7/2-MOD(T104,$E$9)/$E$9*$E$7)))</f>
        <v/>
      </c>
      <c r="X104">
        <f>IF(OR($E$13&lt;&gt;"OK",M104=""),"",IF(M104&lt;=$A$19,$D$19,IF(M104&gt;=INDEX($A$19:$A$2018,$E$12),INDEX($D$19:$D$2018,$E$12),INDEX($D$19:$D$2018,MATCH(M104,$A$19:INDEX($A$19:$A$2018,$E$12),1))+(M104-INDEX($A$19:$A$2018,MATCH(M104,$A$19:INDEX($A$19:$A$2018,$E$12),1)))*(INDEX($D$19:$D$2018,MATCH(M104,$A$19:INDEX($A$19:$A$2018,$E$12),1)+1)-INDEX($D$19:$D$2018,MATCH(M104,$A$19:INDEX($A$19:$A$2018,$E$12),1)))/(INDEX($A$19:$A$2018,MATCH(M104,$A$19:INDEX($A$19:$A$2018,$E$12),1)+1)-INDEX($A$19:$A$2018,MATCH(M104,$A$19:INDEX($A$19:$A$2018,$E$12),1))))))</f>
        <v/>
      </c>
      <c r="Y104">
        <f>IF(X104="","",X104*1000/$B$4)</f>
        <v/>
      </c>
    </row>
    <row r="105">
      <c r="A105" s="10" t="n"/>
      <c r="B105" s="10" t="n"/>
      <c r="C105" s="11">
        <f>IF(A105="","",$B$5*TAN(RADIANS(A105)))</f>
        <v/>
      </c>
      <c r="D105" s="11">
        <f>IF(C105="","",C105*(1+B105/100))</f>
        <v/>
      </c>
      <c r="E105" s="11">
        <f>IF(A105="","",$B$6*TAN(RADIANS(A105)))</f>
        <v/>
      </c>
      <c r="G105" s="12">
        <f>IF(U105="","",T105)</f>
        <v/>
      </c>
      <c r="H105" s="12">
        <f>IF(U105="","",$E$4+V105*COS(RADIANS($E$8))-W105*SIN(RADIANS($E$8)))</f>
        <v/>
      </c>
      <c r="I105" s="12">
        <f>IF(U105="","",$E$5+V105*SIN(RADIANS($E$8))+W105*COS(RADIANS($E$8)))</f>
        <v/>
      </c>
      <c r="J105" s="12">
        <f>IF(H105="","",H105-$B$7)</f>
        <v/>
      </c>
      <c r="K105" s="12">
        <f>IF(I105="","",I105-$B$8)</f>
        <v/>
      </c>
      <c r="L105" s="12">
        <f>IFERROR(SQRT(J105^2+K105^2)*$B$4/1000,"")</f>
        <v/>
      </c>
      <c r="M105" s="12">
        <f>IF(OR($E$13&lt;&gt;"OK",L105=""),"",IF(L105&lt;=$D$19,$A$19,IF(L105&gt;=INDEX($D$19:$D$2018,$E$12),INDEX($A$19:$A$2018,$E$12),INDEX($A$19:$A$2018,MATCH(L105,$D$19:INDEX($D$19:$D$2018,$E$12),1))+(L105-INDEX($D$19:$D$2018,MATCH(L105,$D$19:INDEX($D$19:$D$2018,$E$12),1)))*(INDEX($A$19:$A$2018,MATCH(L105,$D$19:INDEX($D$19:$D$2018,$E$12),1)+1)-INDEX($A$19:$A$2018,MATCH(L105,$D$19:INDEX($D$19:$D$2018,$E$12),1)))/(INDEX($D$19:$D$2018,MATCH(L105,$D$19:INDEX($D$19:$D$2018,$E$12),1)+1)-INDEX($D$19:$D$2018,MATCH(L105,$D$19:INDEX($D$19:$D$2018,$E$12),1))))))</f>
        <v/>
      </c>
      <c r="N105" s="12">
        <f>IF(M105="","",$B$6*TAN(RADIANS(M105)))</f>
        <v/>
      </c>
      <c r="O105" s="12">
        <f>IF(N105="","",IF(L105=0,0,-N105*J105/SQRT(J105^2+K105^2)))</f>
        <v/>
      </c>
      <c r="P105" s="12">
        <f>IF(N105="","",IF(L105=0,0,N105*K105/SQRT(J105^2+K105^2)))</f>
        <v/>
      </c>
      <c r="Q105" s="12">
        <f>IF(N105="","",IF(N105=0,$B$7,$B$7-Y105*O105/N105))</f>
        <v/>
      </c>
      <c r="R105" s="12">
        <f>IF(N105="","",IF(N105=0,$B$8,$B$8+Y105*P105/N105))</f>
        <v/>
      </c>
      <c r="S105" s="12">
        <f>IFERROR(SQRT((Q105-H105)^2+(R105-I105)^2),"")</f>
        <v/>
      </c>
      <c r="T105">
        <f>78</f>
        <v/>
      </c>
      <c r="U105">
        <f>IF(T105&gt;4*$E$9,"",MIN(INT(T105/$E$9)+1,4))</f>
        <v/>
      </c>
      <c r="V105">
        <f>IF(T105=4*$E$9,-$E$6/2,IF(U105="","",CHOOSE(U105,-$E$6/2+MOD(T105,$E$9)/$E$9*$E$6,$E$6/2,$E$6/2-MOD(T105,$E$9)/$E$9*$E$6,-$E$6/2)))</f>
        <v/>
      </c>
      <c r="W105">
        <f>IF(T105=4*$E$9,-$E$7/2,IF(U105="","",CHOOSE(U105,-$E$7/2,-$E$7/2+MOD(T105,$E$9)/$E$9*$E$7,$E$7/2,$E$7/2-MOD(T105,$E$9)/$E$9*$E$7)))</f>
        <v/>
      </c>
      <c r="X105">
        <f>IF(OR($E$13&lt;&gt;"OK",M105=""),"",IF(M105&lt;=$A$19,$D$19,IF(M105&gt;=INDEX($A$19:$A$2018,$E$12),INDEX($D$19:$D$2018,$E$12),INDEX($D$19:$D$2018,MATCH(M105,$A$19:INDEX($A$19:$A$2018,$E$12),1))+(M105-INDEX($A$19:$A$2018,MATCH(M105,$A$19:INDEX($A$19:$A$2018,$E$12),1)))*(INDEX($D$19:$D$2018,MATCH(M105,$A$19:INDEX($A$19:$A$2018,$E$12),1)+1)-INDEX($D$19:$D$2018,MATCH(M105,$A$19:INDEX($A$19:$A$2018,$E$12),1)))/(INDEX($A$19:$A$2018,MATCH(M105,$A$19:INDEX($A$19:$A$2018,$E$12),1)+1)-INDEX($A$19:$A$2018,MATCH(M105,$A$19:INDEX($A$19:$A$2018,$E$12),1))))))</f>
        <v/>
      </c>
      <c r="Y105">
        <f>IF(X105="","",X105*1000/$B$4)</f>
        <v/>
      </c>
    </row>
    <row r="106">
      <c r="A106" s="10" t="n"/>
      <c r="B106" s="10" t="n"/>
      <c r="C106" s="11">
        <f>IF(A106="","",$B$5*TAN(RADIANS(A106)))</f>
        <v/>
      </c>
      <c r="D106" s="11">
        <f>IF(C106="","",C106*(1+B106/100))</f>
        <v/>
      </c>
      <c r="E106" s="11">
        <f>IF(A106="","",$B$6*TAN(RADIANS(A106)))</f>
        <v/>
      </c>
      <c r="G106" s="12">
        <f>IF(U106="","",T106)</f>
        <v/>
      </c>
      <c r="H106" s="12">
        <f>IF(U106="","",$E$4+V106*COS(RADIANS($E$8))-W106*SIN(RADIANS($E$8)))</f>
        <v/>
      </c>
      <c r="I106" s="12">
        <f>IF(U106="","",$E$5+V106*SIN(RADIANS($E$8))+W106*COS(RADIANS($E$8)))</f>
        <v/>
      </c>
      <c r="J106" s="12">
        <f>IF(H106="","",H106-$B$7)</f>
        <v/>
      </c>
      <c r="K106" s="12">
        <f>IF(I106="","",I106-$B$8)</f>
        <v/>
      </c>
      <c r="L106" s="12">
        <f>IFERROR(SQRT(J106^2+K106^2)*$B$4/1000,"")</f>
        <v/>
      </c>
      <c r="M106" s="12">
        <f>IF(OR($E$13&lt;&gt;"OK",L106=""),"",IF(L106&lt;=$D$19,$A$19,IF(L106&gt;=INDEX($D$19:$D$2018,$E$12),INDEX($A$19:$A$2018,$E$12),INDEX($A$19:$A$2018,MATCH(L106,$D$19:INDEX($D$19:$D$2018,$E$12),1))+(L106-INDEX($D$19:$D$2018,MATCH(L106,$D$19:INDEX($D$19:$D$2018,$E$12),1)))*(INDEX($A$19:$A$2018,MATCH(L106,$D$19:INDEX($D$19:$D$2018,$E$12),1)+1)-INDEX($A$19:$A$2018,MATCH(L106,$D$19:INDEX($D$19:$D$2018,$E$12),1)))/(INDEX($D$19:$D$2018,MATCH(L106,$D$19:INDEX($D$19:$D$2018,$E$12),1)+1)-INDEX($D$19:$D$2018,MATCH(L106,$D$19:INDEX($D$19:$D$2018,$E$12),1))))))</f>
        <v/>
      </c>
      <c r="N106" s="12">
        <f>IF(M106="","",$B$6*TAN(RADIANS(M106)))</f>
        <v/>
      </c>
      <c r="O106" s="12">
        <f>IF(N106="","",IF(L106=0,0,-N106*J106/SQRT(J106^2+K106^2)))</f>
        <v/>
      </c>
      <c r="P106" s="12">
        <f>IF(N106="","",IF(L106=0,0,N106*K106/SQRT(J106^2+K106^2)))</f>
        <v/>
      </c>
      <c r="Q106" s="12">
        <f>IF(N106="","",IF(N106=0,$B$7,$B$7-Y106*O106/N106))</f>
        <v/>
      </c>
      <c r="R106" s="12">
        <f>IF(N106="","",IF(N106=0,$B$8,$B$8+Y106*P106/N106))</f>
        <v/>
      </c>
      <c r="S106" s="12">
        <f>IFERROR(SQRT((Q106-H106)^2+(R106-I106)^2),"")</f>
        <v/>
      </c>
      <c r="T106">
        <f>79</f>
        <v/>
      </c>
      <c r="U106">
        <f>IF(T106&gt;4*$E$9,"",MIN(INT(T106/$E$9)+1,4))</f>
        <v/>
      </c>
      <c r="V106">
        <f>IF(T106=4*$E$9,-$E$6/2,IF(U106="","",CHOOSE(U106,-$E$6/2+MOD(T106,$E$9)/$E$9*$E$6,$E$6/2,$E$6/2-MOD(T106,$E$9)/$E$9*$E$6,-$E$6/2)))</f>
        <v/>
      </c>
      <c r="W106">
        <f>IF(T106=4*$E$9,-$E$7/2,IF(U106="","",CHOOSE(U106,-$E$7/2,-$E$7/2+MOD(T106,$E$9)/$E$9*$E$7,$E$7/2,$E$7/2-MOD(T106,$E$9)/$E$9*$E$7)))</f>
        <v/>
      </c>
      <c r="X106">
        <f>IF(OR($E$13&lt;&gt;"OK",M106=""),"",IF(M106&lt;=$A$19,$D$19,IF(M106&gt;=INDEX($A$19:$A$2018,$E$12),INDEX($D$19:$D$2018,$E$12),INDEX($D$19:$D$2018,MATCH(M106,$A$19:INDEX($A$19:$A$2018,$E$12),1))+(M106-INDEX($A$19:$A$2018,MATCH(M106,$A$19:INDEX($A$19:$A$2018,$E$12),1)))*(INDEX($D$19:$D$2018,MATCH(M106,$A$19:INDEX($A$19:$A$2018,$E$12),1)+1)-INDEX($D$19:$D$2018,MATCH(M106,$A$19:INDEX($A$19:$A$2018,$E$12),1)))/(INDEX($A$19:$A$2018,MATCH(M106,$A$19:INDEX($A$19:$A$2018,$E$12),1)+1)-INDEX($A$19:$A$2018,MATCH(M106,$A$19:INDEX($A$19:$A$2018,$E$12),1))))))</f>
        <v/>
      </c>
      <c r="Y106">
        <f>IF(X106="","",X106*1000/$B$4)</f>
        <v/>
      </c>
    </row>
    <row r="107">
      <c r="A107" s="10" t="n"/>
      <c r="B107" s="10" t="n"/>
      <c r="C107" s="11">
        <f>IF(A107="","",$B$5*TAN(RADIANS(A107)))</f>
        <v/>
      </c>
      <c r="D107" s="11">
        <f>IF(C107="","",C107*(1+B107/100))</f>
        <v/>
      </c>
      <c r="E107" s="11">
        <f>IF(A107="","",$B$6*TAN(RADIANS(A107)))</f>
        <v/>
      </c>
      <c r="G107" s="12">
        <f>IF(U107="","",T107)</f>
        <v/>
      </c>
      <c r="H107" s="12">
        <f>IF(U107="","",$E$4+V107*COS(RADIANS($E$8))-W107*SIN(RADIANS($E$8)))</f>
        <v/>
      </c>
      <c r="I107" s="12">
        <f>IF(U107="","",$E$5+V107*SIN(RADIANS($E$8))+W107*COS(RADIANS($E$8)))</f>
        <v/>
      </c>
      <c r="J107" s="12">
        <f>IF(H107="","",H107-$B$7)</f>
        <v/>
      </c>
      <c r="K107" s="12">
        <f>IF(I107="","",I107-$B$8)</f>
        <v/>
      </c>
      <c r="L107" s="12">
        <f>IFERROR(SQRT(J107^2+K107^2)*$B$4/1000,"")</f>
        <v/>
      </c>
      <c r="M107" s="12">
        <f>IF(OR($E$13&lt;&gt;"OK",L107=""),"",IF(L107&lt;=$D$19,$A$19,IF(L107&gt;=INDEX($D$19:$D$2018,$E$12),INDEX($A$19:$A$2018,$E$12),INDEX($A$19:$A$2018,MATCH(L107,$D$19:INDEX($D$19:$D$2018,$E$12),1))+(L107-INDEX($D$19:$D$2018,MATCH(L107,$D$19:INDEX($D$19:$D$2018,$E$12),1)))*(INDEX($A$19:$A$2018,MATCH(L107,$D$19:INDEX($D$19:$D$2018,$E$12),1)+1)-INDEX($A$19:$A$2018,MATCH(L107,$D$19:INDEX($D$19:$D$2018,$E$12),1)))/(INDEX($D$19:$D$2018,MATCH(L107,$D$19:INDEX($D$19:$D$2018,$E$12),1)+1)-INDEX($D$19:$D$2018,MATCH(L107,$D$19:INDEX($D$19:$D$2018,$E$12),1))))))</f>
        <v/>
      </c>
      <c r="N107" s="12">
        <f>IF(M107="","",$B$6*TAN(RADIANS(M107)))</f>
        <v/>
      </c>
      <c r="O107" s="12">
        <f>IF(N107="","",IF(L107=0,0,-N107*J107/SQRT(J107^2+K107^2)))</f>
        <v/>
      </c>
      <c r="P107" s="12">
        <f>IF(N107="","",IF(L107=0,0,N107*K107/SQRT(J107^2+K107^2)))</f>
        <v/>
      </c>
      <c r="Q107" s="12">
        <f>IF(N107="","",IF(N107=0,$B$7,$B$7-Y107*O107/N107))</f>
        <v/>
      </c>
      <c r="R107" s="12">
        <f>IF(N107="","",IF(N107=0,$B$8,$B$8+Y107*P107/N107))</f>
        <v/>
      </c>
      <c r="S107" s="12">
        <f>IFERROR(SQRT((Q107-H107)^2+(R107-I107)^2),"")</f>
        <v/>
      </c>
      <c r="T107">
        <f>80</f>
        <v/>
      </c>
      <c r="U107">
        <f>IF(T107&gt;4*$E$9,"",MIN(INT(T107/$E$9)+1,4))</f>
        <v/>
      </c>
      <c r="V107">
        <f>IF(T107=4*$E$9,-$E$6/2,IF(U107="","",CHOOSE(U107,-$E$6/2+MOD(T107,$E$9)/$E$9*$E$6,$E$6/2,$E$6/2-MOD(T107,$E$9)/$E$9*$E$6,-$E$6/2)))</f>
        <v/>
      </c>
      <c r="W107">
        <f>IF(T107=4*$E$9,-$E$7/2,IF(U107="","",CHOOSE(U107,-$E$7/2,-$E$7/2+MOD(T107,$E$9)/$E$9*$E$7,$E$7/2,$E$7/2-MOD(T107,$E$9)/$E$9*$E$7)))</f>
        <v/>
      </c>
      <c r="X107">
        <f>IF(OR($E$13&lt;&gt;"OK",M107=""),"",IF(M107&lt;=$A$19,$D$19,IF(M107&gt;=INDEX($A$19:$A$2018,$E$12),INDEX($D$19:$D$2018,$E$12),INDEX($D$19:$D$2018,MATCH(M107,$A$19:INDEX($A$19:$A$2018,$E$12),1))+(M107-INDEX($A$19:$A$2018,MATCH(M107,$A$19:INDEX($A$19:$A$2018,$E$12),1)))*(INDEX($D$19:$D$2018,MATCH(M107,$A$19:INDEX($A$19:$A$2018,$E$12),1)+1)-INDEX($D$19:$D$2018,MATCH(M107,$A$19:INDEX($A$19:$A$2018,$E$12),1)))/(INDEX($A$19:$A$2018,MATCH(M107,$A$19:INDEX($A$19:$A$2018,$E$12),1)+1)-INDEX($A$19:$A$2018,MATCH(M107,$A$19:INDEX($A$19:$A$2018,$E$12),1))))))</f>
        <v/>
      </c>
      <c r="Y107">
        <f>IF(X107="","",X107*1000/$B$4)</f>
        <v/>
      </c>
    </row>
    <row r="108">
      <c r="A108" s="10" t="n"/>
      <c r="B108" s="10" t="n"/>
      <c r="C108" s="11">
        <f>IF(A108="","",$B$5*TAN(RADIANS(A108)))</f>
        <v/>
      </c>
      <c r="D108" s="11">
        <f>IF(C108="","",C108*(1+B108/100))</f>
        <v/>
      </c>
      <c r="E108" s="11">
        <f>IF(A108="","",$B$6*TAN(RADIANS(A108)))</f>
        <v/>
      </c>
      <c r="G108" s="12">
        <f>IF(U108="","",T108)</f>
        <v/>
      </c>
      <c r="H108" s="12">
        <f>IF(U108="","",$E$4+V108*COS(RADIANS($E$8))-W108*SIN(RADIANS($E$8)))</f>
        <v/>
      </c>
      <c r="I108" s="12">
        <f>IF(U108="","",$E$5+V108*SIN(RADIANS($E$8))+W108*COS(RADIANS($E$8)))</f>
        <v/>
      </c>
      <c r="J108" s="12">
        <f>IF(H108="","",H108-$B$7)</f>
        <v/>
      </c>
      <c r="K108" s="12">
        <f>IF(I108="","",I108-$B$8)</f>
        <v/>
      </c>
      <c r="L108" s="12">
        <f>IFERROR(SQRT(J108^2+K108^2)*$B$4/1000,"")</f>
        <v/>
      </c>
      <c r="M108" s="12">
        <f>IF(OR($E$13&lt;&gt;"OK",L108=""),"",IF(L108&lt;=$D$19,$A$19,IF(L108&gt;=INDEX($D$19:$D$2018,$E$12),INDEX($A$19:$A$2018,$E$12),INDEX($A$19:$A$2018,MATCH(L108,$D$19:INDEX($D$19:$D$2018,$E$12),1))+(L108-INDEX($D$19:$D$2018,MATCH(L108,$D$19:INDEX($D$19:$D$2018,$E$12),1)))*(INDEX($A$19:$A$2018,MATCH(L108,$D$19:INDEX($D$19:$D$2018,$E$12),1)+1)-INDEX($A$19:$A$2018,MATCH(L108,$D$19:INDEX($D$19:$D$2018,$E$12),1)))/(INDEX($D$19:$D$2018,MATCH(L108,$D$19:INDEX($D$19:$D$2018,$E$12),1)+1)-INDEX($D$19:$D$2018,MATCH(L108,$D$19:INDEX($D$19:$D$2018,$E$12),1))))))</f>
        <v/>
      </c>
      <c r="N108" s="12">
        <f>IF(M108="","",$B$6*TAN(RADIANS(M108)))</f>
        <v/>
      </c>
      <c r="O108" s="12">
        <f>IF(N108="","",IF(L108=0,0,-N108*J108/SQRT(J108^2+K108^2)))</f>
        <v/>
      </c>
      <c r="P108" s="12">
        <f>IF(N108="","",IF(L108=0,0,N108*K108/SQRT(J108^2+K108^2)))</f>
        <v/>
      </c>
      <c r="Q108" s="12">
        <f>IF(N108="","",IF(N108=0,$B$7,$B$7-Y108*O108/N108))</f>
        <v/>
      </c>
      <c r="R108" s="12">
        <f>IF(N108="","",IF(N108=0,$B$8,$B$8+Y108*P108/N108))</f>
        <v/>
      </c>
      <c r="S108" s="12">
        <f>IFERROR(SQRT((Q108-H108)^2+(R108-I108)^2),"")</f>
        <v/>
      </c>
      <c r="T108">
        <f>81</f>
        <v/>
      </c>
      <c r="U108">
        <f>IF(T108&gt;4*$E$9,"",MIN(INT(T108/$E$9)+1,4))</f>
        <v/>
      </c>
      <c r="V108">
        <f>IF(T108=4*$E$9,-$E$6/2,IF(U108="","",CHOOSE(U108,-$E$6/2+MOD(T108,$E$9)/$E$9*$E$6,$E$6/2,$E$6/2-MOD(T108,$E$9)/$E$9*$E$6,-$E$6/2)))</f>
        <v/>
      </c>
      <c r="W108">
        <f>IF(T108=4*$E$9,-$E$7/2,IF(U108="","",CHOOSE(U108,-$E$7/2,-$E$7/2+MOD(T108,$E$9)/$E$9*$E$7,$E$7/2,$E$7/2-MOD(T108,$E$9)/$E$9*$E$7)))</f>
        <v/>
      </c>
      <c r="X108">
        <f>IF(OR($E$13&lt;&gt;"OK",M108=""),"",IF(M108&lt;=$A$19,$D$19,IF(M108&gt;=INDEX($A$19:$A$2018,$E$12),INDEX($D$19:$D$2018,$E$12),INDEX($D$19:$D$2018,MATCH(M108,$A$19:INDEX($A$19:$A$2018,$E$12),1))+(M108-INDEX($A$19:$A$2018,MATCH(M108,$A$19:INDEX($A$19:$A$2018,$E$12),1)))*(INDEX($D$19:$D$2018,MATCH(M108,$A$19:INDEX($A$19:$A$2018,$E$12),1)+1)-INDEX($D$19:$D$2018,MATCH(M108,$A$19:INDEX($A$19:$A$2018,$E$12),1)))/(INDEX($A$19:$A$2018,MATCH(M108,$A$19:INDEX($A$19:$A$2018,$E$12),1)+1)-INDEX($A$19:$A$2018,MATCH(M108,$A$19:INDEX($A$19:$A$2018,$E$12),1))))))</f>
        <v/>
      </c>
      <c r="Y108">
        <f>IF(X108="","",X108*1000/$B$4)</f>
        <v/>
      </c>
    </row>
    <row r="109">
      <c r="A109" s="10" t="n"/>
      <c r="B109" s="10" t="n"/>
      <c r="C109" s="11">
        <f>IF(A109="","",$B$5*TAN(RADIANS(A109)))</f>
        <v/>
      </c>
      <c r="D109" s="11">
        <f>IF(C109="","",C109*(1+B109/100))</f>
        <v/>
      </c>
      <c r="E109" s="11">
        <f>IF(A109="","",$B$6*TAN(RADIANS(A109)))</f>
        <v/>
      </c>
      <c r="G109" s="12">
        <f>IF(U109="","",T109)</f>
        <v/>
      </c>
      <c r="H109" s="12">
        <f>IF(U109="","",$E$4+V109*COS(RADIANS($E$8))-W109*SIN(RADIANS($E$8)))</f>
        <v/>
      </c>
      <c r="I109" s="12">
        <f>IF(U109="","",$E$5+V109*SIN(RADIANS($E$8))+W109*COS(RADIANS($E$8)))</f>
        <v/>
      </c>
      <c r="J109" s="12">
        <f>IF(H109="","",H109-$B$7)</f>
        <v/>
      </c>
      <c r="K109" s="12">
        <f>IF(I109="","",I109-$B$8)</f>
        <v/>
      </c>
      <c r="L109" s="12">
        <f>IFERROR(SQRT(J109^2+K109^2)*$B$4/1000,"")</f>
        <v/>
      </c>
      <c r="M109" s="12">
        <f>IF(OR($E$13&lt;&gt;"OK",L109=""),"",IF(L109&lt;=$D$19,$A$19,IF(L109&gt;=INDEX($D$19:$D$2018,$E$12),INDEX($A$19:$A$2018,$E$12),INDEX($A$19:$A$2018,MATCH(L109,$D$19:INDEX($D$19:$D$2018,$E$12),1))+(L109-INDEX($D$19:$D$2018,MATCH(L109,$D$19:INDEX($D$19:$D$2018,$E$12),1)))*(INDEX($A$19:$A$2018,MATCH(L109,$D$19:INDEX($D$19:$D$2018,$E$12),1)+1)-INDEX($A$19:$A$2018,MATCH(L109,$D$19:INDEX($D$19:$D$2018,$E$12),1)))/(INDEX($D$19:$D$2018,MATCH(L109,$D$19:INDEX($D$19:$D$2018,$E$12),1)+1)-INDEX($D$19:$D$2018,MATCH(L109,$D$19:INDEX($D$19:$D$2018,$E$12),1))))))</f>
        <v/>
      </c>
      <c r="N109" s="12">
        <f>IF(M109="","",$B$6*TAN(RADIANS(M109)))</f>
        <v/>
      </c>
      <c r="O109" s="12">
        <f>IF(N109="","",IF(L109=0,0,-N109*J109/SQRT(J109^2+K109^2)))</f>
        <v/>
      </c>
      <c r="P109" s="12">
        <f>IF(N109="","",IF(L109=0,0,N109*K109/SQRT(J109^2+K109^2)))</f>
        <v/>
      </c>
      <c r="Q109" s="12">
        <f>IF(N109="","",IF(N109=0,$B$7,$B$7-Y109*O109/N109))</f>
        <v/>
      </c>
      <c r="R109" s="12">
        <f>IF(N109="","",IF(N109=0,$B$8,$B$8+Y109*P109/N109))</f>
        <v/>
      </c>
      <c r="S109" s="12">
        <f>IFERROR(SQRT((Q109-H109)^2+(R109-I109)^2),"")</f>
        <v/>
      </c>
      <c r="T109">
        <f>82</f>
        <v/>
      </c>
      <c r="U109">
        <f>IF(T109&gt;4*$E$9,"",MIN(INT(T109/$E$9)+1,4))</f>
        <v/>
      </c>
      <c r="V109">
        <f>IF(T109=4*$E$9,-$E$6/2,IF(U109="","",CHOOSE(U109,-$E$6/2+MOD(T109,$E$9)/$E$9*$E$6,$E$6/2,$E$6/2-MOD(T109,$E$9)/$E$9*$E$6,-$E$6/2)))</f>
        <v/>
      </c>
      <c r="W109">
        <f>IF(T109=4*$E$9,-$E$7/2,IF(U109="","",CHOOSE(U109,-$E$7/2,-$E$7/2+MOD(T109,$E$9)/$E$9*$E$7,$E$7/2,$E$7/2-MOD(T109,$E$9)/$E$9*$E$7)))</f>
        <v/>
      </c>
      <c r="X109">
        <f>IF(OR($E$13&lt;&gt;"OK",M109=""),"",IF(M109&lt;=$A$19,$D$19,IF(M109&gt;=INDEX($A$19:$A$2018,$E$12),INDEX($D$19:$D$2018,$E$12),INDEX($D$19:$D$2018,MATCH(M109,$A$19:INDEX($A$19:$A$2018,$E$12),1))+(M109-INDEX($A$19:$A$2018,MATCH(M109,$A$19:INDEX($A$19:$A$2018,$E$12),1)))*(INDEX($D$19:$D$2018,MATCH(M109,$A$19:INDEX($A$19:$A$2018,$E$12),1)+1)-INDEX($D$19:$D$2018,MATCH(M109,$A$19:INDEX($A$19:$A$2018,$E$12),1)))/(INDEX($A$19:$A$2018,MATCH(M109,$A$19:INDEX($A$19:$A$2018,$E$12),1)+1)-INDEX($A$19:$A$2018,MATCH(M109,$A$19:INDEX($A$19:$A$2018,$E$12),1))))))</f>
        <v/>
      </c>
      <c r="Y109">
        <f>IF(X109="","",X109*1000/$B$4)</f>
        <v/>
      </c>
    </row>
    <row r="110">
      <c r="A110" s="10" t="n"/>
      <c r="B110" s="10" t="n"/>
      <c r="C110" s="11">
        <f>IF(A110="","",$B$5*TAN(RADIANS(A110)))</f>
        <v/>
      </c>
      <c r="D110" s="11">
        <f>IF(C110="","",C110*(1+B110/100))</f>
        <v/>
      </c>
      <c r="E110" s="11">
        <f>IF(A110="","",$B$6*TAN(RADIANS(A110)))</f>
        <v/>
      </c>
      <c r="G110" s="12">
        <f>IF(U110="","",T110)</f>
        <v/>
      </c>
      <c r="H110" s="12">
        <f>IF(U110="","",$E$4+V110*COS(RADIANS($E$8))-W110*SIN(RADIANS($E$8)))</f>
        <v/>
      </c>
      <c r="I110" s="12">
        <f>IF(U110="","",$E$5+V110*SIN(RADIANS($E$8))+W110*COS(RADIANS($E$8)))</f>
        <v/>
      </c>
      <c r="J110" s="12">
        <f>IF(H110="","",H110-$B$7)</f>
        <v/>
      </c>
      <c r="K110" s="12">
        <f>IF(I110="","",I110-$B$8)</f>
        <v/>
      </c>
      <c r="L110" s="12">
        <f>IFERROR(SQRT(J110^2+K110^2)*$B$4/1000,"")</f>
        <v/>
      </c>
      <c r="M110" s="12">
        <f>IF(OR($E$13&lt;&gt;"OK",L110=""),"",IF(L110&lt;=$D$19,$A$19,IF(L110&gt;=INDEX($D$19:$D$2018,$E$12),INDEX($A$19:$A$2018,$E$12),INDEX($A$19:$A$2018,MATCH(L110,$D$19:INDEX($D$19:$D$2018,$E$12),1))+(L110-INDEX($D$19:$D$2018,MATCH(L110,$D$19:INDEX($D$19:$D$2018,$E$12),1)))*(INDEX($A$19:$A$2018,MATCH(L110,$D$19:INDEX($D$19:$D$2018,$E$12),1)+1)-INDEX($A$19:$A$2018,MATCH(L110,$D$19:INDEX($D$19:$D$2018,$E$12),1)))/(INDEX($D$19:$D$2018,MATCH(L110,$D$19:INDEX($D$19:$D$2018,$E$12),1)+1)-INDEX($D$19:$D$2018,MATCH(L110,$D$19:INDEX($D$19:$D$2018,$E$12),1))))))</f>
        <v/>
      </c>
      <c r="N110" s="12">
        <f>IF(M110="","",$B$6*TAN(RADIANS(M110)))</f>
        <v/>
      </c>
      <c r="O110" s="12">
        <f>IF(N110="","",IF(L110=0,0,-N110*J110/SQRT(J110^2+K110^2)))</f>
        <v/>
      </c>
      <c r="P110" s="12">
        <f>IF(N110="","",IF(L110=0,0,N110*K110/SQRT(J110^2+K110^2)))</f>
        <v/>
      </c>
      <c r="Q110" s="12">
        <f>IF(N110="","",IF(N110=0,$B$7,$B$7-Y110*O110/N110))</f>
        <v/>
      </c>
      <c r="R110" s="12">
        <f>IF(N110="","",IF(N110=0,$B$8,$B$8+Y110*P110/N110))</f>
        <v/>
      </c>
      <c r="S110" s="12">
        <f>IFERROR(SQRT((Q110-H110)^2+(R110-I110)^2),"")</f>
        <v/>
      </c>
      <c r="T110">
        <f>83</f>
        <v/>
      </c>
      <c r="U110">
        <f>IF(T110&gt;4*$E$9,"",MIN(INT(T110/$E$9)+1,4))</f>
        <v/>
      </c>
      <c r="V110">
        <f>IF(T110=4*$E$9,-$E$6/2,IF(U110="","",CHOOSE(U110,-$E$6/2+MOD(T110,$E$9)/$E$9*$E$6,$E$6/2,$E$6/2-MOD(T110,$E$9)/$E$9*$E$6,-$E$6/2)))</f>
        <v/>
      </c>
      <c r="W110">
        <f>IF(T110=4*$E$9,-$E$7/2,IF(U110="","",CHOOSE(U110,-$E$7/2,-$E$7/2+MOD(T110,$E$9)/$E$9*$E$7,$E$7/2,$E$7/2-MOD(T110,$E$9)/$E$9*$E$7)))</f>
        <v/>
      </c>
      <c r="X110">
        <f>IF(OR($E$13&lt;&gt;"OK",M110=""),"",IF(M110&lt;=$A$19,$D$19,IF(M110&gt;=INDEX($A$19:$A$2018,$E$12),INDEX($D$19:$D$2018,$E$12),INDEX($D$19:$D$2018,MATCH(M110,$A$19:INDEX($A$19:$A$2018,$E$12),1))+(M110-INDEX($A$19:$A$2018,MATCH(M110,$A$19:INDEX($A$19:$A$2018,$E$12),1)))*(INDEX($D$19:$D$2018,MATCH(M110,$A$19:INDEX($A$19:$A$2018,$E$12),1)+1)-INDEX($D$19:$D$2018,MATCH(M110,$A$19:INDEX($A$19:$A$2018,$E$12),1)))/(INDEX($A$19:$A$2018,MATCH(M110,$A$19:INDEX($A$19:$A$2018,$E$12),1)+1)-INDEX($A$19:$A$2018,MATCH(M110,$A$19:INDEX($A$19:$A$2018,$E$12),1))))))</f>
        <v/>
      </c>
      <c r="Y110">
        <f>IF(X110="","",X110*1000/$B$4)</f>
        <v/>
      </c>
    </row>
    <row r="111">
      <c r="A111" s="10" t="n"/>
      <c r="B111" s="10" t="n"/>
      <c r="C111" s="11">
        <f>IF(A111="","",$B$5*TAN(RADIANS(A111)))</f>
        <v/>
      </c>
      <c r="D111" s="11">
        <f>IF(C111="","",C111*(1+B111/100))</f>
        <v/>
      </c>
      <c r="E111" s="11">
        <f>IF(A111="","",$B$6*TAN(RADIANS(A111)))</f>
        <v/>
      </c>
      <c r="G111" s="12">
        <f>IF(U111="","",T111)</f>
        <v/>
      </c>
      <c r="H111" s="12">
        <f>IF(U111="","",$E$4+V111*COS(RADIANS($E$8))-W111*SIN(RADIANS($E$8)))</f>
        <v/>
      </c>
      <c r="I111" s="12">
        <f>IF(U111="","",$E$5+V111*SIN(RADIANS($E$8))+W111*COS(RADIANS($E$8)))</f>
        <v/>
      </c>
      <c r="J111" s="12">
        <f>IF(H111="","",H111-$B$7)</f>
        <v/>
      </c>
      <c r="K111" s="12">
        <f>IF(I111="","",I111-$B$8)</f>
        <v/>
      </c>
      <c r="L111" s="12">
        <f>IFERROR(SQRT(J111^2+K111^2)*$B$4/1000,"")</f>
        <v/>
      </c>
      <c r="M111" s="12">
        <f>IF(OR($E$13&lt;&gt;"OK",L111=""),"",IF(L111&lt;=$D$19,$A$19,IF(L111&gt;=INDEX($D$19:$D$2018,$E$12),INDEX($A$19:$A$2018,$E$12),INDEX($A$19:$A$2018,MATCH(L111,$D$19:INDEX($D$19:$D$2018,$E$12),1))+(L111-INDEX($D$19:$D$2018,MATCH(L111,$D$19:INDEX($D$19:$D$2018,$E$12),1)))*(INDEX($A$19:$A$2018,MATCH(L111,$D$19:INDEX($D$19:$D$2018,$E$12),1)+1)-INDEX($A$19:$A$2018,MATCH(L111,$D$19:INDEX($D$19:$D$2018,$E$12),1)))/(INDEX($D$19:$D$2018,MATCH(L111,$D$19:INDEX($D$19:$D$2018,$E$12),1)+1)-INDEX($D$19:$D$2018,MATCH(L111,$D$19:INDEX($D$19:$D$2018,$E$12),1))))))</f>
        <v/>
      </c>
      <c r="N111" s="12">
        <f>IF(M111="","",$B$6*TAN(RADIANS(M111)))</f>
        <v/>
      </c>
      <c r="O111" s="12">
        <f>IF(N111="","",IF(L111=0,0,-N111*J111/SQRT(J111^2+K111^2)))</f>
        <v/>
      </c>
      <c r="P111" s="12">
        <f>IF(N111="","",IF(L111=0,0,N111*K111/SQRT(J111^2+K111^2)))</f>
        <v/>
      </c>
      <c r="Q111" s="12">
        <f>IF(N111="","",IF(N111=0,$B$7,$B$7-Y111*O111/N111))</f>
        <v/>
      </c>
      <c r="R111" s="12">
        <f>IF(N111="","",IF(N111=0,$B$8,$B$8+Y111*P111/N111))</f>
        <v/>
      </c>
      <c r="S111" s="12">
        <f>IFERROR(SQRT((Q111-H111)^2+(R111-I111)^2),"")</f>
        <v/>
      </c>
      <c r="T111">
        <f>84</f>
        <v/>
      </c>
      <c r="U111">
        <f>IF(T111&gt;4*$E$9,"",MIN(INT(T111/$E$9)+1,4))</f>
        <v/>
      </c>
      <c r="V111">
        <f>IF(T111=4*$E$9,-$E$6/2,IF(U111="","",CHOOSE(U111,-$E$6/2+MOD(T111,$E$9)/$E$9*$E$6,$E$6/2,$E$6/2-MOD(T111,$E$9)/$E$9*$E$6,-$E$6/2)))</f>
        <v/>
      </c>
      <c r="W111">
        <f>IF(T111=4*$E$9,-$E$7/2,IF(U111="","",CHOOSE(U111,-$E$7/2,-$E$7/2+MOD(T111,$E$9)/$E$9*$E$7,$E$7/2,$E$7/2-MOD(T111,$E$9)/$E$9*$E$7)))</f>
        <v/>
      </c>
      <c r="X111">
        <f>IF(OR($E$13&lt;&gt;"OK",M111=""),"",IF(M111&lt;=$A$19,$D$19,IF(M111&gt;=INDEX($A$19:$A$2018,$E$12),INDEX($D$19:$D$2018,$E$12),INDEX($D$19:$D$2018,MATCH(M111,$A$19:INDEX($A$19:$A$2018,$E$12),1))+(M111-INDEX($A$19:$A$2018,MATCH(M111,$A$19:INDEX($A$19:$A$2018,$E$12),1)))*(INDEX($D$19:$D$2018,MATCH(M111,$A$19:INDEX($A$19:$A$2018,$E$12),1)+1)-INDEX($D$19:$D$2018,MATCH(M111,$A$19:INDEX($A$19:$A$2018,$E$12),1)))/(INDEX($A$19:$A$2018,MATCH(M111,$A$19:INDEX($A$19:$A$2018,$E$12),1)+1)-INDEX($A$19:$A$2018,MATCH(M111,$A$19:INDEX($A$19:$A$2018,$E$12),1))))))</f>
        <v/>
      </c>
      <c r="Y111">
        <f>IF(X111="","",X111*1000/$B$4)</f>
        <v/>
      </c>
    </row>
    <row r="112">
      <c r="A112" s="10" t="n"/>
      <c r="B112" s="10" t="n"/>
      <c r="C112" s="11">
        <f>IF(A112="","",$B$5*TAN(RADIANS(A112)))</f>
        <v/>
      </c>
      <c r="D112" s="11">
        <f>IF(C112="","",C112*(1+B112/100))</f>
        <v/>
      </c>
      <c r="E112" s="11">
        <f>IF(A112="","",$B$6*TAN(RADIANS(A112)))</f>
        <v/>
      </c>
      <c r="G112" s="12">
        <f>IF(U112="","",T112)</f>
        <v/>
      </c>
      <c r="H112" s="12">
        <f>IF(U112="","",$E$4+V112*COS(RADIANS($E$8))-W112*SIN(RADIANS($E$8)))</f>
        <v/>
      </c>
      <c r="I112" s="12">
        <f>IF(U112="","",$E$5+V112*SIN(RADIANS($E$8))+W112*COS(RADIANS($E$8)))</f>
        <v/>
      </c>
      <c r="J112" s="12">
        <f>IF(H112="","",H112-$B$7)</f>
        <v/>
      </c>
      <c r="K112" s="12">
        <f>IF(I112="","",I112-$B$8)</f>
        <v/>
      </c>
      <c r="L112" s="12">
        <f>IFERROR(SQRT(J112^2+K112^2)*$B$4/1000,"")</f>
        <v/>
      </c>
      <c r="M112" s="12">
        <f>IF(OR($E$13&lt;&gt;"OK",L112=""),"",IF(L112&lt;=$D$19,$A$19,IF(L112&gt;=INDEX($D$19:$D$2018,$E$12),INDEX($A$19:$A$2018,$E$12),INDEX($A$19:$A$2018,MATCH(L112,$D$19:INDEX($D$19:$D$2018,$E$12),1))+(L112-INDEX($D$19:$D$2018,MATCH(L112,$D$19:INDEX($D$19:$D$2018,$E$12),1)))*(INDEX($A$19:$A$2018,MATCH(L112,$D$19:INDEX($D$19:$D$2018,$E$12),1)+1)-INDEX($A$19:$A$2018,MATCH(L112,$D$19:INDEX($D$19:$D$2018,$E$12),1)))/(INDEX($D$19:$D$2018,MATCH(L112,$D$19:INDEX($D$19:$D$2018,$E$12),1)+1)-INDEX($D$19:$D$2018,MATCH(L112,$D$19:INDEX($D$19:$D$2018,$E$12),1))))))</f>
        <v/>
      </c>
      <c r="N112" s="12">
        <f>IF(M112="","",$B$6*TAN(RADIANS(M112)))</f>
        <v/>
      </c>
      <c r="O112" s="12">
        <f>IF(N112="","",IF(L112=0,0,-N112*J112/SQRT(J112^2+K112^2)))</f>
        <v/>
      </c>
      <c r="P112" s="12">
        <f>IF(N112="","",IF(L112=0,0,N112*K112/SQRT(J112^2+K112^2)))</f>
        <v/>
      </c>
      <c r="Q112" s="12">
        <f>IF(N112="","",IF(N112=0,$B$7,$B$7-Y112*O112/N112))</f>
        <v/>
      </c>
      <c r="R112" s="12">
        <f>IF(N112="","",IF(N112=0,$B$8,$B$8+Y112*P112/N112))</f>
        <v/>
      </c>
      <c r="S112" s="12">
        <f>IFERROR(SQRT((Q112-H112)^2+(R112-I112)^2),"")</f>
        <v/>
      </c>
      <c r="T112">
        <f>85</f>
        <v/>
      </c>
      <c r="U112">
        <f>IF(T112&gt;4*$E$9,"",MIN(INT(T112/$E$9)+1,4))</f>
        <v/>
      </c>
      <c r="V112">
        <f>IF(T112=4*$E$9,-$E$6/2,IF(U112="","",CHOOSE(U112,-$E$6/2+MOD(T112,$E$9)/$E$9*$E$6,$E$6/2,$E$6/2-MOD(T112,$E$9)/$E$9*$E$6,-$E$6/2)))</f>
        <v/>
      </c>
      <c r="W112">
        <f>IF(T112=4*$E$9,-$E$7/2,IF(U112="","",CHOOSE(U112,-$E$7/2,-$E$7/2+MOD(T112,$E$9)/$E$9*$E$7,$E$7/2,$E$7/2-MOD(T112,$E$9)/$E$9*$E$7)))</f>
        <v/>
      </c>
      <c r="X112">
        <f>IF(OR($E$13&lt;&gt;"OK",M112=""),"",IF(M112&lt;=$A$19,$D$19,IF(M112&gt;=INDEX($A$19:$A$2018,$E$12),INDEX($D$19:$D$2018,$E$12),INDEX($D$19:$D$2018,MATCH(M112,$A$19:INDEX($A$19:$A$2018,$E$12),1))+(M112-INDEX($A$19:$A$2018,MATCH(M112,$A$19:INDEX($A$19:$A$2018,$E$12),1)))*(INDEX($D$19:$D$2018,MATCH(M112,$A$19:INDEX($A$19:$A$2018,$E$12),1)+1)-INDEX($D$19:$D$2018,MATCH(M112,$A$19:INDEX($A$19:$A$2018,$E$12),1)))/(INDEX($A$19:$A$2018,MATCH(M112,$A$19:INDEX($A$19:$A$2018,$E$12),1)+1)-INDEX($A$19:$A$2018,MATCH(M112,$A$19:INDEX($A$19:$A$2018,$E$12),1))))))</f>
        <v/>
      </c>
      <c r="Y112">
        <f>IF(X112="","",X112*1000/$B$4)</f>
        <v/>
      </c>
    </row>
    <row r="113">
      <c r="A113" s="10" t="n"/>
      <c r="B113" s="10" t="n"/>
      <c r="C113" s="11">
        <f>IF(A113="","",$B$5*TAN(RADIANS(A113)))</f>
        <v/>
      </c>
      <c r="D113" s="11">
        <f>IF(C113="","",C113*(1+B113/100))</f>
        <v/>
      </c>
      <c r="E113" s="11">
        <f>IF(A113="","",$B$6*TAN(RADIANS(A113)))</f>
        <v/>
      </c>
      <c r="G113" s="12">
        <f>IF(U113="","",T113)</f>
        <v/>
      </c>
      <c r="H113" s="12">
        <f>IF(U113="","",$E$4+V113*COS(RADIANS($E$8))-W113*SIN(RADIANS($E$8)))</f>
        <v/>
      </c>
      <c r="I113" s="12">
        <f>IF(U113="","",$E$5+V113*SIN(RADIANS($E$8))+W113*COS(RADIANS($E$8)))</f>
        <v/>
      </c>
      <c r="J113" s="12">
        <f>IF(H113="","",H113-$B$7)</f>
        <v/>
      </c>
      <c r="K113" s="12">
        <f>IF(I113="","",I113-$B$8)</f>
        <v/>
      </c>
      <c r="L113" s="12">
        <f>IFERROR(SQRT(J113^2+K113^2)*$B$4/1000,"")</f>
        <v/>
      </c>
      <c r="M113" s="12">
        <f>IF(OR($E$13&lt;&gt;"OK",L113=""),"",IF(L113&lt;=$D$19,$A$19,IF(L113&gt;=INDEX($D$19:$D$2018,$E$12),INDEX($A$19:$A$2018,$E$12),INDEX($A$19:$A$2018,MATCH(L113,$D$19:INDEX($D$19:$D$2018,$E$12),1))+(L113-INDEX($D$19:$D$2018,MATCH(L113,$D$19:INDEX($D$19:$D$2018,$E$12),1)))*(INDEX($A$19:$A$2018,MATCH(L113,$D$19:INDEX($D$19:$D$2018,$E$12),1)+1)-INDEX($A$19:$A$2018,MATCH(L113,$D$19:INDEX($D$19:$D$2018,$E$12),1)))/(INDEX($D$19:$D$2018,MATCH(L113,$D$19:INDEX($D$19:$D$2018,$E$12),1)+1)-INDEX($D$19:$D$2018,MATCH(L113,$D$19:INDEX($D$19:$D$2018,$E$12),1))))))</f>
        <v/>
      </c>
      <c r="N113" s="12">
        <f>IF(M113="","",$B$6*TAN(RADIANS(M113)))</f>
        <v/>
      </c>
      <c r="O113" s="12">
        <f>IF(N113="","",IF(L113=0,0,-N113*J113/SQRT(J113^2+K113^2)))</f>
        <v/>
      </c>
      <c r="P113" s="12">
        <f>IF(N113="","",IF(L113=0,0,N113*K113/SQRT(J113^2+K113^2)))</f>
        <v/>
      </c>
      <c r="Q113" s="12">
        <f>IF(N113="","",IF(N113=0,$B$7,$B$7-Y113*O113/N113))</f>
        <v/>
      </c>
      <c r="R113" s="12">
        <f>IF(N113="","",IF(N113=0,$B$8,$B$8+Y113*P113/N113))</f>
        <v/>
      </c>
      <c r="S113" s="12">
        <f>IFERROR(SQRT((Q113-H113)^2+(R113-I113)^2),"")</f>
        <v/>
      </c>
      <c r="T113">
        <f>86</f>
        <v/>
      </c>
      <c r="U113">
        <f>IF(T113&gt;4*$E$9,"",MIN(INT(T113/$E$9)+1,4))</f>
        <v/>
      </c>
      <c r="V113">
        <f>IF(T113=4*$E$9,-$E$6/2,IF(U113="","",CHOOSE(U113,-$E$6/2+MOD(T113,$E$9)/$E$9*$E$6,$E$6/2,$E$6/2-MOD(T113,$E$9)/$E$9*$E$6,-$E$6/2)))</f>
        <v/>
      </c>
      <c r="W113">
        <f>IF(T113=4*$E$9,-$E$7/2,IF(U113="","",CHOOSE(U113,-$E$7/2,-$E$7/2+MOD(T113,$E$9)/$E$9*$E$7,$E$7/2,$E$7/2-MOD(T113,$E$9)/$E$9*$E$7)))</f>
        <v/>
      </c>
      <c r="X113">
        <f>IF(OR($E$13&lt;&gt;"OK",M113=""),"",IF(M113&lt;=$A$19,$D$19,IF(M113&gt;=INDEX($A$19:$A$2018,$E$12),INDEX($D$19:$D$2018,$E$12),INDEX($D$19:$D$2018,MATCH(M113,$A$19:INDEX($A$19:$A$2018,$E$12),1))+(M113-INDEX($A$19:$A$2018,MATCH(M113,$A$19:INDEX($A$19:$A$2018,$E$12),1)))*(INDEX($D$19:$D$2018,MATCH(M113,$A$19:INDEX($A$19:$A$2018,$E$12),1)+1)-INDEX($D$19:$D$2018,MATCH(M113,$A$19:INDEX($A$19:$A$2018,$E$12),1)))/(INDEX($A$19:$A$2018,MATCH(M113,$A$19:INDEX($A$19:$A$2018,$E$12),1)+1)-INDEX($A$19:$A$2018,MATCH(M113,$A$19:INDEX($A$19:$A$2018,$E$12),1))))))</f>
        <v/>
      </c>
      <c r="Y113">
        <f>IF(X113="","",X113*1000/$B$4)</f>
        <v/>
      </c>
    </row>
    <row r="114">
      <c r="A114" s="10" t="n"/>
      <c r="B114" s="10" t="n"/>
      <c r="C114" s="11">
        <f>IF(A114="","",$B$5*TAN(RADIANS(A114)))</f>
        <v/>
      </c>
      <c r="D114" s="11">
        <f>IF(C114="","",C114*(1+B114/100))</f>
        <v/>
      </c>
      <c r="E114" s="11">
        <f>IF(A114="","",$B$6*TAN(RADIANS(A114)))</f>
        <v/>
      </c>
      <c r="G114" s="12">
        <f>IF(U114="","",T114)</f>
        <v/>
      </c>
      <c r="H114" s="12">
        <f>IF(U114="","",$E$4+V114*COS(RADIANS($E$8))-W114*SIN(RADIANS($E$8)))</f>
        <v/>
      </c>
      <c r="I114" s="12">
        <f>IF(U114="","",$E$5+V114*SIN(RADIANS($E$8))+W114*COS(RADIANS($E$8)))</f>
        <v/>
      </c>
      <c r="J114" s="12">
        <f>IF(H114="","",H114-$B$7)</f>
        <v/>
      </c>
      <c r="K114" s="12">
        <f>IF(I114="","",I114-$B$8)</f>
        <v/>
      </c>
      <c r="L114" s="12">
        <f>IFERROR(SQRT(J114^2+K114^2)*$B$4/1000,"")</f>
        <v/>
      </c>
      <c r="M114" s="12">
        <f>IF(OR($E$13&lt;&gt;"OK",L114=""),"",IF(L114&lt;=$D$19,$A$19,IF(L114&gt;=INDEX($D$19:$D$2018,$E$12),INDEX($A$19:$A$2018,$E$12),INDEX($A$19:$A$2018,MATCH(L114,$D$19:INDEX($D$19:$D$2018,$E$12),1))+(L114-INDEX($D$19:$D$2018,MATCH(L114,$D$19:INDEX($D$19:$D$2018,$E$12),1)))*(INDEX($A$19:$A$2018,MATCH(L114,$D$19:INDEX($D$19:$D$2018,$E$12),1)+1)-INDEX($A$19:$A$2018,MATCH(L114,$D$19:INDEX($D$19:$D$2018,$E$12),1)))/(INDEX($D$19:$D$2018,MATCH(L114,$D$19:INDEX($D$19:$D$2018,$E$12),1)+1)-INDEX($D$19:$D$2018,MATCH(L114,$D$19:INDEX($D$19:$D$2018,$E$12),1))))))</f>
        <v/>
      </c>
      <c r="N114" s="12">
        <f>IF(M114="","",$B$6*TAN(RADIANS(M114)))</f>
        <v/>
      </c>
      <c r="O114" s="12">
        <f>IF(N114="","",IF(L114=0,0,-N114*J114/SQRT(J114^2+K114^2)))</f>
        <v/>
      </c>
      <c r="P114" s="12">
        <f>IF(N114="","",IF(L114=0,0,N114*K114/SQRT(J114^2+K114^2)))</f>
        <v/>
      </c>
      <c r="Q114" s="12">
        <f>IF(N114="","",IF(N114=0,$B$7,$B$7-Y114*O114/N114))</f>
        <v/>
      </c>
      <c r="R114" s="12">
        <f>IF(N114="","",IF(N114=0,$B$8,$B$8+Y114*P114/N114))</f>
        <v/>
      </c>
      <c r="S114" s="12">
        <f>IFERROR(SQRT((Q114-H114)^2+(R114-I114)^2),"")</f>
        <v/>
      </c>
      <c r="T114">
        <f>87</f>
        <v/>
      </c>
      <c r="U114">
        <f>IF(T114&gt;4*$E$9,"",MIN(INT(T114/$E$9)+1,4))</f>
        <v/>
      </c>
      <c r="V114">
        <f>IF(T114=4*$E$9,-$E$6/2,IF(U114="","",CHOOSE(U114,-$E$6/2+MOD(T114,$E$9)/$E$9*$E$6,$E$6/2,$E$6/2-MOD(T114,$E$9)/$E$9*$E$6,-$E$6/2)))</f>
        <v/>
      </c>
      <c r="W114">
        <f>IF(T114=4*$E$9,-$E$7/2,IF(U114="","",CHOOSE(U114,-$E$7/2,-$E$7/2+MOD(T114,$E$9)/$E$9*$E$7,$E$7/2,$E$7/2-MOD(T114,$E$9)/$E$9*$E$7)))</f>
        <v/>
      </c>
      <c r="X114">
        <f>IF(OR($E$13&lt;&gt;"OK",M114=""),"",IF(M114&lt;=$A$19,$D$19,IF(M114&gt;=INDEX($A$19:$A$2018,$E$12),INDEX($D$19:$D$2018,$E$12),INDEX($D$19:$D$2018,MATCH(M114,$A$19:INDEX($A$19:$A$2018,$E$12),1))+(M114-INDEX($A$19:$A$2018,MATCH(M114,$A$19:INDEX($A$19:$A$2018,$E$12),1)))*(INDEX($D$19:$D$2018,MATCH(M114,$A$19:INDEX($A$19:$A$2018,$E$12),1)+1)-INDEX($D$19:$D$2018,MATCH(M114,$A$19:INDEX($A$19:$A$2018,$E$12),1)))/(INDEX($A$19:$A$2018,MATCH(M114,$A$19:INDEX($A$19:$A$2018,$E$12),1)+1)-INDEX($A$19:$A$2018,MATCH(M114,$A$19:INDEX($A$19:$A$2018,$E$12),1))))))</f>
        <v/>
      </c>
      <c r="Y114">
        <f>IF(X114="","",X114*1000/$B$4)</f>
        <v/>
      </c>
    </row>
    <row r="115">
      <c r="A115" s="10" t="n"/>
      <c r="B115" s="10" t="n"/>
      <c r="C115" s="11">
        <f>IF(A115="","",$B$5*TAN(RADIANS(A115)))</f>
        <v/>
      </c>
      <c r="D115" s="11">
        <f>IF(C115="","",C115*(1+B115/100))</f>
        <v/>
      </c>
      <c r="E115" s="11">
        <f>IF(A115="","",$B$6*TAN(RADIANS(A115)))</f>
        <v/>
      </c>
      <c r="G115" s="12">
        <f>IF(U115="","",T115)</f>
        <v/>
      </c>
      <c r="H115" s="12">
        <f>IF(U115="","",$E$4+V115*COS(RADIANS($E$8))-W115*SIN(RADIANS($E$8)))</f>
        <v/>
      </c>
      <c r="I115" s="12">
        <f>IF(U115="","",$E$5+V115*SIN(RADIANS($E$8))+W115*COS(RADIANS($E$8)))</f>
        <v/>
      </c>
      <c r="J115" s="12">
        <f>IF(H115="","",H115-$B$7)</f>
        <v/>
      </c>
      <c r="K115" s="12">
        <f>IF(I115="","",I115-$B$8)</f>
        <v/>
      </c>
      <c r="L115" s="12">
        <f>IFERROR(SQRT(J115^2+K115^2)*$B$4/1000,"")</f>
        <v/>
      </c>
      <c r="M115" s="12">
        <f>IF(OR($E$13&lt;&gt;"OK",L115=""),"",IF(L115&lt;=$D$19,$A$19,IF(L115&gt;=INDEX($D$19:$D$2018,$E$12),INDEX($A$19:$A$2018,$E$12),INDEX($A$19:$A$2018,MATCH(L115,$D$19:INDEX($D$19:$D$2018,$E$12),1))+(L115-INDEX($D$19:$D$2018,MATCH(L115,$D$19:INDEX($D$19:$D$2018,$E$12),1)))*(INDEX($A$19:$A$2018,MATCH(L115,$D$19:INDEX($D$19:$D$2018,$E$12),1)+1)-INDEX($A$19:$A$2018,MATCH(L115,$D$19:INDEX($D$19:$D$2018,$E$12),1)))/(INDEX($D$19:$D$2018,MATCH(L115,$D$19:INDEX($D$19:$D$2018,$E$12),1)+1)-INDEX($D$19:$D$2018,MATCH(L115,$D$19:INDEX($D$19:$D$2018,$E$12),1))))))</f>
        <v/>
      </c>
      <c r="N115" s="12">
        <f>IF(M115="","",$B$6*TAN(RADIANS(M115)))</f>
        <v/>
      </c>
      <c r="O115" s="12">
        <f>IF(N115="","",IF(L115=0,0,-N115*J115/SQRT(J115^2+K115^2)))</f>
        <v/>
      </c>
      <c r="P115" s="12">
        <f>IF(N115="","",IF(L115=0,0,N115*K115/SQRT(J115^2+K115^2)))</f>
        <v/>
      </c>
      <c r="Q115" s="12">
        <f>IF(N115="","",IF(N115=0,$B$7,$B$7-Y115*O115/N115))</f>
        <v/>
      </c>
      <c r="R115" s="12">
        <f>IF(N115="","",IF(N115=0,$B$8,$B$8+Y115*P115/N115))</f>
        <v/>
      </c>
      <c r="S115" s="12">
        <f>IFERROR(SQRT((Q115-H115)^2+(R115-I115)^2),"")</f>
        <v/>
      </c>
      <c r="T115">
        <f>88</f>
        <v/>
      </c>
      <c r="U115">
        <f>IF(T115&gt;4*$E$9,"",MIN(INT(T115/$E$9)+1,4))</f>
        <v/>
      </c>
      <c r="V115">
        <f>IF(T115=4*$E$9,-$E$6/2,IF(U115="","",CHOOSE(U115,-$E$6/2+MOD(T115,$E$9)/$E$9*$E$6,$E$6/2,$E$6/2-MOD(T115,$E$9)/$E$9*$E$6,-$E$6/2)))</f>
        <v/>
      </c>
      <c r="W115">
        <f>IF(T115=4*$E$9,-$E$7/2,IF(U115="","",CHOOSE(U115,-$E$7/2,-$E$7/2+MOD(T115,$E$9)/$E$9*$E$7,$E$7/2,$E$7/2-MOD(T115,$E$9)/$E$9*$E$7)))</f>
        <v/>
      </c>
      <c r="X115">
        <f>IF(OR($E$13&lt;&gt;"OK",M115=""),"",IF(M115&lt;=$A$19,$D$19,IF(M115&gt;=INDEX($A$19:$A$2018,$E$12),INDEX($D$19:$D$2018,$E$12),INDEX($D$19:$D$2018,MATCH(M115,$A$19:INDEX($A$19:$A$2018,$E$12),1))+(M115-INDEX($A$19:$A$2018,MATCH(M115,$A$19:INDEX($A$19:$A$2018,$E$12),1)))*(INDEX($D$19:$D$2018,MATCH(M115,$A$19:INDEX($A$19:$A$2018,$E$12),1)+1)-INDEX($D$19:$D$2018,MATCH(M115,$A$19:INDEX($A$19:$A$2018,$E$12),1)))/(INDEX($A$19:$A$2018,MATCH(M115,$A$19:INDEX($A$19:$A$2018,$E$12),1)+1)-INDEX($A$19:$A$2018,MATCH(M115,$A$19:INDEX($A$19:$A$2018,$E$12),1))))))</f>
        <v/>
      </c>
      <c r="Y115">
        <f>IF(X115="","",X115*1000/$B$4)</f>
        <v/>
      </c>
    </row>
    <row r="116">
      <c r="A116" s="10" t="n"/>
      <c r="B116" s="10" t="n"/>
      <c r="C116" s="11">
        <f>IF(A116="","",$B$5*TAN(RADIANS(A116)))</f>
        <v/>
      </c>
      <c r="D116" s="11">
        <f>IF(C116="","",C116*(1+B116/100))</f>
        <v/>
      </c>
      <c r="E116" s="11">
        <f>IF(A116="","",$B$6*TAN(RADIANS(A116)))</f>
        <v/>
      </c>
      <c r="G116" s="12">
        <f>IF(U116="","",T116)</f>
        <v/>
      </c>
      <c r="H116" s="12">
        <f>IF(U116="","",$E$4+V116*COS(RADIANS($E$8))-W116*SIN(RADIANS($E$8)))</f>
        <v/>
      </c>
      <c r="I116" s="12">
        <f>IF(U116="","",$E$5+V116*SIN(RADIANS($E$8))+W116*COS(RADIANS($E$8)))</f>
        <v/>
      </c>
      <c r="J116" s="12">
        <f>IF(H116="","",H116-$B$7)</f>
        <v/>
      </c>
      <c r="K116" s="12">
        <f>IF(I116="","",I116-$B$8)</f>
        <v/>
      </c>
      <c r="L116" s="12">
        <f>IFERROR(SQRT(J116^2+K116^2)*$B$4/1000,"")</f>
        <v/>
      </c>
      <c r="M116" s="12">
        <f>IF(OR($E$13&lt;&gt;"OK",L116=""),"",IF(L116&lt;=$D$19,$A$19,IF(L116&gt;=INDEX($D$19:$D$2018,$E$12),INDEX($A$19:$A$2018,$E$12),INDEX($A$19:$A$2018,MATCH(L116,$D$19:INDEX($D$19:$D$2018,$E$12),1))+(L116-INDEX($D$19:$D$2018,MATCH(L116,$D$19:INDEX($D$19:$D$2018,$E$12),1)))*(INDEX($A$19:$A$2018,MATCH(L116,$D$19:INDEX($D$19:$D$2018,$E$12),1)+1)-INDEX($A$19:$A$2018,MATCH(L116,$D$19:INDEX($D$19:$D$2018,$E$12),1)))/(INDEX($D$19:$D$2018,MATCH(L116,$D$19:INDEX($D$19:$D$2018,$E$12),1)+1)-INDEX($D$19:$D$2018,MATCH(L116,$D$19:INDEX($D$19:$D$2018,$E$12),1))))))</f>
        <v/>
      </c>
      <c r="N116" s="12">
        <f>IF(M116="","",$B$6*TAN(RADIANS(M116)))</f>
        <v/>
      </c>
      <c r="O116" s="12">
        <f>IF(N116="","",IF(L116=0,0,-N116*J116/SQRT(J116^2+K116^2)))</f>
        <v/>
      </c>
      <c r="P116" s="12">
        <f>IF(N116="","",IF(L116=0,0,N116*K116/SQRT(J116^2+K116^2)))</f>
        <v/>
      </c>
      <c r="Q116" s="12">
        <f>IF(N116="","",IF(N116=0,$B$7,$B$7-Y116*O116/N116))</f>
        <v/>
      </c>
      <c r="R116" s="12">
        <f>IF(N116="","",IF(N116=0,$B$8,$B$8+Y116*P116/N116))</f>
        <v/>
      </c>
      <c r="S116" s="12">
        <f>IFERROR(SQRT((Q116-H116)^2+(R116-I116)^2),"")</f>
        <v/>
      </c>
      <c r="T116">
        <f>89</f>
        <v/>
      </c>
      <c r="U116">
        <f>IF(T116&gt;4*$E$9,"",MIN(INT(T116/$E$9)+1,4))</f>
        <v/>
      </c>
      <c r="V116">
        <f>IF(T116=4*$E$9,-$E$6/2,IF(U116="","",CHOOSE(U116,-$E$6/2+MOD(T116,$E$9)/$E$9*$E$6,$E$6/2,$E$6/2-MOD(T116,$E$9)/$E$9*$E$6,-$E$6/2)))</f>
        <v/>
      </c>
      <c r="W116">
        <f>IF(T116=4*$E$9,-$E$7/2,IF(U116="","",CHOOSE(U116,-$E$7/2,-$E$7/2+MOD(T116,$E$9)/$E$9*$E$7,$E$7/2,$E$7/2-MOD(T116,$E$9)/$E$9*$E$7)))</f>
        <v/>
      </c>
      <c r="X116">
        <f>IF(OR($E$13&lt;&gt;"OK",M116=""),"",IF(M116&lt;=$A$19,$D$19,IF(M116&gt;=INDEX($A$19:$A$2018,$E$12),INDEX($D$19:$D$2018,$E$12),INDEX($D$19:$D$2018,MATCH(M116,$A$19:INDEX($A$19:$A$2018,$E$12),1))+(M116-INDEX($A$19:$A$2018,MATCH(M116,$A$19:INDEX($A$19:$A$2018,$E$12),1)))*(INDEX($D$19:$D$2018,MATCH(M116,$A$19:INDEX($A$19:$A$2018,$E$12),1)+1)-INDEX($D$19:$D$2018,MATCH(M116,$A$19:INDEX($A$19:$A$2018,$E$12),1)))/(INDEX($A$19:$A$2018,MATCH(M116,$A$19:INDEX($A$19:$A$2018,$E$12),1)+1)-INDEX($A$19:$A$2018,MATCH(M116,$A$19:INDEX($A$19:$A$2018,$E$12),1))))))</f>
        <v/>
      </c>
      <c r="Y116">
        <f>IF(X116="","",X116*1000/$B$4)</f>
        <v/>
      </c>
    </row>
    <row r="117">
      <c r="A117" s="10" t="n"/>
      <c r="B117" s="10" t="n"/>
      <c r="C117" s="11">
        <f>IF(A117="","",$B$5*TAN(RADIANS(A117)))</f>
        <v/>
      </c>
      <c r="D117" s="11">
        <f>IF(C117="","",C117*(1+B117/100))</f>
        <v/>
      </c>
      <c r="E117" s="11">
        <f>IF(A117="","",$B$6*TAN(RADIANS(A117)))</f>
        <v/>
      </c>
      <c r="G117" s="12">
        <f>IF(U117="","",T117)</f>
        <v/>
      </c>
      <c r="H117" s="12">
        <f>IF(U117="","",$E$4+V117*COS(RADIANS($E$8))-W117*SIN(RADIANS($E$8)))</f>
        <v/>
      </c>
      <c r="I117" s="12">
        <f>IF(U117="","",$E$5+V117*SIN(RADIANS($E$8))+W117*COS(RADIANS($E$8)))</f>
        <v/>
      </c>
      <c r="J117" s="12">
        <f>IF(H117="","",H117-$B$7)</f>
        <v/>
      </c>
      <c r="K117" s="12">
        <f>IF(I117="","",I117-$B$8)</f>
        <v/>
      </c>
      <c r="L117" s="12">
        <f>IFERROR(SQRT(J117^2+K117^2)*$B$4/1000,"")</f>
        <v/>
      </c>
      <c r="M117" s="12">
        <f>IF(OR($E$13&lt;&gt;"OK",L117=""),"",IF(L117&lt;=$D$19,$A$19,IF(L117&gt;=INDEX($D$19:$D$2018,$E$12),INDEX($A$19:$A$2018,$E$12),INDEX($A$19:$A$2018,MATCH(L117,$D$19:INDEX($D$19:$D$2018,$E$12),1))+(L117-INDEX($D$19:$D$2018,MATCH(L117,$D$19:INDEX($D$19:$D$2018,$E$12),1)))*(INDEX($A$19:$A$2018,MATCH(L117,$D$19:INDEX($D$19:$D$2018,$E$12),1)+1)-INDEX($A$19:$A$2018,MATCH(L117,$D$19:INDEX($D$19:$D$2018,$E$12),1)))/(INDEX($D$19:$D$2018,MATCH(L117,$D$19:INDEX($D$19:$D$2018,$E$12),1)+1)-INDEX($D$19:$D$2018,MATCH(L117,$D$19:INDEX($D$19:$D$2018,$E$12),1))))))</f>
        <v/>
      </c>
      <c r="N117" s="12">
        <f>IF(M117="","",$B$6*TAN(RADIANS(M117)))</f>
        <v/>
      </c>
      <c r="O117" s="12">
        <f>IF(N117="","",IF(L117=0,0,-N117*J117/SQRT(J117^2+K117^2)))</f>
        <v/>
      </c>
      <c r="P117" s="12">
        <f>IF(N117="","",IF(L117=0,0,N117*K117/SQRT(J117^2+K117^2)))</f>
        <v/>
      </c>
      <c r="Q117" s="12">
        <f>IF(N117="","",IF(N117=0,$B$7,$B$7-Y117*O117/N117))</f>
        <v/>
      </c>
      <c r="R117" s="12">
        <f>IF(N117="","",IF(N117=0,$B$8,$B$8+Y117*P117/N117))</f>
        <v/>
      </c>
      <c r="S117" s="12">
        <f>IFERROR(SQRT((Q117-H117)^2+(R117-I117)^2),"")</f>
        <v/>
      </c>
      <c r="T117">
        <f>90</f>
        <v/>
      </c>
      <c r="U117">
        <f>IF(T117&gt;4*$E$9,"",MIN(INT(T117/$E$9)+1,4))</f>
        <v/>
      </c>
      <c r="V117">
        <f>IF(T117=4*$E$9,-$E$6/2,IF(U117="","",CHOOSE(U117,-$E$6/2+MOD(T117,$E$9)/$E$9*$E$6,$E$6/2,$E$6/2-MOD(T117,$E$9)/$E$9*$E$6,-$E$6/2)))</f>
        <v/>
      </c>
      <c r="W117">
        <f>IF(T117=4*$E$9,-$E$7/2,IF(U117="","",CHOOSE(U117,-$E$7/2,-$E$7/2+MOD(T117,$E$9)/$E$9*$E$7,$E$7/2,$E$7/2-MOD(T117,$E$9)/$E$9*$E$7)))</f>
        <v/>
      </c>
      <c r="X117">
        <f>IF(OR($E$13&lt;&gt;"OK",M117=""),"",IF(M117&lt;=$A$19,$D$19,IF(M117&gt;=INDEX($A$19:$A$2018,$E$12),INDEX($D$19:$D$2018,$E$12),INDEX($D$19:$D$2018,MATCH(M117,$A$19:INDEX($A$19:$A$2018,$E$12),1))+(M117-INDEX($A$19:$A$2018,MATCH(M117,$A$19:INDEX($A$19:$A$2018,$E$12),1)))*(INDEX($D$19:$D$2018,MATCH(M117,$A$19:INDEX($A$19:$A$2018,$E$12),1)+1)-INDEX($D$19:$D$2018,MATCH(M117,$A$19:INDEX($A$19:$A$2018,$E$12),1)))/(INDEX($A$19:$A$2018,MATCH(M117,$A$19:INDEX($A$19:$A$2018,$E$12),1)+1)-INDEX($A$19:$A$2018,MATCH(M117,$A$19:INDEX($A$19:$A$2018,$E$12),1))))))</f>
        <v/>
      </c>
      <c r="Y117">
        <f>IF(X117="","",X117*1000/$B$4)</f>
        <v/>
      </c>
    </row>
    <row r="118">
      <c r="A118" s="10" t="n"/>
      <c r="B118" s="10" t="n"/>
      <c r="C118" s="11">
        <f>IF(A118="","",$B$5*TAN(RADIANS(A118)))</f>
        <v/>
      </c>
      <c r="D118" s="11">
        <f>IF(C118="","",C118*(1+B118/100))</f>
        <v/>
      </c>
      <c r="E118" s="11">
        <f>IF(A118="","",$B$6*TAN(RADIANS(A118)))</f>
        <v/>
      </c>
      <c r="G118" s="12">
        <f>IF(U118="","",T118)</f>
        <v/>
      </c>
      <c r="H118" s="12">
        <f>IF(U118="","",$E$4+V118*COS(RADIANS($E$8))-W118*SIN(RADIANS($E$8)))</f>
        <v/>
      </c>
      <c r="I118" s="12">
        <f>IF(U118="","",$E$5+V118*SIN(RADIANS($E$8))+W118*COS(RADIANS($E$8)))</f>
        <v/>
      </c>
      <c r="J118" s="12">
        <f>IF(H118="","",H118-$B$7)</f>
        <v/>
      </c>
      <c r="K118" s="12">
        <f>IF(I118="","",I118-$B$8)</f>
        <v/>
      </c>
      <c r="L118" s="12">
        <f>IFERROR(SQRT(J118^2+K118^2)*$B$4/1000,"")</f>
        <v/>
      </c>
      <c r="M118" s="12">
        <f>IF(OR($E$13&lt;&gt;"OK",L118=""),"",IF(L118&lt;=$D$19,$A$19,IF(L118&gt;=INDEX($D$19:$D$2018,$E$12),INDEX($A$19:$A$2018,$E$12),INDEX($A$19:$A$2018,MATCH(L118,$D$19:INDEX($D$19:$D$2018,$E$12),1))+(L118-INDEX($D$19:$D$2018,MATCH(L118,$D$19:INDEX($D$19:$D$2018,$E$12),1)))*(INDEX($A$19:$A$2018,MATCH(L118,$D$19:INDEX($D$19:$D$2018,$E$12),1)+1)-INDEX($A$19:$A$2018,MATCH(L118,$D$19:INDEX($D$19:$D$2018,$E$12),1)))/(INDEX($D$19:$D$2018,MATCH(L118,$D$19:INDEX($D$19:$D$2018,$E$12),1)+1)-INDEX($D$19:$D$2018,MATCH(L118,$D$19:INDEX($D$19:$D$2018,$E$12),1))))))</f>
        <v/>
      </c>
      <c r="N118" s="12">
        <f>IF(M118="","",$B$6*TAN(RADIANS(M118)))</f>
        <v/>
      </c>
      <c r="O118" s="12">
        <f>IF(N118="","",IF(L118=0,0,-N118*J118/SQRT(J118^2+K118^2)))</f>
        <v/>
      </c>
      <c r="P118" s="12">
        <f>IF(N118="","",IF(L118=0,0,N118*K118/SQRT(J118^2+K118^2)))</f>
        <v/>
      </c>
      <c r="Q118" s="12">
        <f>IF(N118="","",IF(N118=0,$B$7,$B$7-Y118*O118/N118))</f>
        <v/>
      </c>
      <c r="R118" s="12">
        <f>IF(N118="","",IF(N118=0,$B$8,$B$8+Y118*P118/N118))</f>
        <v/>
      </c>
      <c r="S118" s="12">
        <f>IFERROR(SQRT((Q118-H118)^2+(R118-I118)^2),"")</f>
        <v/>
      </c>
      <c r="T118">
        <f>91</f>
        <v/>
      </c>
      <c r="U118">
        <f>IF(T118&gt;4*$E$9,"",MIN(INT(T118/$E$9)+1,4))</f>
        <v/>
      </c>
      <c r="V118">
        <f>IF(T118=4*$E$9,-$E$6/2,IF(U118="","",CHOOSE(U118,-$E$6/2+MOD(T118,$E$9)/$E$9*$E$6,$E$6/2,$E$6/2-MOD(T118,$E$9)/$E$9*$E$6,-$E$6/2)))</f>
        <v/>
      </c>
      <c r="W118">
        <f>IF(T118=4*$E$9,-$E$7/2,IF(U118="","",CHOOSE(U118,-$E$7/2,-$E$7/2+MOD(T118,$E$9)/$E$9*$E$7,$E$7/2,$E$7/2-MOD(T118,$E$9)/$E$9*$E$7)))</f>
        <v/>
      </c>
      <c r="X118">
        <f>IF(OR($E$13&lt;&gt;"OK",M118=""),"",IF(M118&lt;=$A$19,$D$19,IF(M118&gt;=INDEX($A$19:$A$2018,$E$12),INDEX($D$19:$D$2018,$E$12),INDEX($D$19:$D$2018,MATCH(M118,$A$19:INDEX($A$19:$A$2018,$E$12),1))+(M118-INDEX($A$19:$A$2018,MATCH(M118,$A$19:INDEX($A$19:$A$2018,$E$12),1)))*(INDEX($D$19:$D$2018,MATCH(M118,$A$19:INDEX($A$19:$A$2018,$E$12),1)+1)-INDEX($D$19:$D$2018,MATCH(M118,$A$19:INDEX($A$19:$A$2018,$E$12),1)))/(INDEX($A$19:$A$2018,MATCH(M118,$A$19:INDEX($A$19:$A$2018,$E$12),1)+1)-INDEX($A$19:$A$2018,MATCH(M118,$A$19:INDEX($A$19:$A$2018,$E$12),1))))))</f>
        <v/>
      </c>
      <c r="Y118">
        <f>IF(X118="","",X118*1000/$B$4)</f>
        <v/>
      </c>
    </row>
    <row r="119">
      <c r="A119" s="10" t="n"/>
      <c r="B119" s="10" t="n"/>
      <c r="C119" s="11">
        <f>IF(A119="","",$B$5*TAN(RADIANS(A119)))</f>
        <v/>
      </c>
      <c r="D119" s="11">
        <f>IF(C119="","",C119*(1+B119/100))</f>
        <v/>
      </c>
      <c r="E119" s="11">
        <f>IF(A119="","",$B$6*TAN(RADIANS(A119)))</f>
        <v/>
      </c>
      <c r="G119" s="12">
        <f>IF(U119="","",T119)</f>
        <v/>
      </c>
      <c r="H119" s="12">
        <f>IF(U119="","",$E$4+V119*COS(RADIANS($E$8))-W119*SIN(RADIANS($E$8)))</f>
        <v/>
      </c>
      <c r="I119" s="12">
        <f>IF(U119="","",$E$5+V119*SIN(RADIANS($E$8))+W119*COS(RADIANS($E$8)))</f>
        <v/>
      </c>
      <c r="J119" s="12">
        <f>IF(H119="","",H119-$B$7)</f>
        <v/>
      </c>
      <c r="K119" s="12">
        <f>IF(I119="","",I119-$B$8)</f>
        <v/>
      </c>
      <c r="L119" s="12">
        <f>IFERROR(SQRT(J119^2+K119^2)*$B$4/1000,"")</f>
        <v/>
      </c>
      <c r="M119" s="12">
        <f>IF(OR($E$13&lt;&gt;"OK",L119=""),"",IF(L119&lt;=$D$19,$A$19,IF(L119&gt;=INDEX($D$19:$D$2018,$E$12),INDEX($A$19:$A$2018,$E$12),INDEX($A$19:$A$2018,MATCH(L119,$D$19:INDEX($D$19:$D$2018,$E$12),1))+(L119-INDEX($D$19:$D$2018,MATCH(L119,$D$19:INDEX($D$19:$D$2018,$E$12),1)))*(INDEX($A$19:$A$2018,MATCH(L119,$D$19:INDEX($D$19:$D$2018,$E$12),1)+1)-INDEX($A$19:$A$2018,MATCH(L119,$D$19:INDEX($D$19:$D$2018,$E$12),1)))/(INDEX($D$19:$D$2018,MATCH(L119,$D$19:INDEX($D$19:$D$2018,$E$12),1)+1)-INDEX($D$19:$D$2018,MATCH(L119,$D$19:INDEX($D$19:$D$2018,$E$12),1))))))</f>
        <v/>
      </c>
      <c r="N119" s="12">
        <f>IF(M119="","",$B$6*TAN(RADIANS(M119)))</f>
        <v/>
      </c>
      <c r="O119" s="12">
        <f>IF(N119="","",IF(L119=0,0,-N119*J119/SQRT(J119^2+K119^2)))</f>
        <v/>
      </c>
      <c r="P119" s="12">
        <f>IF(N119="","",IF(L119=0,0,N119*K119/SQRT(J119^2+K119^2)))</f>
        <v/>
      </c>
      <c r="Q119" s="12">
        <f>IF(N119="","",IF(N119=0,$B$7,$B$7-Y119*O119/N119))</f>
        <v/>
      </c>
      <c r="R119" s="12">
        <f>IF(N119="","",IF(N119=0,$B$8,$B$8+Y119*P119/N119))</f>
        <v/>
      </c>
      <c r="S119" s="12">
        <f>IFERROR(SQRT((Q119-H119)^2+(R119-I119)^2),"")</f>
        <v/>
      </c>
      <c r="T119">
        <f>92</f>
        <v/>
      </c>
      <c r="U119">
        <f>IF(T119&gt;4*$E$9,"",MIN(INT(T119/$E$9)+1,4))</f>
        <v/>
      </c>
      <c r="V119">
        <f>IF(T119=4*$E$9,-$E$6/2,IF(U119="","",CHOOSE(U119,-$E$6/2+MOD(T119,$E$9)/$E$9*$E$6,$E$6/2,$E$6/2-MOD(T119,$E$9)/$E$9*$E$6,-$E$6/2)))</f>
        <v/>
      </c>
      <c r="W119">
        <f>IF(T119=4*$E$9,-$E$7/2,IF(U119="","",CHOOSE(U119,-$E$7/2,-$E$7/2+MOD(T119,$E$9)/$E$9*$E$7,$E$7/2,$E$7/2-MOD(T119,$E$9)/$E$9*$E$7)))</f>
        <v/>
      </c>
      <c r="X119">
        <f>IF(OR($E$13&lt;&gt;"OK",M119=""),"",IF(M119&lt;=$A$19,$D$19,IF(M119&gt;=INDEX($A$19:$A$2018,$E$12),INDEX($D$19:$D$2018,$E$12),INDEX($D$19:$D$2018,MATCH(M119,$A$19:INDEX($A$19:$A$2018,$E$12),1))+(M119-INDEX($A$19:$A$2018,MATCH(M119,$A$19:INDEX($A$19:$A$2018,$E$12),1)))*(INDEX($D$19:$D$2018,MATCH(M119,$A$19:INDEX($A$19:$A$2018,$E$12),1)+1)-INDEX($D$19:$D$2018,MATCH(M119,$A$19:INDEX($A$19:$A$2018,$E$12),1)))/(INDEX($A$19:$A$2018,MATCH(M119,$A$19:INDEX($A$19:$A$2018,$E$12),1)+1)-INDEX($A$19:$A$2018,MATCH(M119,$A$19:INDEX($A$19:$A$2018,$E$12),1))))))</f>
        <v/>
      </c>
      <c r="Y119">
        <f>IF(X119="","",X119*1000/$B$4)</f>
        <v/>
      </c>
    </row>
    <row r="120">
      <c r="A120" s="10" t="n"/>
      <c r="B120" s="10" t="n"/>
      <c r="C120" s="11">
        <f>IF(A120="","",$B$5*TAN(RADIANS(A120)))</f>
        <v/>
      </c>
      <c r="D120" s="11">
        <f>IF(C120="","",C120*(1+B120/100))</f>
        <v/>
      </c>
      <c r="E120" s="11">
        <f>IF(A120="","",$B$6*TAN(RADIANS(A120)))</f>
        <v/>
      </c>
      <c r="G120" s="12">
        <f>IF(U120="","",T120)</f>
        <v/>
      </c>
      <c r="H120" s="12">
        <f>IF(U120="","",$E$4+V120*COS(RADIANS($E$8))-W120*SIN(RADIANS($E$8)))</f>
        <v/>
      </c>
      <c r="I120" s="12">
        <f>IF(U120="","",$E$5+V120*SIN(RADIANS($E$8))+W120*COS(RADIANS($E$8)))</f>
        <v/>
      </c>
      <c r="J120" s="12">
        <f>IF(H120="","",H120-$B$7)</f>
        <v/>
      </c>
      <c r="K120" s="12">
        <f>IF(I120="","",I120-$B$8)</f>
        <v/>
      </c>
      <c r="L120" s="12">
        <f>IFERROR(SQRT(J120^2+K120^2)*$B$4/1000,"")</f>
        <v/>
      </c>
      <c r="M120" s="12">
        <f>IF(OR($E$13&lt;&gt;"OK",L120=""),"",IF(L120&lt;=$D$19,$A$19,IF(L120&gt;=INDEX($D$19:$D$2018,$E$12),INDEX($A$19:$A$2018,$E$12),INDEX($A$19:$A$2018,MATCH(L120,$D$19:INDEX($D$19:$D$2018,$E$12),1))+(L120-INDEX($D$19:$D$2018,MATCH(L120,$D$19:INDEX($D$19:$D$2018,$E$12),1)))*(INDEX($A$19:$A$2018,MATCH(L120,$D$19:INDEX($D$19:$D$2018,$E$12),1)+1)-INDEX($A$19:$A$2018,MATCH(L120,$D$19:INDEX($D$19:$D$2018,$E$12),1)))/(INDEX($D$19:$D$2018,MATCH(L120,$D$19:INDEX($D$19:$D$2018,$E$12),1)+1)-INDEX($D$19:$D$2018,MATCH(L120,$D$19:INDEX($D$19:$D$2018,$E$12),1))))))</f>
        <v/>
      </c>
      <c r="N120" s="12">
        <f>IF(M120="","",$B$6*TAN(RADIANS(M120)))</f>
        <v/>
      </c>
      <c r="O120" s="12">
        <f>IF(N120="","",IF(L120=0,0,-N120*J120/SQRT(J120^2+K120^2)))</f>
        <v/>
      </c>
      <c r="P120" s="12">
        <f>IF(N120="","",IF(L120=0,0,N120*K120/SQRT(J120^2+K120^2)))</f>
        <v/>
      </c>
      <c r="Q120" s="12">
        <f>IF(N120="","",IF(N120=0,$B$7,$B$7-Y120*O120/N120))</f>
        <v/>
      </c>
      <c r="R120" s="12">
        <f>IF(N120="","",IF(N120=0,$B$8,$B$8+Y120*P120/N120))</f>
        <v/>
      </c>
      <c r="S120" s="12">
        <f>IFERROR(SQRT((Q120-H120)^2+(R120-I120)^2),"")</f>
        <v/>
      </c>
      <c r="T120">
        <f>93</f>
        <v/>
      </c>
      <c r="U120">
        <f>IF(T120&gt;4*$E$9,"",MIN(INT(T120/$E$9)+1,4))</f>
        <v/>
      </c>
      <c r="V120">
        <f>IF(T120=4*$E$9,-$E$6/2,IF(U120="","",CHOOSE(U120,-$E$6/2+MOD(T120,$E$9)/$E$9*$E$6,$E$6/2,$E$6/2-MOD(T120,$E$9)/$E$9*$E$6,-$E$6/2)))</f>
        <v/>
      </c>
      <c r="W120">
        <f>IF(T120=4*$E$9,-$E$7/2,IF(U120="","",CHOOSE(U120,-$E$7/2,-$E$7/2+MOD(T120,$E$9)/$E$9*$E$7,$E$7/2,$E$7/2-MOD(T120,$E$9)/$E$9*$E$7)))</f>
        <v/>
      </c>
      <c r="X120">
        <f>IF(OR($E$13&lt;&gt;"OK",M120=""),"",IF(M120&lt;=$A$19,$D$19,IF(M120&gt;=INDEX($A$19:$A$2018,$E$12),INDEX($D$19:$D$2018,$E$12),INDEX($D$19:$D$2018,MATCH(M120,$A$19:INDEX($A$19:$A$2018,$E$12),1))+(M120-INDEX($A$19:$A$2018,MATCH(M120,$A$19:INDEX($A$19:$A$2018,$E$12),1)))*(INDEX($D$19:$D$2018,MATCH(M120,$A$19:INDEX($A$19:$A$2018,$E$12),1)+1)-INDEX($D$19:$D$2018,MATCH(M120,$A$19:INDEX($A$19:$A$2018,$E$12),1)))/(INDEX($A$19:$A$2018,MATCH(M120,$A$19:INDEX($A$19:$A$2018,$E$12),1)+1)-INDEX($A$19:$A$2018,MATCH(M120,$A$19:INDEX($A$19:$A$2018,$E$12),1))))))</f>
        <v/>
      </c>
      <c r="Y120">
        <f>IF(X120="","",X120*1000/$B$4)</f>
        <v/>
      </c>
    </row>
    <row r="121">
      <c r="A121" s="10" t="n"/>
      <c r="B121" s="10" t="n"/>
      <c r="C121" s="11">
        <f>IF(A121="","",$B$5*TAN(RADIANS(A121)))</f>
        <v/>
      </c>
      <c r="D121" s="11">
        <f>IF(C121="","",C121*(1+B121/100))</f>
        <v/>
      </c>
      <c r="E121" s="11">
        <f>IF(A121="","",$B$6*TAN(RADIANS(A121)))</f>
        <v/>
      </c>
      <c r="G121" s="12">
        <f>IF(U121="","",T121)</f>
        <v/>
      </c>
      <c r="H121" s="12">
        <f>IF(U121="","",$E$4+V121*COS(RADIANS($E$8))-W121*SIN(RADIANS($E$8)))</f>
        <v/>
      </c>
      <c r="I121" s="12">
        <f>IF(U121="","",$E$5+V121*SIN(RADIANS($E$8))+W121*COS(RADIANS($E$8)))</f>
        <v/>
      </c>
      <c r="J121" s="12">
        <f>IF(H121="","",H121-$B$7)</f>
        <v/>
      </c>
      <c r="K121" s="12">
        <f>IF(I121="","",I121-$B$8)</f>
        <v/>
      </c>
      <c r="L121" s="12">
        <f>IFERROR(SQRT(J121^2+K121^2)*$B$4/1000,"")</f>
        <v/>
      </c>
      <c r="M121" s="12">
        <f>IF(OR($E$13&lt;&gt;"OK",L121=""),"",IF(L121&lt;=$D$19,$A$19,IF(L121&gt;=INDEX($D$19:$D$2018,$E$12),INDEX($A$19:$A$2018,$E$12),INDEX($A$19:$A$2018,MATCH(L121,$D$19:INDEX($D$19:$D$2018,$E$12),1))+(L121-INDEX($D$19:$D$2018,MATCH(L121,$D$19:INDEX($D$19:$D$2018,$E$12),1)))*(INDEX($A$19:$A$2018,MATCH(L121,$D$19:INDEX($D$19:$D$2018,$E$12),1)+1)-INDEX($A$19:$A$2018,MATCH(L121,$D$19:INDEX($D$19:$D$2018,$E$12),1)))/(INDEX($D$19:$D$2018,MATCH(L121,$D$19:INDEX($D$19:$D$2018,$E$12),1)+1)-INDEX($D$19:$D$2018,MATCH(L121,$D$19:INDEX($D$19:$D$2018,$E$12),1))))))</f>
        <v/>
      </c>
      <c r="N121" s="12">
        <f>IF(M121="","",$B$6*TAN(RADIANS(M121)))</f>
        <v/>
      </c>
      <c r="O121" s="12">
        <f>IF(N121="","",IF(L121=0,0,-N121*J121/SQRT(J121^2+K121^2)))</f>
        <v/>
      </c>
      <c r="P121" s="12">
        <f>IF(N121="","",IF(L121=0,0,N121*K121/SQRT(J121^2+K121^2)))</f>
        <v/>
      </c>
      <c r="Q121" s="12">
        <f>IF(N121="","",IF(N121=0,$B$7,$B$7-Y121*O121/N121))</f>
        <v/>
      </c>
      <c r="R121" s="12">
        <f>IF(N121="","",IF(N121=0,$B$8,$B$8+Y121*P121/N121))</f>
        <v/>
      </c>
      <c r="S121" s="12">
        <f>IFERROR(SQRT((Q121-H121)^2+(R121-I121)^2),"")</f>
        <v/>
      </c>
      <c r="T121">
        <f>94</f>
        <v/>
      </c>
      <c r="U121">
        <f>IF(T121&gt;4*$E$9,"",MIN(INT(T121/$E$9)+1,4))</f>
        <v/>
      </c>
      <c r="V121">
        <f>IF(T121=4*$E$9,-$E$6/2,IF(U121="","",CHOOSE(U121,-$E$6/2+MOD(T121,$E$9)/$E$9*$E$6,$E$6/2,$E$6/2-MOD(T121,$E$9)/$E$9*$E$6,-$E$6/2)))</f>
        <v/>
      </c>
      <c r="W121">
        <f>IF(T121=4*$E$9,-$E$7/2,IF(U121="","",CHOOSE(U121,-$E$7/2,-$E$7/2+MOD(T121,$E$9)/$E$9*$E$7,$E$7/2,$E$7/2-MOD(T121,$E$9)/$E$9*$E$7)))</f>
        <v/>
      </c>
      <c r="X121">
        <f>IF(OR($E$13&lt;&gt;"OK",M121=""),"",IF(M121&lt;=$A$19,$D$19,IF(M121&gt;=INDEX($A$19:$A$2018,$E$12),INDEX($D$19:$D$2018,$E$12),INDEX($D$19:$D$2018,MATCH(M121,$A$19:INDEX($A$19:$A$2018,$E$12),1))+(M121-INDEX($A$19:$A$2018,MATCH(M121,$A$19:INDEX($A$19:$A$2018,$E$12),1)))*(INDEX($D$19:$D$2018,MATCH(M121,$A$19:INDEX($A$19:$A$2018,$E$12),1)+1)-INDEX($D$19:$D$2018,MATCH(M121,$A$19:INDEX($A$19:$A$2018,$E$12),1)))/(INDEX($A$19:$A$2018,MATCH(M121,$A$19:INDEX($A$19:$A$2018,$E$12),1)+1)-INDEX($A$19:$A$2018,MATCH(M121,$A$19:INDEX($A$19:$A$2018,$E$12),1))))))</f>
        <v/>
      </c>
      <c r="Y121">
        <f>IF(X121="","",X121*1000/$B$4)</f>
        <v/>
      </c>
    </row>
    <row r="122">
      <c r="A122" s="10" t="n"/>
      <c r="B122" s="10" t="n"/>
      <c r="C122" s="11">
        <f>IF(A122="","",$B$5*TAN(RADIANS(A122)))</f>
        <v/>
      </c>
      <c r="D122" s="11">
        <f>IF(C122="","",C122*(1+B122/100))</f>
        <v/>
      </c>
      <c r="E122" s="11">
        <f>IF(A122="","",$B$6*TAN(RADIANS(A122)))</f>
        <v/>
      </c>
      <c r="G122" s="12">
        <f>IF(U122="","",T122)</f>
        <v/>
      </c>
      <c r="H122" s="12">
        <f>IF(U122="","",$E$4+V122*COS(RADIANS($E$8))-W122*SIN(RADIANS($E$8)))</f>
        <v/>
      </c>
      <c r="I122" s="12">
        <f>IF(U122="","",$E$5+V122*SIN(RADIANS($E$8))+W122*COS(RADIANS($E$8)))</f>
        <v/>
      </c>
      <c r="J122" s="12">
        <f>IF(H122="","",H122-$B$7)</f>
        <v/>
      </c>
      <c r="K122" s="12">
        <f>IF(I122="","",I122-$B$8)</f>
        <v/>
      </c>
      <c r="L122" s="12">
        <f>IFERROR(SQRT(J122^2+K122^2)*$B$4/1000,"")</f>
        <v/>
      </c>
      <c r="M122" s="12">
        <f>IF(OR($E$13&lt;&gt;"OK",L122=""),"",IF(L122&lt;=$D$19,$A$19,IF(L122&gt;=INDEX($D$19:$D$2018,$E$12),INDEX($A$19:$A$2018,$E$12),INDEX($A$19:$A$2018,MATCH(L122,$D$19:INDEX($D$19:$D$2018,$E$12),1))+(L122-INDEX($D$19:$D$2018,MATCH(L122,$D$19:INDEX($D$19:$D$2018,$E$12),1)))*(INDEX($A$19:$A$2018,MATCH(L122,$D$19:INDEX($D$19:$D$2018,$E$12),1)+1)-INDEX($A$19:$A$2018,MATCH(L122,$D$19:INDEX($D$19:$D$2018,$E$12),1)))/(INDEX($D$19:$D$2018,MATCH(L122,$D$19:INDEX($D$19:$D$2018,$E$12),1)+1)-INDEX($D$19:$D$2018,MATCH(L122,$D$19:INDEX($D$19:$D$2018,$E$12),1))))))</f>
        <v/>
      </c>
      <c r="N122" s="12">
        <f>IF(M122="","",$B$6*TAN(RADIANS(M122)))</f>
        <v/>
      </c>
      <c r="O122" s="12">
        <f>IF(N122="","",IF(L122=0,0,-N122*J122/SQRT(J122^2+K122^2)))</f>
        <v/>
      </c>
      <c r="P122" s="12">
        <f>IF(N122="","",IF(L122=0,0,N122*K122/SQRT(J122^2+K122^2)))</f>
        <v/>
      </c>
      <c r="Q122" s="12">
        <f>IF(N122="","",IF(N122=0,$B$7,$B$7-Y122*O122/N122))</f>
        <v/>
      </c>
      <c r="R122" s="12">
        <f>IF(N122="","",IF(N122=0,$B$8,$B$8+Y122*P122/N122))</f>
        <v/>
      </c>
      <c r="S122" s="12">
        <f>IFERROR(SQRT((Q122-H122)^2+(R122-I122)^2),"")</f>
        <v/>
      </c>
      <c r="T122">
        <f>95</f>
        <v/>
      </c>
      <c r="U122">
        <f>IF(T122&gt;4*$E$9,"",MIN(INT(T122/$E$9)+1,4))</f>
        <v/>
      </c>
      <c r="V122">
        <f>IF(T122=4*$E$9,-$E$6/2,IF(U122="","",CHOOSE(U122,-$E$6/2+MOD(T122,$E$9)/$E$9*$E$6,$E$6/2,$E$6/2-MOD(T122,$E$9)/$E$9*$E$6,-$E$6/2)))</f>
        <v/>
      </c>
      <c r="W122">
        <f>IF(T122=4*$E$9,-$E$7/2,IF(U122="","",CHOOSE(U122,-$E$7/2,-$E$7/2+MOD(T122,$E$9)/$E$9*$E$7,$E$7/2,$E$7/2-MOD(T122,$E$9)/$E$9*$E$7)))</f>
        <v/>
      </c>
      <c r="X122">
        <f>IF(OR($E$13&lt;&gt;"OK",M122=""),"",IF(M122&lt;=$A$19,$D$19,IF(M122&gt;=INDEX($A$19:$A$2018,$E$12),INDEX($D$19:$D$2018,$E$12),INDEX($D$19:$D$2018,MATCH(M122,$A$19:INDEX($A$19:$A$2018,$E$12),1))+(M122-INDEX($A$19:$A$2018,MATCH(M122,$A$19:INDEX($A$19:$A$2018,$E$12),1)))*(INDEX($D$19:$D$2018,MATCH(M122,$A$19:INDEX($A$19:$A$2018,$E$12),1)+1)-INDEX($D$19:$D$2018,MATCH(M122,$A$19:INDEX($A$19:$A$2018,$E$12),1)))/(INDEX($A$19:$A$2018,MATCH(M122,$A$19:INDEX($A$19:$A$2018,$E$12),1)+1)-INDEX($A$19:$A$2018,MATCH(M122,$A$19:INDEX($A$19:$A$2018,$E$12),1))))))</f>
        <v/>
      </c>
      <c r="Y122">
        <f>IF(X122="","",X122*1000/$B$4)</f>
        <v/>
      </c>
    </row>
    <row r="123">
      <c r="A123" s="10" t="n"/>
      <c r="B123" s="10" t="n"/>
      <c r="C123" s="11">
        <f>IF(A123="","",$B$5*TAN(RADIANS(A123)))</f>
        <v/>
      </c>
      <c r="D123" s="11">
        <f>IF(C123="","",C123*(1+B123/100))</f>
        <v/>
      </c>
      <c r="E123" s="11">
        <f>IF(A123="","",$B$6*TAN(RADIANS(A123)))</f>
        <v/>
      </c>
      <c r="G123" s="12">
        <f>IF(U123="","",T123)</f>
        <v/>
      </c>
      <c r="H123" s="12">
        <f>IF(U123="","",$E$4+V123*COS(RADIANS($E$8))-W123*SIN(RADIANS($E$8)))</f>
        <v/>
      </c>
      <c r="I123" s="12">
        <f>IF(U123="","",$E$5+V123*SIN(RADIANS($E$8))+W123*COS(RADIANS($E$8)))</f>
        <v/>
      </c>
      <c r="J123" s="12">
        <f>IF(H123="","",H123-$B$7)</f>
        <v/>
      </c>
      <c r="K123" s="12">
        <f>IF(I123="","",I123-$B$8)</f>
        <v/>
      </c>
      <c r="L123" s="12">
        <f>IFERROR(SQRT(J123^2+K123^2)*$B$4/1000,"")</f>
        <v/>
      </c>
      <c r="M123" s="12">
        <f>IF(OR($E$13&lt;&gt;"OK",L123=""),"",IF(L123&lt;=$D$19,$A$19,IF(L123&gt;=INDEX($D$19:$D$2018,$E$12),INDEX($A$19:$A$2018,$E$12),INDEX($A$19:$A$2018,MATCH(L123,$D$19:INDEX($D$19:$D$2018,$E$12),1))+(L123-INDEX($D$19:$D$2018,MATCH(L123,$D$19:INDEX($D$19:$D$2018,$E$12),1)))*(INDEX($A$19:$A$2018,MATCH(L123,$D$19:INDEX($D$19:$D$2018,$E$12),1)+1)-INDEX($A$19:$A$2018,MATCH(L123,$D$19:INDEX($D$19:$D$2018,$E$12),1)))/(INDEX($D$19:$D$2018,MATCH(L123,$D$19:INDEX($D$19:$D$2018,$E$12),1)+1)-INDEX($D$19:$D$2018,MATCH(L123,$D$19:INDEX($D$19:$D$2018,$E$12),1))))))</f>
        <v/>
      </c>
      <c r="N123" s="12">
        <f>IF(M123="","",$B$6*TAN(RADIANS(M123)))</f>
        <v/>
      </c>
      <c r="O123" s="12">
        <f>IF(N123="","",IF(L123=0,0,-N123*J123/SQRT(J123^2+K123^2)))</f>
        <v/>
      </c>
      <c r="P123" s="12">
        <f>IF(N123="","",IF(L123=0,0,N123*K123/SQRT(J123^2+K123^2)))</f>
        <v/>
      </c>
      <c r="Q123" s="12">
        <f>IF(N123="","",IF(N123=0,$B$7,$B$7-Y123*O123/N123))</f>
        <v/>
      </c>
      <c r="R123" s="12">
        <f>IF(N123="","",IF(N123=0,$B$8,$B$8+Y123*P123/N123))</f>
        <v/>
      </c>
      <c r="S123" s="12">
        <f>IFERROR(SQRT((Q123-H123)^2+(R123-I123)^2),"")</f>
        <v/>
      </c>
      <c r="T123">
        <f>96</f>
        <v/>
      </c>
      <c r="U123">
        <f>IF(T123&gt;4*$E$9,"",MIN(INT(T123/$E$9)+1,4))</f>
        <v/>
      </c>
      <c r="V123">
        <f>IF(T123=4*$E$9,-$E$6/2,IF(U123="","",CHOOSE(U123,-$E$6/2+MOD(T123,$E$9)/$E$9*$E$6,$E$6/2,$E$6/2-MOD(T123,$E$9)/$E$9*$E$6,-$E$6/2)))</f>
        <v/>
      </c>
      <c r="W123">
        <f>IF(T123=4*$E$9,-$E$7/2,IF(U123="","",CHOOSE(U123,-$E$7/2,-$E$7/2+MOD(T123,$E$9)/$E$9*$E$7,$E$7/2,$E$7/2-MOD(T123,$E$9)/$E$9*$E$7)))</f>
        <v/>
      </c>
      <c r="X123">
        <f>IF(OR($E$13&lt;&gt;"OK",M123=""),"",IF(M123&lt;=$A$19,$D$19,IF(M123&gt;=INDEX($A$19:$A$2018,$E$12),INDEX($D$19:$D$2018,$E$12),INDEX($D$19:$D$2018,MATCH(M123,$A$19:INDEX($A$19:$A$2018,$E$12),1))+(M123-INDEX($A$19:$A$2018,MATCH(M123,$A$19:INDEX($A$19:$A$2018,$E$12),1)))*(INDEX($D$19:$D$2018,MATCH(M123,$A$19:INDEX($A$19:$A$2018,$E$12),1)+1)-INDEX($D$19:$D$2018,MATCH(M123,$A$19:INDEX($A$19:$A$2018,$E$12),1)))/(INDEX($A$19:$A$2018,MATCH(M123,$A$19:INDEX($A$19:$A$2018,$E$12),1)+1)-INDEX($A$19:$A$2018,MATCH(M123,$A$19:INDEX($A$19:$A$2018,$E$12),1))))))</f>
        <v/>
      </c>
      <c r="Y123">
        <f>IF(X123="","",X123*1000/$B$4)</f>
        <v/>
      </c>
    </row>
    <row r="124">
      <c r="A124" s="10" t="n"/>
      <c r="B124" s="10" t="n"/>
      <c r="C124" s="11">
        <f>IF(A124="","",$B$5*TAN(RADIANS(A124)))</f>
        <v/>
      </c>
      <c r="D124" s="11">
        <f>IF(C124="","",C124*(1+B124/100))</f>
        <v/>
      </c>
      <c r="E124" s="11">
        <f>IF(A124="","",$B$6*TAN(RADIANS(A124)))</f>
        <v/>
      </c>
      <c r="G124" s="12">
        <f>IF(U124="","",T124)</f>
        <v/>
      </c>
      <c r="H124" s="12">
        <f>IF(U124="","",$E$4+V124*COS(RADIANS($E$8))-W124*SIN(RADIANS($E$8)))</f>
        <v/>
      </c>
      <c r="I124" s="12">
        <f>IF(U124="","",$E$5+V124*SIN(RADIANS($E$8))+W124*COS(RADIANS($E$8)))</f>
        <v/>
      </c>
      <c r="J124" s="12">
        <f>IF(H124="","",H124-$B$7)</f>
        <v/>
      </c>
      <c r="K124" s="12">
        <f>IF(I124="","",I124-$B$8)</f>
        <v/>
      </c>
      <c r="L124" s="12">
        <f>IFERROR(SQRT(J124^2+K124^2)*$B$4/1000,"")</f>
        <v/>
      </c>
      <c r="M124" s="12">
        <f>IF(OR($E$13&lt;&gt;"OK",L124=""),"",IF(L124&lt;=$D$19,$A$19,IF(L124&gt;=INDEX($D$19:$D$2018,$E$12),INDEX($A$19:$A$2018,$E$12),INDEX($A$19:$A$2018,MATCH(L124,$D$19:INDEX($D$19:$D$2018,$E$12),1))+(L124-INDEX($D$19:$D$2018,MATCH(L124,$D$19:INDEX($D$19:$D$2018,$E$12),1)))*(INDEX($A$19:$A$2018,MATCH(L124,$D$19:INDEX($D$19:$D$2018,$E$12),1)+1)-INDEX($A$19:$A$2018,MATCH(L124,$D$19:INDEX($D$19:$D$2018,$E$12),1)))/(INDEX($D$19:$D$2018,MATCH(L124,$D$19:INDEX($D$19:$D$2018,$E$12),1)+1)-INDEX($D$19:$D$2018,MATCH(L124,$D$19:INDEX($D$19:$D$2018,$E$12),1))))))</f>
        <v/>
      </c>
      <c r="N124" s="12">
        <f>IF(M124="","",$B$6*TAN(RADIANS(M124)))</f>
        <v/>
      </c>
      <c r="O124" s="12">
        <f>IF(N124="","",IF(L124=0,0,-N124*J124/SQRT(J124^2+K124^2)))</f>
        <v/>
      </c>
      <c r="P124" s="12">
        <f>IF(N124="","",IF(L124=0,0,N124*K124/SQRT(J124^2+K124^2)))</f>
        <v/>
      </c>
      <c r="Q124" s="12">
        <f>IF(N124="","",IF(N124=0,$B$7,$B$7-Y124*O124/N124))</f>
        <v/>
      </c>
      <c r="R124" s="12">
        <f>IF(N124="","",IF(N124=0,$B$8,$B$8+Y124*P124/N124))</f>
        <v/>
      </c>
      <c r="S124" s="12">
        <f>IFERROR(SQRT((Q124-H124)^2+(R124-I124)^2),"")</f>
        <v/>
      </c>
      <c r="T124">
        <f>97</f>
        <v/>
      </c>
      <c r="U124">
        <f>IF(T124&gt;4*$E$9,"",MIN(INT(T124/$E$9)+1,4))</f>
        <v/>
      </c>
      <c r="V124">
        <f>IF(T124=4*$E$9,-$E$6/2,IF(U124="","",CHOOSE(U124,-$E$6/2+MOD(T124,$E$9)/$E$9*$E$6,$E$6/2,$E$6/2-MOD(T124,$E$9)/$E$9*$E$6,-$E$6/2)))</f>
        <v/>
      </c>
      <c r="W124">
        <f>IF(T124=4*$E$9,-$E$7/2,IF(U124="","",CHOOSE(U124,-$E$7/2,-$E$7/2+MOD(T124,$E$9)/$E$9*$E$7,$E$7/2,$E$7/2-MOD(T124,$E$9)/$E$9*$E$7)))</f>
        <v/>
      </c>
      <c r="X124">
        <f>IF(OR($E$13&lt;&gt;"OK",M124=""),"",IF(M124&lt;=$A$19,$D$19,IF(M124&gt;=INDEX($A$19:$A$2018,$E$12),INDEX($D$19:$D$2018,$E$12),INDEX($D$19:$D$2018,MATCH(M124,$A$19:INDEX($A$19:$A$2018,$E$12),1))+(M124-INDEX($A$19:$A$2018,MATCH(M124,$A$19:INDEX($A$19:$A$2018,$E$12),1)))*(INDEX($D$19:$D$2018,MATCH(M124,$A$19:INDEX($A$19:$A$2018,$E$12),1)+1)-INDEX($D$19:$D$2018,MATCH(M124,$A$19:INDEX($A$19:$A$2018,$E$12),1)))/(INDEX($A$19:$A$2018,MATCH(M124,$A$19:INDEX($A$19:$A$2018,$E$12),1)+1)-INDEX($A$19:$A$2018,MATCH(M124,$A$19:INDEX($A$19:$A$2018,$E$12),1))))))</f>
        <v/>
      </c>
      <c r="Y124">
        <f>IF(X124="","",X124*1000/$B$4)</f>
        <v/>
      </c>
    </row>
    <row r="125">
      <c r="A125" s="10" t="n"/>
      <c r="B125" s="10" t="n"/>
      <c r="C125" s="11">
        <f>IF(A125="","",$B$5*TAN(RADIANS(A125)))</f>
        <v/>
      </c>
      <c r="D125" s="11">
        <f>IF(C125="","",C125*(1+B125/100))</f>
        <v/>
      </c>
      <c r="E125" s="11">
        <f>IF(A125="","",$B$6*TAN(RADIANS(A125)))</f>
        <v/>
      </c>
      <c r="G125" s="12">
        <f>IF(U125="","",T125)</f>
        <v/>
      </c>
      <c r="H125" s="12">
        <f>IF(U125="","",$E$4+V125*COS(RADIANS($E$8))-W125*SIN(RADIANS($E$8)))</f>
        <v/>
      </c>
      <c r="I125" s="12">
        <f>IF(U125="","",$E$5+V125*SIN(RADIANS($E$8))+W125*COS(RADIANS($E$8)))</f>
        <v/>
      </c>
      <c r="J125" s="12">
        <f>IF(H125="","",H125-$B$7)</f>
        <v/>
      </c>
      <c r="K125" s="12">
        <f>IF(I125="","",I125-$B$8)</f>
        <v/>
      </c>
      <c r="L125" s="12">
        <f>IFERROR(SQRT(J125^2+K125^2)*$B$4/1000,"")</f>
        <v/>
      </c>
      <c r="M125" s="12">
        <f>IF(OR($E$13&lt;&gt;"OK",L125=""),"",IF(L125&lt;=$D$19,$A$19,IF(L125&gt;=INDEX($D$19:$D$2018,$E$12),INDEX($A$19:$A$2018,$E$12),INDEX($A$19:$A$2018,MATCH(L125,$D$19:INDEX($D$19:$D$2018,$E$12),1))+(L125-INDEX($D$19:$D$2018,MATCH(L125,$D$19:INDEX($D$19:$D$2018,$E$12),1)))*(INDEX($A$19:$A$2018,MATCH(L125,$D$19:INDEX($D$19:$D$2018,$E$12),1)+1)-INDEX($A$19:$A$2018,MATCH(L125,$D$19:INDEX($D$19:$D$2018,$E$12),1)))/(INDEX($D$19:$D$2018,MATCH(L125,$D$19:INDEX($D$19:$D$2018,$E$12),1)+1)-INDEX($D$19:$D$2018,MATCH(L125,$D$19:INDEX($D$19:$D$2018,$E$12),1))))))</f>
        <v/>
      </c>
      <c r="N125" s="12">
        <f>IF(M125="","",$B$6*TAN(RADIANS(M125)))</f>
        <v/>
      </c>
      <c r="O125" s="12">
        <f>IF(N125="","",IF(L125=0,0,-N125*J125/SQRT(J125^2+K125^2)))</f>
        <v/>
      </c>
      <c r="P125" s="12">
        <f>IF(N125="","",IF(L125=0,0,N125*K125/SQRT(J125^2+K125^2)))</f>
        <v/>
      </c>
      <c r="Q125" s="12">
        <f>IF(N125="","",IF(N125=0,$B$7,$B$7-Y125*O125/N125))</f>
        <v/>
      </c>
      <c r="R125" s="12">
        <f>IF(N125="","",IF(N125=0,$B$8,$B$8+Y125*P125/N125))</f>
        <v/>
      </c>
      <c r="S125" s="12">
        <f>IFERROR(SQRT((Q125-H125)^2+(R125-I125)^2),"")</f>
        <v/>
      </c>
      <c r="T125">
        <f>98</f>
        <v/>
      </c>
      <c r="U125">
        <f>IF(T125&gt;4*$E$9,"",MIN(INT(T125/$E$9)+1,4))</f>
        <v/>
      </c>
      <c r="V125">
        <f>IF(T125=4*$E$9,-$E$6/2,IF(U125="","",CHOOSE(U125,-$E$6/2+MOD(T125,$E$9)/$E$9*$E$6,$E$6/2,$E$6/2-MOD(T125,$E$9)/$E$9*$E$6,-$E$6/2)))</f>
        <v/>
      </c>
      <c r="W125">
        <f>IF(T125=4*$E$9,-$E$7/2,IF(U125="","",CHOOSE(U125,-$E$7/2,-$E$7/2+MOD(T125,$E$9)/$E$9*$E$7,$E$7/2,$E$7/2-MOD(T125,$E$9)/$E$9*$E$7)))</f>
        <v/>
      </c>
      <c r="X125">
        <f>IF(OR($E$13&lt;&gt;"OK",M125=""),"",IF(M125&lt;=$A$19,$D$19,IF(M125&gt;=INDEX($A$19:$A$2018,$E$12),INDEX($D$19:$D$2018,$E$12),INDEX($D$19:$D$2018,MATCH(M125,$A$19:INDEX($A$19:$A$2018,$E$12),1))+(M125-INDEX($A$19:$A$2018,MATCH(M125,$A$19:INDEX($A$19:$A$2018,$E$12),1)))*(INDEX($D$19:$D$2018,MATCH(M125,$A$19:INDEX($A$19:$A$2018,$E$12),1)+1)-INDEX($D$19:$D$2018,MATCH(M125,$A$19:INDEX($A$19:$A$2018,$E$12),1)))/(INDEX($A$19:$A$2018,MATCH(M125,$A$19:INDEX($A$19:$A$2018,$E$12),1)+1)-INDEX($A$19:$A$2018,MATCH(M125,$A$19:INDEX($A$19:$A$2018,$E$12),1))))))</f>
        <v/>
      </c>
      <c r="Y125">
        <f>IF(X125="","",X125*1000/$B$4)</f>
        <v/>
      </c>
    </row>
    <row r="126">
      <c r="A126" s="10" t="n"/>
      <c r="B126" s="10" t="n"/>
      <c r="C126" s="11">
        <f>IF(A126="","",$B$5*TAN(RADIANS(A126)))</f>
        <v/>
      </c>
      <c r="D126" s="11">
        <f>IF(C126="","",C126*(1+B126/100))</f>
        <v/>
      </c>
      <c r="E126" s="11">
        <f>IF(A126="","",$B$6*TAN(RADIANS(A126)))</f>
        <v/>
      </c>
      <c r="G126" s="12">
        <f>IF(U126="","",T126)</f>
        <v/>
      </c>
      <c r="H126" s="12">
        <f>IF(U126="","",$E$4+V126*COS(RADIANS($E$8))-W126*SIN(RADIANS($E$8)))</f>
        <v/>
      </c>
      <c r="I126" s="12">
        <f>IF(U126="","",$E$5+V126*SIN(RADIANS($E$8))+W126*COS(RADIANS($E$8)))</f>
        <v/>
      </c>
      <c r="J126" s="12">
        <f>IF(H126="","",H126-$B$7)</f>
        <v/>
      </c>
      <c r="K126" s="12">
        <f>IF(I126="","",I126-$B$8)</f>
        <v/>
      </c>
      <c r="L126" s="12">
        <f>IFERROR(SQRT(J126^2+K126^2)*$B$4/1000,"")</f>
        <v/>
      </c>
      <c r="M126" s="12">
        <f>IF(OR($E$13&lt;&gt;"OK",L126=""),"",IF(L126&lt;=$D$19,$A$19,IF(L126&gt;=INDEX($D$19:$D$2018,$E$12),INDEX($A$19:$A$2018,$E$12),INDEX($A$19:$A$2018,MATCH(L126,$D$19:INDEX($D$19:$D$2018,$E$12),1))+(L126-INDEX($D$19:$D$2018,MATCH(L126,$D$19:INDEX($D$19:$D$2018,$E$12),1)))*(INDEX($A$19:$A$2018,MATCH(L126,$D$19:INDEX($D$19:$D$2018,$E$12),1)+1)-INDEX($A$19:$A$2018,MATCH(L126,$D$19:INDEX($D$19:$D$2018,$E$12),1)))/(INDEX($D$19:$D$2018,MATCH(L126,$D$19:INDEX($D$19:$D$2018,$E$12),1)+1)-INDEX($D$19:$D$2018,MATCH(L126,$D$19:INDEX($D$19:$D$2018,$E$12),1))))))</f>
        <v/>
      </c>
      <c r="N126" s="12">
        <f>IF(M126="","",$B$6*TAN(RADIANS(M126)))</f>
        <v/>
      </c>
      <c r="O126" s="12">
        <f>IF(N126="","",IF(L126=0,0,-N126*J126/SQRT(J126^2+K126^2)))</f>
        <v/>
      </c>
      <c r="P126" s="12">
        <f>IF(N126="","",IF(L126=0,0,N126*K126/SQRT(J126^2+K126^2)))</f>
        <v/>
      </c>
      <c r="Q126" s="12">
        <f>IF(N126="","",IF(N126=0,$B$7,$B$7-Y126*O126/N126))</f>
        <v/>
      </c>
      <c r="R126" s="12">
        <f>IF(N126="","",IF(N126=0,$B$8,$B$8+Y126*P126/N126))</f>
        <v/>
      </c>
      <c r="S126" s="12">
        <f>IFERROR(SQRT((Q126-H126)^2+(R126-I126)^2),"")</f>
        <v/>
      </c>
      <c r="T126">
        <f>99</f>
        <v/>
      </c>
      <c r="U126">
        <f>IF(T126&gt;4*$E$9,"",MIN(INT(T126/$E$9)+1,4))</f>
        <v/>
      </c>
      <c r="V126">
        <f>IF(T126=4*$E$9,-$E$6/2,IF(U126="","",CHOOSE(U126,-$E$6/2+MOD(T126,$E$9)/$E$9*$E$6,$E$6/2,$E$6/2-MOD(T126,$E$9)/$E$9*$E$6,-$E$6/2)))</f>
        <v/>
      </c>
      <c r="W126">
        <f>IF(T126=4*$E$9,-$E$7/2,IF(U126="","",CHOOSE(U126,-$E$7/2,-$E$7/2+MOD(T126,$E$9)/$E$9*$E$7,$E$7/2,$E$7/2-MOD(T126,$E$9)/$E$9*$E$7)))</f>
        <v/>
      </c>
      <c r="X126">
        <f>IF(OR($E$13&lt;&gt;"OK",M126=""),"",IF(M126&lt;=$A$19,$D$19,IF(M126&gt;=INDEX($A$19:$A$2018,$E$12),INDEX($D$19:$D$2018,$E$12),INDEX($D$19:$D$2018,MATCH(M126,$A$19:INDEX($A$19:$A$2018,$E$12),1))+(M126-INDEX($A$19:$A$2018,MATCH(M126,$A$19:INDEX($A$19:$A$2018,$E$12),1)))*(INDEX($D$19:$D$2018,MATCH(M126,$A$19:INDEX($A$19:$A$2018,$E$12),1)+1)-INDEX($D$19:$D$2018,MATCH(M126,$A$19:INDEX($A$19:$A$2018,$E$12),1)))/(INDEX($A$19:$A$2018,MATCH(M126,$A$19:INDEX($A$19:$A$2018,$E$12),1)+1)-INDEX($A$19:$A$2018,MATCH(M126,$A$19:INDEX($A$19:$A$2018,$E$12),1))))))</f>
        <v/>
      </c>
      <c r="Y126">
        <f>IF(X126="","",X126*1000/$B$4)</f>
        <v/>
      </c>
    </row>
    <row r="127">
      <c r="A127" s="10" t="n"/>
      <c r="B127" s="10" t="n"/>
      <c r="C127" s="11">
        <f>IF(A127="","",$B$5*TAN(RADIANS(A127)))</f>
        <v/>
      </c>
      <c r="D127" s="11">
        <f>IF(C127="","",C127*(1+B127/100))</f>
        <v/>
      </c>
      <c r="E127" s="11">
        <f>IF(A127="","",$B$6*TAN(RADIANS(A127)))</f>
        <v/>
      </c>
      <c r="G127" s="12">
        <f>IF(U127="","",T127)</f>
        <v/>
      </c>
      <c r="H127" s="12">
        <f>IF(U127="","",$E$4+V127*COS(RADIANS($E$8))-W127*SIN(RADIANS($E$8)))</f>
        <v/>
      </c>
      <c r="I127" s="12">
        <f>IF(U127="","",$E$5+V127*SIN(RADIANS($E$8))+W127*COS(RADIANS($E$8)))</f>
        <v/>
      </c>
      <c r="J127" s="12">
        <f>IF(H127="","",H127-$B$7)</f>
        <v/>
      </c>
      <c r="K127" s="12">
        <f>IF(I127="","",I127-$B$8)</f>
        <v/>
      </c>
      <c r="L127" s="12">
        <f>IFERROR(SQRT(J127^2+K127^2)*$B$4/1000,"")</f>
        <v/>
      </c>
      <c r="M127" s="12">
        <f>IF(OR($E$13&lt;&gt;"OK",L127=""),"",IF(L127&lt;=$D$19,$A$19,IF(L127&gt;=INDEX($D$19:$D$2018,$E$12),INDEX($A$19:$A$2018,$E$12),INDEX($A$19:$A$2018,MATCH(L127,$D$19:INDEX($D$19:$D$2018,$E$12),1))+(L127-INDEX($D$19:$D$2018,MATCH(L127,$D$19:INDEX($D$19:$D$2018,$E$12),1)))*(INDEX($A$19:$A$2018,MATCH(L127,$D$19:INDEX($D$19:$D$2018,$E$12),1)+1)-INDEX($A$19:$A$2018,MATCH(L127,$D$19:INDEX($D$19:$D$2018,$E$12),1)))/(INDEX($D$19:$D$2018,MATCH(L127,$D$19:INDEX($D$19:$D$2018,$E$12),1)+1)-INDEX($D$19:$D$2018,MATCH(L127,$D$19:INDEX($D$19:$D$2018,$E$12),1))))))</f>
        <v/>
      </c>
      <c r="N127" s="12">
        <f>IF(M127="","",$B$6*TAN(RADIANS(M127)))</f>
        <v/>
      </c>
      <c r="O127" s="12">
        <f>IF(N127="","",IF(L127=0,0,-N127*J127/SQRT(J127^2+K127^2)))</f>
        <v/>
      </c>
      <c r="P127" s="12">
        <f>IF(N127="","",IF(L127=0,0,N127*K127/SQRT(J127^2+K127^2)))</f>
        <v/>
      </c>
      <c r="Q127" s="12">
        <f>IF(N127="","",IF(N127=0,$B$7,$B$7-Y127*O127/N127))</f>
        <v/>
      </c>
      <c r="R127" s="12">
        <f>IF(N127="","",IF(N127=0,$B$8,$B$8+Y127*P127/N127))</f>
        <v/>
      </c>
      <c r="S127" s="12">
        <f>IFERROR(SQRT((Q127-H127)^2+(R127-I127)^2),"")</f>
        <v/>
      </c>
      <c r="T127">
        <f>100</f>
        <v/>
      </c>
      <c r="U127">
        <f>IF(T127&gt;4*$E$9,"",MIN(INT(T127/$E$9)+1,4))</f>
        <v/>
      </c>
      <c r="V127">
        <f>IF(T127=4*$E$9,-$E$6/2,IF(U127="","",CHOOSE(U127,-$E$6/2+MOD(T127,$E$9)/$E$9*$E$6,$E$6/2,$E$6/2-MOD(T127,$E$9)/$E$9*$E$6,-$E$6/2)))</f>
        <v/>
      </c>
      <c r="W127">
        <f>IF(T127=4*$E$9,-$E$7/2,IF(U127="","",CHOOSE(U127,-$E$7/2,-$E$7/2+MOD(T127,$E$9)/$E$9*$E$7,$E$7/2,$E$7/2-MOD(T127,$E$9)/$E$9*$E$7)))</f>
        <v/>
      </c>
      <c r="X127">
        <f>IF(OR($E$13&lt;&gt;"OK",M127=""),"",IF(M127&lt;=$A$19,$D$19,IF(M127&gt;=INDEX($A$19:$A$2018,$E$12),INDEX($D$19:$D$2018,$E$12),INDEX($D$19:$D$2018,MATCH(M127,$A$19:INDEX($A$19:$A$2018,$E$12),1))+(M127-INDEX($A$19:$A$2018,MATCH(M127,$A$19:INDEX($A$19:$A$2018,$E$12),1)))*(INDEX($D$19:$D$2018,MATCH(M127,$A$19:INDEX($A$19:$A$2018,$E$12),1)+1)-INDEX($D$19:$D$2018,MATCH(M127,$A$19:INDEX($A$19:$A$2018,$E$12),1)))/(INDEX($A$19:$A$2018,MATCH(M127,$A$19:INDEX($A$19:$A$2018,$E$12),1)+1)-INDEX($A$19:$A$2018,MATCH(M127,$A$19:INDEX($A$19:$A$2018,$E$12),1))))))</f>
        <v/>
      </c>
      <c r="Y127">
        <f>IF(X127="","",X127*1000/$B$4)</f>
        <v/>
      </c>
    </row>
    <row r="128">
      <c r="A128" s="10" t="n"/>
      <c r="B128" s="10" t="n"/>
      <c r="C128" s="11">
        <f>IF(A128="","",$B$5*TAN(RADIANS(A128)))</f>
        <v/>
      </c>
      <c r="D128" s="11">
        <f>IF(C128="","",C128*(1+B128/100))</f>
        <v/>
      </c>
      <c r="E128" s="11">
        <f>IF(A128="","",$B$6*TAN(RADIANS(A128)))</f>
        <v/>
      </c>
      <c r="G128" s="12">
        <f>IF(U128="","",T128)</f>
        <v/>
      </c>
      <c r="H128" s="12">
        <f>IF(U128="","",$E$4+V128*COS(RADIANS($E$8))-W128*SIN(RADIANS($E$8)))</f>
        <v/>
      </c>
      <c r="I128" s="12">
        <f>IF(U128="","",$E$5+V128*SIN(RADIANS($E$8))+W128*COS(RADIANS($E$8)))</f>
        <v/>
      </c>
      <c r="J128" s="12">
        <f>IF(H128="","",H128-$B$7)</f>
        <v/>
      </c>
      <c r="K128" s="12">
        <f>IF(I128="","",I128-$B$8)</f>
        <v/>
      </c>
      <c r="L128" s="12">
        <f>IFERROR(SQRT(J128^2+K128^2)*$B$4/1000,"")</f>
        <v/>
      </c>
      <c r="M128" s="12">
        <f>IF(OR($E$13&lt;&gt;"OK",L128=""),"",IF(L128&lt;=$D$19,$A$19,IF(L128&gt;=INDEX($D$19:$D$2018,$E$12),INDEX($A$19:$A$2018,$E$12),INDEX($A$19:$A$2018,MATCH(L128,$D$19:INDEX($D$19:$D$2018,$E$12),1))+(L128-INDEX($D$19:$D$2018,MATCH(L128,$D$19:INDEX($D$19:$D$2018,$E$12),1)))*(INDEX($A$19:$A$2018,MATCH(L128,$D$19:INDEX($D$19:$D$2018,$E$12),1)+1)-INDEX($A$19:$A$2018,MATCH(L128,$D$19:INDEX($D$19:$D$2018,$E$12),1)))/(INDEX($D$19:$D$2018,MATCH(L128,$D$19:INDEX($D$19:$D$2018,$E$12),1)+1)-INDEX($D$19:$D$2018,MATCH(L128,$D$19:INDEX($D$19:$D$2018,$E$12),1))))))</f>
        <v/>
      </c>
      <c r="N128" s="12">
        <f>IF(M128="","",$B$6*TAN(RADIANS(M128)))</f>
        <v/>
      </c>
      <c r="O128" s="12">
        <f>IF(N128="","",IF(L128=0,0,-N128*J128/SQRT(J128^2+K128^2)))</f>
        <v/>
      </c>
      <c r="P128" s="12">
        <f>IF(N128="","",IF(L128=0,0,N128*K128/SQRT(J128^2+K128^2)))</f>
        <v/>
      </c>
      <c r="Q128" s="12">
        <f>IF(N128="","",IF(N128=0,$B$7,$B$7-Y128*O128/N128))</f>
        <v/>
      </c>
      <c r="R128" s="12">
        <f>IF(N128="","",IF(N128=0,$B$8,$B$8+Y128*P128/N128))</f>
        <v/>
      </c>
      <c r="S128" s="12">
        <f>IFERROR(SQRT((Q128-H128)^2+(R128-I128)^2),"")</f>
        <v/>
      </c>
      <c r="T128">
        <f>101</f>
        <v/>
      </c>
      <c r="U128">
        <f>IF(T128&gt;4*$E$9,"",MIN(INT(T128/$E$9)+1,4))</f>
        <v/>
      </c>
      <c r="V128">
        <f>IF(T128=4*$E$9,-$E$6/2,IF(U128="","",CHOOSE(U128,-$E$6/2+MOD(T128,$E$9)/$E$9*$E$6,$E$6/2,$E$6/2-MOD(T128,$E$9)/$E$9*$E$6,-$E$6/2)))</f>
        <v/>
      </c>
      <c r="W128">
        <f>IF(T128=4*$E$9,-$E$7/2,IF(U128="","",CHOOSE(U128,-$E$7/2,-$E$7/2+MOD(T128,$E$9)/$E$9*$E$7,$E$7/2,$E$7/2-MOD(T128,$E$9)/$E$9*$E$7)))</f>
        <v/>
      </c>
      <c r="X128">
        <f>IF(OR($E$13&lt;&gt;"OK",M128=""),"",IF(M128&lt;=$A$19,$D$19,IF(M128&gt;=INDEX($A$19:$A$2018,$E$12),INDEX($D$19:$D$2018,$E$12),INDEX($D$19:$D$2018,MATCH(M128,$A$19:INDEX($A$19:$A$2018,$E$12),1))+(M128-INDEX($A$19:$A$2018,MATCH(M128,$A$19:INDEX($A$19:$A$2018,$E$12),1)))*(INDEX($D$19:$D$2018,MATCH(M128,$A$19:INDEX($A$19:$A$2018,$E$12),1)+1)-INDEX($D$19:$D$2018,MATCH(M128,$A$19:INDEX($A$19:$A$2018,$E$12),1)))/(INDEX($A$19:$A$2018,MATCH(M128,$A$19:INDEX($A$19:$A$2018,$E$12),1)+1)-INDEX($A$19:$A$2018,MATCH(M128,$A$19:INDEX($A$19:$A$2018,$E$12),1))))))</f>
        <v/>
      </c>
      <c r="Y128">
        <f>IF(X128="","",X128*1000/$B$4)</f>
        <v/>
      </c>
    </row>
    <row r="129">
      <c r="A129" s="10" t="n"/>
      <c r="B129" s="10" t="n"/>
      <c r="C129" s="11">
        <f>IF(A129="","",$B$5*TAN(RADIANS(A129)))</f>
        <v/>
      </c>
      <c r="D129" s="11">
        <f>IF(C129="","",C129*(1+B129/100))</f>
        <v/>
      </c>
      <c r="E129" s="11">
        <f>IF(A129="","",$B$6*TAN(RADIANS(A129)))</f>
        <v/>
      </c>
      <c r="G129" s="12">
        <f>IF(U129="","",T129)</f>
        <v/>
      </c>
      <c r="H129" s="12">
        <f>IF(U129="","",$E$4+V129*COS(RADIANS($E$8))-W129*SIN(RADIANS($E$8)))</f>
        <v/>
      </c>
      <c r="I129" s="12">
        <f>IF(U129="","",$E$5+V129*SIN(RADIANS($E$8))+W129*COS(RADIANS($E$8)))</f>
        <v/>
      </c>
      <c r="J129" s="12">
        <f>IF(H129="","",H129-$B$7)</f>
        <v/>
      </c>
      <c r="K129" s="12">
        <f>IF(I129="","",I129-$B$8)</f>
        <v/>
      </c>
      <c r="L129" s="12">
        <f>IFERROR(SQRT(J129^2+K129^2)*$B$4/1000,"")</f>
        <v/>
      </c>
      <c r="M129" s="12">
        <f>IF(OR($E$13&lt;&gt;"OK",L129=""),"",IF(L129&lt;=$D$19,$A$19,IF(L129&gt;=INDEX($D$19:$D$2018,$E$12),INDEX($A$19:$A$2018,$E$12),INDEX($A$19:$A$2018,MATCH(L129,$D$19:INDEX($D$19:$D$2018,$E$12),1))+(L129-INDEX($D$19:$D$2018,MATCH(L129,$D$19:INDEX($D$19:$D$2018,$E$12),1)))*(INDEX($A$19:$A$2018,MATCH(L129,$D$19:INDEX($D$19:$D$2018,$E$12),1)+1)-INDEX($A$19:$A$2018,MATCH(L129,$D$19:INDEX($D$19:$D$2018,$E$12),1)))/(INDEX($D$19:$D$2018,MATCH(L129,$D$19:INDEX($D$19:$D$2018,$E$12),1)+1)-INDEX($D$19:$D$2018,MATCH(L129,$D$19:INDEX($D$19:$D$2018,$E$12),1))))))</f>
        <v/>
      </c>
      <c r="N129" s="12">
        <f>IF(M129="","",$B$6*TAN(RADIANS(M129)))</f>
        <v/>
      </c>
      <c r="O129" s="12">
        <f>IF(N129="","",IF(L129=0,0,-N129*J129/SQRT(J129^2+K129^2)))</f>
        <v/>
      </c>
      <c r="P129" s="12">
        <f>IF(N129="","",IF(L129=0,0,N129*K129/SQRT(J129^2+K129^2)))</f>
        <v/>
      </c>
      <c r="Q129" s="12">
        <f>IF(N129="","",IF(N129=0,$B$7,$B$7-Y129*O129/N129))</f>
        <v/>
      </c>
      <c r="R129" s="12">
        <f>IF(N129="","",IF(N129=0,$B$8,$B$8+Y129*P129/N129))</f>
        <v/>
      </c>
      <c r="S129" s="12">
        <f>IFERROR(SQRT((Q129-H129)^2+(R129-I129)^2),"")</f>
        <v/>
      </c>
      <c r="T129">
        <f>102</f>
        <v/>
      </c>
      <c r="U129">
        <f>IF(T129&gt;4*$E$9,"",MIN(INT(T129/$E$9)+1,4))</f>
        <v/>
      </c>
      <c r="V129">
        <f>IF(T129=4*$E$9,-$E$6/2,IF(U129="","",CHOOSE(U129,-$E$6/2+MOD(T129,$E$9)/$E$9*$E$6,$E$6/2,$E$6/2-MOD(T129,$E$9)/$E$9*$E$6,-$E$6/2)))</f>
        <v/>
      </c>
      <c r="W129">
        <f>IF(T129=4*$E$9,-$E$7/2,IF(U129="","",CHOOSE(U129,-$E$7/2,-$E$7/2+MOD(T129,$E$9)/$E$9*$E$7,$E$7/2,$E$7/2-MOD(T129,$E$9)/$E$9*$E$7)))</f>
        <v/>
      </c>
      <c r="X129">
        <f>IF(OR($E$13&lt;&gt;"OK",M129=""),"",IF(M129&lt;=$A$19,$D$19,IF(M129&gt;=INDEX($A$19:$A$2018,$E$12),INDEX($D$19:$D$2018,$E$12),INDEX($D$19:$D$2018,MATCH(M129,$A$19:INDEX($A$19:$A$2018,$E$12),1))+(M129-INDEX($A$19:$A$2018,MATCH(M129,$A$19:INDEX($A$19:$A$2018,$E$12),1)))*(INDEX($D$19:$D$2018,MATCH(M129,$A$19:INDEX($A$19:$A$2018,$E$12),1)+1)-INDEX($D$19:$D$2018,MATCH(M129,$A$19:INDEX($A$19:$A$2018,$E$12),1)))/(INDEX($A$19:$A$2018,MATCH(M129,$A$19:INDEX($A$19:$A$2018,$E$12),1)+1)-INDEX($A$19:$A$2018,MATCH(M129,$A$19:INDEX($A$19:$A$2018,$E$12),1))))))</f>
        <v/>
      </c>
      <c r="Y129">
        <f>IF(X129="","",X129*1000/$B$4)</f>
        <v/>
      </c>
    </row>
    <row r="130">
      <c r="A130" s="10" t="n"/>
      <c r="B130" s="10" t="n"/>
      <c r="C130" s="11">
        <f>IF(A130="","",$B$5*TAN(RADIANS(A130)))</f>
        <v/>
      </c>
      <c r="D130" s="11">
        <f>IF(C130="","",C130*(1+B130/100))</f>
        <v/>
      </c>
      <c r="E130" s="11">
        <f>IF(A130="","",$B$6*TAN(RADIANS(A130)))</f>
        <v/>
      </c>
      <c r="G130" s="12">
        <f>IF(U130="","",T130)</f>
        <v/>
      </c>
      <c r="H130" s="12">
        <f>IF(U130="","",$E$4+V130*COS(RADIANS($E$8))-W130*SIN(RADIANS($E$8)))</f>
        <v/>
      </c>
      <c r="I130" s="12">
        <f>IF(U130="","",$E$5+V130*SIN(RADIANS($E$8))+W130*COS(RADIANS($E$8)))</f>
        <v/>
      </c>
      <c r="J130" s="12">
        <f>IF(H130="","",H130-$B$7)</f>
        <v/>
      </c>
      <c r="K130" s="12">
        <f>IF(I130="","",I130-$B$8)</f>
        <v/>
      </c>
      <c r="L130" s="12">
        <f>IFERROR(SQRT(J130^2+K130^2)*$B$4/1000,"")</f>
        <v/>
      </c>
      <c r="M130" s="12">
        <f>IF(OR($E$13&lt;&gt;"OK",L130=""),"",IF(L130&lt;=$D$19,$A$19,IF(L130&gt;=INDEX($D$19:$D$2018,$E$12),INDEX($A$19:$A$2018,$E$12),INDEX($A$19:$A$2018,MATCH(L130,$D$19:INDEX($D$19:$D$2018,$E$12),1))+(L130-INDEX($D$19:$D$2018,MATCH(L130,$D$19:INDEX($D$19:$D$2018,$E$12),1)))*(INDEX($A$19:$A$2018,MATCH(L130,$D$19:INDEX($D$19:$D$2018,$E$12),1)+1)-INDEX($A$19:$A$2018,MATCH(L130,$D$19:INDEX($D$19:$D$2018,$E$12),1)))/(INDEX($D$19:$D$2018,MATCH(L130,$D$19:INDEX($D$19:$D$2018,$E$12),1)+1)-INDEX($D$19:$D$2018,MATCH(L130,$D$19:INDEX($D$19:$D$2018,$E$12),1))))))</f>
        <v/>
      </c>
      <c r="N130" s="12">
        <f>IF(M130="","",$B$6*TAN(RADIANS(M130)))</f>
        <v/>
      </c>
      <c r="O130" s="12">
        <f>IF(N130="","",IF(L130=0,0,-N130*J130/SQRT(J130^2+K130^2)))</f>
        <v/>
      </c>
      <c r="P130" s="12">
        <f>IF(N130="","",IF(L130=0,0,N130*K130/SQRT(J130^2+K130^2)))</f>
        <v/>
      </c>
      <c r="Q130" s="12">
        <f>IF(N130="","",IF(N130=0,$B$7,$B$7-Y130*O130/N130))</f>
        <v/>
      </c>
      <c r="R130" s="12">
        <f>IF(N130="","",IF(N130=0,$B$8,$B$8+Y130*P130/N130))</f>
        <v/>
      </c>
      <c r="S130" s="12">
        <f>IFERROR(SQRT((Q130-H130)^2+(R130-I130)^2),"")</f>
        <v/>
      </c>
      <c r="T130">
        <f>103</f>
        <v/>
      </c>
      <c r="U130">
        <f>IF(T130&gt;4*$E$9,"",MIN(INT(T130/$E$9)+1,4))</f>
        <v/>
      </c>
      <c r="V130">
        <f>IF(T130=4*$E$9,-$E$6/2,IF(U130="","",CHOOSE(U130,-$E$6/2+MOD(T130,$E$9)/$E$9*$E$6,$E$6/2,$E$6/2-MOD(T130,$E$9)/$E$9*$E$6,-$E$6/2)))</f>
        <v/>
      </c>
      <c r="W130">
        <f>IF(T130=4*$E$9,-$E$7/2,IF(U130="","",CHOOSE(U130,-$E$7/2,-$E$7/2+MOD(T130,$E$9)/$E$9*$E$7,$E$7/2,$E$7/2-MOD(T130,$E$9)/$E$9*$E$7)))</f>
        <v/>
      </c>
      <c r="X130">
        <f>IF(OR($E$13&lt;&gt;"OK",M130=""),"",IF(M130&lt;=$A$19,$D$19,IF(M130&gt;=INDEX($A$19:$A$2018,$E$12),INDEX($D$19:$D$2018,$E$12),INDEX($D$19:$D$2018,MATCH(M130,$A$19:INDEX($A$19:$A$2018,$E$12),1))+(M130-INDEX($A$19:$A$2018,MATCH(M130,$A$19:INDEX($A$19:$A$2018,$E$12),1)))*(INDEX($D$19:$D$2018,MATCH(M130,$A$19:INDEX($A$19:$A$2018,$E$12),1)+1)-INDEX($D$19:$D$2018,MATCH(M130,$A$19:INDEX($A$19:$A$2018,$E$12),1)))/(INDEX($A$19:$A$2018,MATCH(M130,$A$19:INDEX($A$19:$A$2018,$E$12),1)+1)-INDEX($A$19:$A$2018,MATCH(M130,$A$19:INDEX($A$19:$A$2018,$E$12),1))))))</f>
        <v/>
      </c>
      <c r="Y130">
        <f>IF(X130="","",X130*1000/$B$4)</f>
        <v/>
      </c>
    </row>
    <row r="131">
      <c r="A131" s="10" t="n"/>
      <c r="B131" s="10" t="n"/>
      <c r="C131" s="11">
        <f>IF(A131="","",$B$5*TAN(RADIANS(A131)))</f>
        <v/>
      </c>
      <c r="D131" s="11">
        <f>IF(C131="","",C131*(1+B131/100))</f>
        <v/>
      </c>
      <c r="E131" s="11">
        <f>IF(A131="","",$B$6*TAN(RADIANS(A131)))</f>
        <v/>
      </c>
      <c r="G131" s="12">
        <f>IF(U131="","",T131)</f>
        <v/>
      </c>
      <c r="H131" s="12">
        <f>IF(U131="","",$E$4+V131*COS(RADIANS($E$8))-W131*SIN(RADIANS($E$8)))</f>
        <v/>
      </c>
      <c r="I131" s="12">
        <f>IF(U131="","",$E$5+V131*SIN(RADIANS($E$8))+W131*COS(RADIANS($E$8)))</f>
        <v/>
      </c>
      <c r="J131" s="12">
        <f>IF(H131="","",H131-$B$7)</f>
        <v/>
      </c>
      <c r="K131" s="12">
        <f>IF(I131="","",I131-$B$8)</f>
        <v/>
      </c>
      <c r="L131" s="12">
        <f>IFERROR(SQRT(J131^2+K131^2)*$B$4/1000,"")</f>
        <v/>
      </c>
      <c r="M131" s="12">
        <f>IF(OR($E$13&lt;&gt;"OK",L131=""),"",IF(L131&lt;=$D$19,$A$19,IF(L131&gt;=INDEX($D$19:$D$2018,$E$12),INDEX($A$19:$A$2018,$E$12),INDEX($A$19:$A$2018,MATCH(L131,$D$19:INDEX($D$19:$D$2018,$E$12),1))+(L131-INDEX($D$19:$D$2018,MATCH(L131,$D$19:INDEX($D$19:$D$2018,$E$12),1)))*(INDEX($A$19:$A$2018,MATCH(L131,$D$19:INDEX($D$19:$D$2018,$E$12),1)+1)-INDEX($A$19:$A$2018,MATCH(L131,$D$19:INDEX($D$19:$D$2018,$E$12),1)))/(INDEX($D$19:$D$2018,MATCH(L131,$D$19:INDEX($D$19:$D$2018,$E$12),1)+1)-INDEX($D$19:$D$2018,MATCH(L131,$D$19:INDEX($D$19:$D$2018,$E$12),1))))))</f>
        <v/>
      </c>
      <c r="N131" s="12">
        <f>IF(M131="","",$B$6*TAN(RADIANS(M131)))</f>
        <v/>
      </c>
      <c r="O131" s="12">
        <f>IF(N131="","",IF(L131=0,0,-N131*J131/SQRT(J131^2+K131^2)))</f>
        <v/>
      </c>
      <c r="P131" s="12">
        <f>IF(N131="","",IF(L131=0,0,N131*K131/SQRT(J131^2+K131^2)))</f>
        <v/>
      </c>
      <c r="Q131" s="12">
        <f>IF(N131="","",IF(N131=0,$B$7,$B$7-Y131*O131/N131))</f>
        <v/>
      </c>
      <c r="R131" s="12">
        <f>IF(N131="","",IF(N131=0,$B$8,$B$8+Y131*P131/N131))</f>
        <v/>
      </c>
      <c r="S131" s="12">
        <f>IFERROR(SQRT((Q131-H131)^2+(R131-I131)^2),"")</f>
        <v/>
      </c>
      <c r="T131">
        <f>104</f>
        <v/>
      </c>
      <c r="U131">
        <f>IF(T131&gt;4*$E$9,"",MIN(INT(T131/$E$9)+1,4))</f>
        <v/>
      </c>
      <c r="V131">
        <f>IF(T131=4*$E$9,-$E$6/2,IF(U131="","",CHOOSE(U131,-$E$6/2+MOD(T131,$E$9)/$E$9*$E$6,$E$6/2,$E$6/2-MOD(T131,$E$9)/$E$9*$E$6,-$E$6/2)))</f>
        <v/>
      </c>
      <c r="W131">
        <f>IF(T131=4*$E$9,-$E$7/2,IF(U131="","",CHOOSE(U131,-$E$7/2,-$E$7/2+MOD(T131,$E$9)/$E$9*$E$7,$E$7/2,$E$7/2-MOD(T131,$E$9)/$E$9*$E$7)))</f>
        <v/>
      </c>
      <c r="X131">
        <f>IF(OR($E$13&lt;&gt;"OK",M131=""),"",IF(M131&lt;=$A$19,$D$19,IF(M131&gt;=INDEX($A$19:$A$2018,$E$12),INDEX($D$19:$D$2018,$E$12),INDEX($D$19:$D$2018,MATCH(M131,$A$19:INDEX($A$19:$A$2018,$E$12),1))+(M131-INDEX($A$19:$A$2018,MATCH(M131,$A$19:INDEX($A$19:$A$2018,$E$12),1)))*(INDEX($D$19:$D$2018,MATCH(M131,$A$19:INDEX($A$19:$A$2018,$E$12),1)+1)-INDEX($D$19:$D$2018,MATCH(M131,$A$19:INDEX($A$19:$A$2018,$E$12),1)))/(INDEX($A$19:$A$2018,MATCH(M131,$A$19:INDEX($A$19:$A$2018,$E$12),1)+1)-INDEX($A$19:$A$2018,MATCH(M131,$A$19:INDEX($A$19:$A$2018,$E$12),1))))))</f>
        <v/>
      </c>
      <c r="Y131">
        <f>IF(X131="","",X131*1000/$B$4)</f>
        <v/>
      </c>
    </row>
    <row r="132">
      <c r="A132" s="10" t="n"/>
      <c r="B132" s="10" t="n"/>
      <c r="C132" s="11">
        <f>IF(A132="","",$B$5*TAN(RADIANS(A132)))</f>
        <v/>
      </c>
      <c r="D132" s="11">
        <f>IF(C132="","",C132*(1+B132/100))</f>
        <v/>
      </c>
      <c r="E132" s="11">
        <f>IF(A132="","",$B$6*TAN(RADIANS(A132)))</f>
        <v/>
      </c>
      <c r="G132" s="12">
        <f>IF(U132="","",T132)</f>
        <v/>
      </c>
      <c r="H132" s="12">
        <f>IF(U132="","",$E$4+V132*COS(RADIANS($E$8))-W132*SIN(RADIANS($E$8)))</f>
        <v/>
      </c>
      <c r="I132" s="12">
        <f>IF(U132="","",$E$5+V132*SIN(RADIANS($E$8))+W132*COS(RADIANS($E$8)))</f>
        <v/>
      </c>
      <c r="J132" s="12">
        <f>IF(H132="","",H132-$B$7)</f>
        <v/>
      </c>
      <c r="K132" s="12">
        <f>IF(I132="","",I132-$B$8)</f>
        <v/>
      </c>
      <c r="L132" s="12">
        <f>IFERROR(SQRT(J132^2+K132^2)*$B$4/1000,"")</f>
        <v/>
      </c>
      <c r="M132" s="12">
        <f>IF(OR($E$13&lt;&gt;"OK",L132=""),"",IF(L132&lt;=$D$19,$A$19,IF(L132&gt;=INDEX($D$19:$D$2018,$E$12),INDEX($A$19:$A$2018,$E$12),INDEX($A$19:$A$2018,MATCH(L132,$D$19:INDEX($D$19:$D$2018,$E$12),1))+(L132-INDEX($D$19:$D$2018,MATCH(L132,$D$19:INDEX($D$19:$D$2018,$E$12),1)))*(INDEX($A$19:$A$2018,MATCH(L132,$D$19:INDEX($D$19:$D$2018,$E$12),1)+1)-INDEX($A$19:$A$2018,MATCH(L132,$D$19:INDEX($D$19:$D$2018,$E$12),1)))/(INDEX($D$19:$D$2018,MATCH(L132,$D$19:INDEX($D$19:$D$2018,$E$12),1)+1)-INDEX($D$19:$D$2018,MATCH(L132,$D$19:INDEX($D$19:$D$2018,$E$12),1))))))</f>
        <v/>
      </c>
      <c r="N132" s="12">
        <f>IF(M132="","",$B$6*TAN(RADIANS(M132)))</f>
        <v/>
      </c>
      <c r="O132" s="12">
        <f>IF(N132="","",IF(L132=0,0,-N132*J132/SQRT(J132^2+K132^2)))</f>
        <v/>
      </c>
      <c r="P132" s="12">
        <f>IF(N132="","",IF(L132=0,0,N132*K132/SQRT(J132^2+K132^2)))</f>
        <v/>
      </c>
      <c r="Q132" s="12">
        <f>IF(N132="","",IF(N132=0,$B$7,$B$7-Y132*O132/N132))</f>
        <v/>
      </c>
      <c r="R132" s="12">
        <f>IF(N132="","",IF(N132=0,$B$8,$B$8+Y132*P132/N132))</f>
        <v/>
      </c>
      <c r="S132" s="12">
        <f>IFERROR(SQRT((Q132-H132)^2+(R132-I132)^2),"")</f>
        <v/>
      </c>
      <c r="T132">
        <f>105</f>
        <v/>
      </c>
      <c r="U132">
        <f>IF(T132&gt;4*$E$9,"",MIN(INT(T132/$E$9)+1,4))</f>
        <v/>
      </c>
      <c r="V132">
        <f>IF(T132=4*$E$9,-$E$6/2,IF(U132="","",CHOOSE(U132,-$E$6/2+MOD(T132,$E$9)/$E$9*$E$6,$E$6/2,$E$6/2-MOD(T132,$E$9)/$E$9*$E$6,-$E$6/2)))</f>
        <v/>
      </c>
      <c r="W132">
        <f>IF(T132=4*$E$9,-$E$7/2,IF(U132="","",CHOOSE(U132,-$E$7/2,-$E$7/2+MOD(T132,$E$9)/$E$9*$E$7,$E$7/2,$E$7/2-MOD(T132,$E$9)/$E$9*$E$7)))</f>
        <v/>
      </c>
      <c r="X132">
        <f>IF(OR($E$13&lt;&gt;"OK",M132=""),"",IF(M132&lt;=$A$19,$D$19,IF(M132&gt;=INDEX($A$19:$A$2018,$E$12),INDEX($D$19:$D$2018,$E$12),INDEX($D$19:$D$2018,MATCH(M132,$A$19:INDEX($A$19:$A$2018,$E$12),1))+(M132-INDEX($A$19:$A$2018,MATCH(M132,$A$19:INDEX($A$19:$A$2018,$E$12),1)))*(INDEX($D$19:$D$2018,MATCH(M132,$A$19:INDEX($A$19:$A$2018,$E$12),1)+1)-INDEX($D$19:$D$2018,MATCH(M132,$A$19:INDEX($A$19:$A$2018,$E$12),1)))/(INDEX($A$19:$A$2018,MATCH(M132,$A$19:INDEX($A$19:$A$2018,$E$12),1)+1)-INDEX($A$19:$A$2018,MATCH(M132,$A$19:INDEX($A$19:$A$2018,$E$12),1))))))</f>
        <v/>
      </c>
      <c r="Y132">
        <f>IF(X132="","",X132*1000/$B$4)</f>
        <v/>
      </c>
    </row>
    <row r="133">
      <c r="A133" s="10" t="n"/>
      <c r="B133" s="10" t="n"/>
      <c r="C133" s="11">
        <f>IF(A133="","",$B$5*TAN(RADIANS(A133)))</f>
        <v/>
      </c>
      <c r="D133" s="11">
        <f>IF(C133="","",C133*(1+B133/100))</f>
        <v/>
      </c>
      <c r="E133" s="11">
        <f>IF(A133="","",$B$6*TAN(RADIANS(A133)))</f>
        <v/>
      </c>
      <c r="G133" s="12">
        <f>IF(U133="","",T133)</f>
        <v/>
      </c>
      <c r="H133" s="12">
        <f>IF(U133="","",$E$4+V133*COS(RADIANS($E$8))-W133*SIN(RADIANS($E$8)))</f>
        <v/>
      </c>
      <c r="I133" s="12">
        <f>IF(U133="","",$E$5+V133*SIN(RADIANS($E$8))+W133*COS(RADIANS($E$8)))</f>
        <v/>
      </c>
      <c r="J133" s="12">
        <f>IF(H133="","",H133-$B$7)</f>
        <v/>
      </c>
      <c r="K133" s="12">
        <f>IF(I133="","",I133-$B$8)</f>
        <v/>
      </c>
      <c r="L133" s="12">
        <f>IFERROR(SQRT(J133^2+K133^2)*$B$4/1000,"")</f>
        <v/>
      </c>
      <c r="M133" s="12">
        <f>IF(OR($E$13&lt;&gt;"OK",L133=""),"",IF(L133&lt;=$D$19,$A$19,IF(L133&gt;=INDEX($D$19:$D$2018,$E$12),INDEX($A$19:$A$2018,$E$12),INDEX($A$19:$A$2018,MATCH(L133,$D$19:INDEX($D$19:$D$2018,$E$12),1))+(L133-INDEX($D$19:$D$2018,MATCH(L133,$D$19:INDEX($D$19:$D$2018,$E$12),1)))*(INDEX($A$19:$A$2018,MATCH(L133,$D$19:INDEX($D$19:$D$2018,$E$12),1)+1)-INDEX($A$19:$A$2018,MATCH(L133,$D$19:INDEX($D$19:$D$2018,$E$12),1)))/(INDEX($D$19:$D$2018,MATCH(L133,$D$19:INDEX($D$19:$D$2018,$E$12),1)+1)-INDEX($D$19:$D$2018,MATCH(L133,$D$19:INDEX($D$19:$D$2018,$E$12),1))))))</f>
        <v/>
      </c>
      <c r="N133" s="12">
        <f>IF(M133="","",$B$6*TAN(RADIANS(M133)))</f>
        <v/>
      </c>
      <c r="O133" s="12">
        <f>IF(N133="","",IF(L133=0,0,-N133*J133/SQRT(J133^2+K133^2)))</f>
        <v/>
      </c>
      <c r="P133" s="12">
        <f>IF(N133="","",IF(L133=0,0,N133*K133/SQRT(J133^2+K133^2)))</f>
        <v/>
      </c>
      <c r="Q133" s="12">
        <f>IF(N133="","",IF(N133=0,$B$7,$B$7-Y133*O133/N133))</f>
        <v/>
      </c>
      <c r="R133" s="12">
        <f>IF(N133="","",IF(N133=0,$B$8,$B$8+Y133*P133/N133))</f>
        <v/>
      </c>
      <c r="S133" s="12">
        <f>IFERROR(SQRT((Q133-H133)^2+(R133-I133)^2),"")</f>
        <v/>
      </c>
      <c r="T133">
        <f>106</f>
        <v/>
      </c>
      <c r="U133">
        <f>IF(T133&gt;4*$E$9,"",MIN(INT(T133/$E$9)+1,4))</f>
        <v/>
      </c>
      <c r="V133">
        <f>IF(T133=4*$E$9,-$E$6/2,IF(U133="","",CHOOSE(U133,-$E$6/2+MOD(T133,$E$9)/$E$9*$E$6,$E$6/2,$E$6/2-MOD(T133,$E$9)/$E$9*$E$6,-$E$6/2)))</f>
        <v/>
      </c>
      <c r="W133">
        <f>IF(T133=4*$E$9,-$E$7/2,IF(U133="","",CHOOSE(U133,-$E$7/2,-$E$7/2+MOD(T133,$E$9)/$E$9*$E$7,$E$7/2,$E$7/2-MOD(T133,$E$9)/$E$9*$E$7)))</f>
        <v/>
      </c>
      <c r="X133">
        <f>IF(OR($E$13&lt;&gt;"OK",M133=""),"",IF(M133&lt;=$A$19,$D$19,IF(M133&gt;=INDEX($A$19:$A$2018,$E$12),INDEX($D$19:$D$2018,$E$12),INDEX($D$19:$D$2018,MATCH(M133,$A$19:INDEX($A$19:$A$2018,$E$12),1))+(M133-INDEX($A$19:$A$2018,MATCH(M133,$A$19:INDEX($A$19:$A$2018,$E$12),1)))*(INDEX($D$19:$D$2018,MATCH(M133,$A$19:INDEX($A$19:$A$2018,$E$12),1)+1)-INDEX($D$19:$D$2018,MATCH(M133,$A$19:INDEX($A$19:$A$2018,$E$12),1)))/(INDEX($A$19:$A$2018,MATCH(M133,$A$19:INDEX($A$19:$A$2018,$E$12),1)+1)-INDEX($A$19:$A$2018,MATCH(M133,$A$19:INDEX($A$19:$A$2018,$E$12),1))))))</f>
        <v/>
      </c>
      <c r="Y133">
        <f>IF(X133="","",X133*1000/$B$4)</f>
        <v/>
      </c>
    </row>
    <row r="134">
      <c r="A134" s="10" t="n"/>
      <c r="B134" s="10" t="n"/>
      <c r="C134" s="11">
        <f>IF(A134="","",$B$5*TAN(RADIANS(A134)))</f>
        <v/>
      </c>
      <c r="D134" s="11">
        <f>IF(C134="","",C134*(1+B134/100))</f>
        <v/>
      </c>
      <c r="E134" s="11">
        <f>IF(A134="","",$B$6*TAN(RADIANS(A134)))</f>
        <v/>
      </c>
      <c r="G134" s="12">
        <f>IF(U134="","",T134)</f>
        <v/>
      </c>
      <c r="H134" s="12">
        <f>IF(U134="","",$E$4+V134*COS(RADIANS($E$8))-W134*SIN(RADIANS($E$8)))</f>
        <v/>
      </c>
      <c r="I134" s="12">
        <f>IF(U134="","",$E$5+V134*SIN(RADIANS($E$8))+W134*COS(RADIANS($E$8)))</f>
        <v/>
      </c>
      <c r="J134" s="12">
        <f>IF(H134="","",H134-$B$7)</f>
        <v/>
      </c>
      <c r="K134" s="12">
        <f>IF(I134="","",I134-$B$8)</f>
        <v/>
      </c>
      <c r="L134" s="12">
        <f>IFERROR(SQRT(J134^2+K134^2)*$B$4/1000,"")</f>
        <v/>
      </c>
      <c r="M134" s="12">
        <f>IF(OR($E$13&lt;&gt;"OK",L134=""),"",IF(L134&lt;=$D$19,$A$19,IF(L134&gt;=INDEX($D$19:$D$2018,$E$12),INDEX($A$19:$A$2018,$E$12),INDEX($A$19:$A$2018,MATCH(L134,$D$19:INDEX($D$19:$D$2018,$E$12),1))+(L134-INDEX($D$19:$D$2018,MATCH(L134,$D$19:INDEX($D$19:$D$2018,$E$12),1)))*(INDEX($A$19:$A$2018,MATCH(L134,$D$19:INDEX($D$19:$D$2018,$E$12),1)+1)-INDEX($A$19:$A$2018,MATCH(L134,$D$19:INDEX($D$19:$D$2018,$E$12),1)))/(INDEX($D$19:$D$2018,MATCH(L134,$D$19:INDEX($D$19:$D$2018,$E$12),1)+1)-INDEX($D$19:$D$2018,MATCH(L134,$D$19:INDEX($D$19:$D$2018,$E$12),1))))))</f>
        <v/>
      </c>
      <c r="N134" s="12">
        <f>IF(M134="","",$B$6*TAN(RADIANS(M134)))</f>
        <v/>
      </c>
      <c r="O134" s="12">
        <f>IF(N134="","",IF(L134=0,0,-N134*J134/SQRT(J134^2+K134^2)))</f>
        <v/>
      </c>
      <c r="P134" s="12">
        <f>IF(N134="","",IF(L134=0,0,N134*K134/SQRT(J134^2+K134^2)))</f>
        <v/>
      </c>
      <c r="Q134" s="12">
        <f>IF(N134="","",IF(N134=0,$B$7,$B$7-Y134*O134/N134))</f>
        <v/>
      </c>
      <c r="R134" s="12">
        <f>IF(N134="","",IF(N134=0,$B$8,$B$8+Y134*P134/N134))</f>
        <v/>
      </c>
      <c r="S134" s="12">
        <f>IFERROR(SQRT((Q134-H134)^2+(R134-I134)^2),"")</f>
        <v/>
      </c>
      <c r="T134">
        <f>107</f>
        <v/>
      </c>
      <c r="U134">
        <f>IF(T134&gt;4*$E$9,"",MIN(INT(T134/$E$9)+1,4))</f>
        <v/>
      </c>
      <c r="V134">
        <f>IF(T134=4*$E$9,-$E$6/2,IF(U134="","",CHOOSE(U134,-$E$6/2+MOD(T134,$E$9)/$E$9*$E$6,$E$6/2,$E$6/2-MOD(T134,$E$9)/$E$9*$E$6,-$E$6/2)))</f>
        <v/>
      </c>
      <c r="W134">
        <f>IF(T134=4*$E$9,-$E$7/2,IF(U134="","",CHOOSE(U134,-$E$7/2,-$E$7/2+MOD(T134,$E$9)/$E$9*$E$7,$E$7/2,$E$7/2-MOD(T134,$E$9)/$E$9*$E$7)))</f>
        <v/>
      </c>
      <c r="X134">
        <f>IF(OR($E$13&lt;&gt;"OK",M134=""),"",IF(M134&lt;=$A$19,$D$19,IF(M134&gt;=INDEX($A$19:$A$2018,$E$12),INDEX($D$19:$D$2018,$E$12),INDEX($D$19:$D$2018,MATCH(M134,$A$19:INDEX($A$19:$A$2018,$E$12),1))+(M134-INDEX($A$19:$A$2018,MATCH(M134,$A$19:INDEX($A$19:$A$2018,$E$12),1)))*(INDEX($D$19:$D$2018,MATCH(M134,$A$19:INDEX($A$19:$A$2018,$E$12),1)+1)-INDEX($D$19:$D$2018,MATCH(M134,$A$19:INDEX($A$19:$A$2018,$E$12),1)))/(INDEX($A$19:$A$2018,MATCH(M134,$A$19:INDEX($A$19:$A$2018,$E$12),1)+1)-INDEX($A$19:$A$2018,MATCH(M134,$A$19:INDEX($A$19:$A$2018,$E$12),1))))))</f>
        <v/>
      </c>
      <c r="Y134">
        <f>IF(X134="","",X134*1000/$B$4)</f>
        <v/>
      </c>
    </row>
    <row r="135">
      <c r="A135" s="10" t="n"/>
      <c r="B135" s="10" t="n"/>
      <c r="C135" s="11">
        <f>IF(A135="","",$B$5*TAN(RADIANS(A135)))</f>
        <v/>
      </c>
      <c r="D135" s="11">
        <f>IF(C135="","",C135*(1+B135/100))</f>
        <v/>
      </c>
      <c r="E135" s="11">
        <f>IF(A135="","",$B$6*TAN(RADIANS(A135)))</f>
        <v/>
      </c>
      <c r="G135" s="12">
        <f>IF(U135="","",T135)</f>
        <v/>
      </c>
      <c r="H135" s="12">
        <f>IF(U135="","",$E$4+V135*COS(RADIANS($E$8))-W135*SIN(RADIANS($E$8)))</f>
        <v/>
      </c>
      <c r="I135" s="12">
        <f>IF(U135="","",$E$5+V135*SIN(RADIANS($E$8))+W135*COS(RADIANS($E$8)))</f>
        <v/>
      </c>
      <c r="J135" s="12">
        <f>IF(H135="","",H135-$B$7)</f>
        <v/>
      </c>
      <c r="K135" s="12">
        <f>IF(I135="","",I135-$B$8)</f>
        <v/>
      </c>
      <c r="L135" s="12">
        <f>IFERROR(SQRT(J135^2+K135^2)*$B$4/1000,"")</f>
        <v/>
      </c>
      <c r="M135" s="12">
        <f>IF(OR($E$13&lt;&gt;"OK",L135=""),"",IF(L135&lt;=$D$19,$A$19,IF(L135&gt;=INDEX($D$19:$D$2018,$E$12),INDEX($A$19:$A$2018,$E$12),INDEX($A$19:$A$2018,MATCH(L135,$D$19:INDEX($D$19:$D$2018,$E$12),1))+(L135-INDEX($D$19:$D$2018,MATCH(L135,$D$19:INDEX($D$19:$D$2018,$E$12),1)))*(INDEX($A$19:$A$2018,MATCH(L135,$D$19:INDEX($D$19:$D$2018,$E$12),1)+1)-INDEX($A$19:$A$2018,MATCH(L135,$D$19:INDEX($D$19:$D$2018,$E$12),1)))/(INDEX($D$19:$D$2018,MATCH(L135,$D$19:INDEX($D$19:$D$2018,$E$12),1)+1)-INDEX($D$19:$D$2018,MATCH(L135,$D$19:INDEX($D$19:$D$2018,$E$12),1))))))</f>
        <v/>
      </c>
      <c r="N135" s="12">
        <f>IF(M135="","",$B$6*TAN(RADIANS(M135)))</f>
        <v/>
      </c>
      <c r="O135" s="12">
        <f>IF(N135="","",IF(L135=0,0,-N135*J135/SQRT(J135^2+K135^2)))</f>
        <v/>
      </c>
      <c r="P135" s="12">
        <f>IF(N135="","",IF(L135=0,0,N135*K135/SQRT(J135^2+K135^2)))</f>
        <v/>
      </c>
      <c r="Q135" s="12">
        <f>IF(N135="","",IF(N135=0,$B$7,$B$7-Y135*O135/N135))</f>
        <v/>
      </c>
      <c r="R135" s="12">
        <f>IF(N135="","",IF(N135=0,$B$8,$B$8+Y135*P135/N135))</f>
        <v/>
      </c>
      <c r="S135" s="12">
        <f>IFERROR(SQRT((Q135-H135)^2+(R135-I135)^2),"")</f>
        <v/>
      </c>
      <c r="T135">
        <f>108</f>
        <v/>
      </c>
      <c r="U135">
        <f>IF(T135&gt;4*$E$9,"",MIN(INT(T135/$E$9)+1,4))</f>
        <v/>
      </c>
      <c r="V135">
        <f>IF(T135=4*$E$9,-$E$6/2,IF(U135="","",CHOOSE(U135,-$E$6/2+MOD(T135,$E$9)/$E$9*$E$6,$E$6/2,$E$6/2-MOD(T135,$E$9)/$E$9*$E$6,-$E$6/2)))</f>
        <v/>
      </c>
      <c r="W135">
        <f>IF(T135=4*$E$9,-$E$7/2,IF(U135="","",CHOOSE(U135,-$E$7/2,-$E$7/2+MOD(T135,$E$9)/$E$9*$E$7,$E$7/2,$E$7/2-MOD(T135,$E$9)/$E$9*$E$7)))</f>
        <v/>
      </c>
      <c r="X135">
        <f>IF(OR($E$13&lt;&gt;"OK",M135=""),"",IF(M135&lt;=$A$19,$D$19,IF(M135&gt;=INDEX($A$19:$A$2018,$E$12),INDEX($D$19:$D$2018,$E$12),INDEX($D$19:$D$2018,MATCH(M135,$A$19:INDEX($A$19:$A$2018,$E$12),1))+(M135-INDEX($A$19:$A$2018,MATCH(M135,$A$19:INDEX($A$19:$A$2018,$E$12),1)))*(INDEX($D$19:$D$2018,MATCH(M135,$A$19:INDEX($A$19:$A$2018,$E$12),1)+1)-INDEX($D$19:$D$2018,MATCH(M135,$A$19:INDEX($A$19:$A$2018,$E$12),1)))/(INDEX($A$19:$A$2018,MATCH(M135,$A$19:INDEX($A$19:$A$2018,$E$12),1)+1)-INDEX($A$19:$A$2018,MATCH(M135,$A$19:INDEX($A$19:$A$2018,$E$12),1))))))</f>
        <v/>
      </c>
      <c r="Y135">
        <f>IF(X135="","",X135*1000/$B$4)</f>
        <v/>
      </c>
    </row>
    <row r="136">
      <c r="A136" s="10" t="n"/>
      <c r="B136" s="10" t="n"/>
      <c r="C136" s="11">
        <f>IF(A136="","",$B$5*TAN(RADIANS(A136)))</f>
        <v/>
      </c>
      <c r="D136" s="11">
        <f>IF(C136="","",C136*(1+B136/100))</f>
        <v/>
      </c>
      <c r="E136" s="11">
        <f>IF(A136="","",$B$6*TAN(RADIANS(A136)))</f>
        <v/>
      </c>
      <c r="G136" s="12">
        <f>IF(U136="","",T136)</f>
        <v/>
      </c>
      <c r="H136" s="12">
        <f>IF(U136="","",$E$4+V136*COS(RADIANS($E$8))-W136*SIN(RADIANS($E$8)))</f>
        <v/>
      </c>
      <c r="I136" s="12">
        <f>IF(U136="","",$E$5+V136*SIN(RADIANS($E$8))+W136*COS(RADIANS($E$8)))</f>
        <v/>
      </c>
      <c r="J136" s="12">
        <f>IF(H136="","",H136-$B$7)</f>
        <v/>
      </c>
      <c r="K136" s="12">
        <f>IF(I136="","",I136-$B$8)</f>
        <v/>
      </c>
      <c r="L136" s="12">
        <f>IFERROR(SQRT(J136^2+K136^2)*$B$4/1000,"")</f>
        <v/>
      </c>
      <c r="M136" s="12">
        <f>IF(OR($E$13&lt;&gt;"OK",L136=""),"",IF(L136&lt;=$D$19,$A$19,IF(L136&gt;=INDEX($D$19:$D$2018,$E$12),INDEX($A$19:$A$2018,$E$12),INDEX($A$19:$A$2018,MATCH(L136,$D$19:INDEX($D$19:$D$2018,$E$12),1))+(L136-INDEX($D$19:$D$2018,MATCH(L136,$D$19:INDEX($D$19:$D$2018,$E$12),1)))*(INDEX($A$19:$A$2018,MATCH(L136,$D$19:INDEX($D$19:$D$2018,$E$12),1)+1)-INDEX($A$19:$A$2018,MATCH(L136,$D$19:INDEX($D$19:$D$2018,$E$12),1)))/(INDEX($D$19:$D$2018,MATCH(L136,$D$19:INDEX($D$19:$D$2018,$E$12),1)+1)-INDEX($D$19:$D$2018,MATCH(L136,$D$19:INDEX($D$19:$D$2018,$E$12),1))))))</f>
        <v/>
      </c>
      <c r="N136" s="12">
        <f>IF(M136="","",$B$6*TAN(RADIANS(M136)))</f>
        <v/>
      </c>
      <c r="O136" s="12">
        <f>IF(N136="","",IF(L136=0,0,-N136*J136/SQRT(J136^2+K136^2)))</f>
        <v/>
      </c>
      <c r="P136" s="12">
        <f>IF(N136="","",IF(L136=0,0,N136*K136/SQRT(J136^2+K136^2)))</f>
        <v/>
      </c>
      <c r="Q136" s="12">
        <f>IF(N136="","",IF(N136=0,$B$7,$B$7-Y136*O136/N136))</f>
        <v/>
      </c>
      <c r="R136" s="12">
        <f>IF(N136="","",IF(N136=0,$B$8,$B$8+Y136*P136/N136))</f>
        <v/>
      </c>
      <c r="S136" s="12">
        <f>IFERROR(SQRT((Q136-H136)^2+(R136-I136)^2),"")</f>
        <v/>
      </c>
      <c r="T136">
        <f>109</f>
        <v/>
      </c>
      <c r="U136">
        <f>IF(T136&gt;4*$E$9,"",MIN(INT(T136/$E$9)+1,4))</f>
        <v/>
      </c>
      <c r="V136">
        <f>IF(T136=4*$E$9,-$E$6/2,IF(U136="","",CHOOSE(U136,-$E$6/2+MOD(T136,$E$9)/$E$9*$E$6,$E$6/2,$E$6/2-MOD(T136,$E$9)/$E$9*$E$6,-$E$6/2)))</f>
        <v/>
      </c>
      <c r="W136">
        <f>IF(T136=4*$E$9,-$E$7/2,IF(U136="","",CHOOSE(U136,-$E$7/2,-$E$7/2+MOD(T136,$E$9)/$E$9*$E$7,$E$7/2,$E$7/2-MOD(T136,$E$9)/$E$9*$E$7)))</f>
        <v/>
      </c>
      <c r="X136">
        <f>IF(OR($E$13&lt;&gt;"OK",M136=""),"",IF(M136&lt;=$A$19,$D$19,IF(M136&gt;=INDEX($A$19:$A$2018,$E$12),INDEX($D$19:$D$2018,$E$12),INDEX($D$19:$D$2018,MATCH(M136,$A$19:INDEX($A$19:$A$2018,$E$12),1))+(M136-INDEX($A$19:$A$2018,MATCH(M136,$A$19:INDEX($A$19:$A$2018,$E$12),1)))*(INDEX($D$19:$D$2018,MATCH(M136,$A$19:INDEX($A$19:$A$2018,$E$12),1)+1)-INDEX($D$19:$D$2018,MATCH(M136,$A$19:INDEX($A$19:$A$2018,$E$12),1)))/(INDEX($A$19:$A$2018,MATCH(M136,$A$19:INDEX($A$19:$A$2018,$E$12),1)+1)-INDEX($A$19:$A$2018,MATCH(M136,$A$19:INDEX($A$19:$A$2018,$E$12),1))))))</f>
        <v/>
      </c>
      <c r="Y136">
        <f>IF(X136="","",X136*1000/$B$4)</f>
        <v/>
      </c>
    </row>
    <row r="137">
      <c r="A137" s="10" t="n"/>
      <c r="B137" s="10" t="n"/>
      <c r="C137" s="11">
        <f>IF(A137="","",$B$5*TAN(RADIANS(A137)))</f>
        <v/>
      </c>
      <c r="D137" s="11">
        <f>IF(C137="","",C137*(1+B137/100))</f>
        <v/>
      </c>
      <c r="E137" s="11">
        <f>IF(A137="","",$B$6*TAN(RADIANS(A137)))</f>
        <v/>
      </c>
      <c r="G137" s="12">
        <f>IF(U137="","",T137)</f>
        <v/>
      </c>
      <c r="H137" s="12">
        <f>IF(U137="","",$E$4+V137*COS(RADIANS($E$8))-W137*SIN(RADIANS($E$8)))</f>
        <v/>
      </c>
      <c r="I137" s="12">
        <f>IF(U137="","",$E$5+V137*SIN(RADIANS($E$8))+W137*COS(RADIANS($E$8)))</f>
        <v/>
      </c>
      <c r="J137" s="12">
        <f>IF(H137="","",H137-$B$7)</f>
        <v/>
      </c>
      <c r="K137" s="12">
        <f>IF(I137="","",I137-$B$8)</f>
        <v/>
      </c>
      <c r="L137" s="12">
        <f>IFERROR(SQRT(J137^2+K137^2)*$B$4/1000,"")</f>
        <v/>
      </c>
      <c r="M137" s="12">
        <f>IF(OR($E$13&lt;&gt;"OK",L137=""),"",IF(L137&lt;=$D$19,$A$19,IF(L137&gt;=INDEX($D$19:$D$2018,$E$12),INDEX($A$19:$A$2018,$E$12),INDEX($A$19:$A$2018,MATCH(L137,$D$19:INDEX($D$19:$D$2018,$E$12),1))+(L137-INDEX($D$19:$D$2018,MATCH(L137,$D$19:INDEX($D$19:$D$2018,$E$12),1)))*(INDEX($A$19:$A$2018,MATCH(L137,$D$19:INDEX($D$19:$D$2018,$E$12),1)+1)-INDEX($A$19:$A$2018,MATCH(L137,$D$19:INDEX($D$19:$D$2018,$E$12),1)))/(INDEX($D$19:$D$2018,MATCH(L137,$D$19:INDEX($D$19:$D$2018,$E$12),1)+1)-INDEX($D$19:$D$2018,MATCH(L137,$D$19:INDEX($D$19:$D$2018,$E$12),1))))))</f>
        <v/>
      </c>
      <c r="N137" s="12">
        <f>IF(M137="","",$B$6*TAN(RADIANS(M137)))</f>
        <v/>
      </c>
      <c r="O137" s="12">
        <f>IF(N137="","",IF(L137=0,0,-N137*J137/SQRT(J137^2+K137^2)))</f>
        <v/>
      </c>
      <c r="P137" s="12">
        <f>IF(N137="","",IF(L137=0,0,N137*K137/SQRT(J137^2+K137^2)))</f>
        <v/>
      </c>
      <c r="Q137" s="12">
        <f>IF(N137="","",IF(N137=0,$B$7,$B$7-Y137*O137/N137))</f>
        <v/>
      </c>
      <c r="R137" s="12">
        <f>IF(N137="","",IF(N137=0,$B$8,$B$8+Y137*P137/N137))</f>
        <v/>
      </c>
      <c r="S137" s="12">
        <f>IFERROR(SQRT((Q137-H137)^2+(R137-I137)^2),"")</f>
        <v/>
      </c>
      <c r="T137">
        <f>110</f>
        <v/>
      </c>
      <c r="U137">
        <f>IF(T137&gt;4*$E$9,"",MIN(INT(T137/$E$9)+1,4))</f>
        <v/>
      </c>
      <c r="V137">
        <f>IF(T137=4*$E$9,-$E$6/2,IF(U137="","",CHOOSE(U137,-$E$6/2+MOD(T137,$E$9)/$E$9*$E$6,$E$6/2,$E$6/2-MOD(T137,$E$9)/$E$9*$E$6,-$E$6/2)))</f>
        <v/>
      </c>
      <c r="W137">
        <f>IF(T137=4*$E$9,-$E$7/2,IF(U137="","",CHOOSE(U137,-$E$7/2,-$E$7/2+MOD(T137,$E$9)/$E$9*$E$7,$E$7/2,$E$7/2-MOD(T137,$E$9)/$E$9*$E$7)))</f>
        <v/>
      </c>
      <c r="X137">
        <f>IF(OR($E$13&lt;&gt;"OK",M137=""),"",IF(M137&lt;=$A$19,$D$19,IF(M137&gt;=INDEX($A$19:$A$2018,$E$12),INDEX($D$19:$D$2018,$E$12),INDEX($D$19:$D$2018,MATCH(M137,$A$19:INDEX($A$19:$A$2018,$E$12),1))+(M137-INDEX($A$19:$A$2018,MATCH(M137,$A$19:INDEX($A$19:$A$2018,$E$12),1)))*(INDEX($D$19:$D$2018,MATCH(M137,$A$19:INDEX($A$19:$A$2018,$E$12),1)+1)-INDEX($D$19:$D$2018,MATCH(M137,$A$19:INDEX($A$19:$A$2018,$E$12),1)))/(INDEX($A$19:$A$2018,MATCH(M137,$A$19:INDEX($A$19:$A$2018,$E$12),1)+1)-INDEX($A$19:$A$2018,MATCH(M137,$A$19:INDEX($A$19:$A$2018,$E$12),1))))))</f>
        <v/>
      </c>
      <c r="Y137">
        <f>IF(X137="","",X137*1000/$B$4)</f>
        <v/>
      </c>
    </row>
    <row r="138">
      <c r="A138" s="10" t="n"/>
      <c r="B138" s="10" t="n"/>
      <c r="C138" s="11">
        <f>IF(A138="","",$B$5*TAN(RADIANS(A138)))</f>
        <v/>
      </c>
      <c r="D138" s="11">
        <f>IF(C138="","",C138*(1+B138/100))</f>
        <v/>
      </c>
      <c r="E138" s="11">
        <f>IF(A138="","",$B$6*TAN(RADIANS(A138)))</f>
        <v/>
      </c>
      <c r="G138" s="12">
        <f>IF(U138="","",T138)</f>
        <v/>
      </c>
      <c r="H138" s="12">
        <f>IF(U138="","",$E$4+V138*COS(RADIANS($E$8))-W138*SIN(RADIANS($E$8)))</f>
        <v/>
      </c>
      <c r="I138" s="12">
        <f>IF(U138="","",$E$5+V138*SIN(RADIANS($E$8))+W138*COS(RADIANS($E$8)))</f>
        <v/>
      </c>
      <c r="J138" s="12">
        <f>IF(H138="","",H138-$B$7)</f>
        <v/>
      </c>
      <c r="K138" s="12">
        <f>IF(I138="","",I138-$B$8)</f>
        <v/>
      </c>
      <c r="L138" s="12">
        <f>IFERROR(SQRT(J138^2+K138^2)*$B$4/1000,"")</f>
        <v/>
      </c>
      <c r="M138" s="12">
        <f>IF(OR($E$13&lt;&gt;"OK",L138=""),"",IF(L138&lt;=$D$19,$A$19,IF(L138&gt;=INDEX($D$19:$D$2018,$E$12),INDEX($A$19:$A$2018,$E$12),INDEX($A$19:$A$2018,MATCH(L138,$D$19:INDEX($D$19:$D$2018,$E$12),1))+(L138-INDEX($D$19:$D$2018,MATCH(L138,$D$19:INDEX($D$19:$D$2018,$E$12),1)))*(INDEX($A$19:$A$2018,MATCH(L138,$D$19:INDEX($D$19:$D$2018,$E$12),1)+1)-INDEX($A$19:$A$2018,MATCH(L138,$D$19:INDEX($D$19:$D$2018,$E$12),1)))/(INDEX($D$19:$D$2018,MATCH(L138,$D$19:INDEX($D$19:$D$2018,$E$12),1)+1)-INDEX($D$19:$D$2018,MATCH(L138,$D$19:INDEX($D$19:$D$2018,$E$12),1))))))</f>
        <v/>
      </c>
      <c r="N138" s="12">
        <f>IF(M138="","",$B$6*TAN(RADIANS(M138)))</f>
        <v/>
      </c>
      <c r="O138" s="12">
        <f>IF(N138="","",IF(L138=0,0,-N138*J138/SQRT(J138^2+K138^2)))</f>
        <v/>
      </c>
      <c r="P138" s="12">
        <f>IF(N138="","",IF(L138=0,0,N138*K138/SQRT(J138^2+K138^2)))</f>
        <v/>
      </c>
      <c r="Q138" s="12">
        <f>IF(N138="","",IF(N138=0,$B$7,$B$7-Y138*O138/N138))</f>
        <v/>
      </c>
      <c r="R138" s="12">
        <f>IF(N138="","",IF(N138=0,$B$8,$B$8+Y138*P138/N138))</f>
        <v/>
      </c>
      <c r="S138" s="12">
        <f>IFERROR(SQRT((Q138-H138)^2+(R138-I138)^2),"")</f>
        <v/>
      </c>
      <c r="T138">
        <f>111</f>
        <v/>
      </c>
      <c r="U138">
        <f>IF(T138&gt;4*$E$9,"",MIN(INT(T138/$E$9)+1,4))</f>
        <v/>
      </c>
      <c r="V138">
        <f>IF(T138=4*$E$9,-$E$6/2,IF(U138="","",CHOOSE(U138,-$E$6/2+MOD(T138,$E$9)/$E$9*$E$6,$E$6/2,$E$6/2-MOD(T138,$E$9)/$E$9*$E$6,-$E$6/2)))</f>
        <v/>
      </c>
      <c r="W138">
        <f>IF(T138=4*$E$9,-$E$7/2,IF(U138="","",CHOOSE(U138,-$E$7/2,-$E$7/2+MOD(T138,$E$9)/$E$9*$E$7,$E$7/2,$E$7/2-MOD(T138,$E$9)/$E$9*$E$7)))</f>
        <v/>
      </c>
      <c r="X138">
        <f>IF(OR($E$13&lt;&gt;"OK",M138=""),"",IF(M138&lt;=$A$19,$D$19,IF(M138&gt;=INDEX($A$19:$A$2018,$E$12),INDEX($D$19:$D$2018,$E$12),INDEX($D$19:$D$2018,MATCH(M138,$A$19:INDEX($A$19:$A$2018,$E$12),1))+(M138-INDEX($A$19:$A$2018,MATCH(M138,$A$19:INDEX($A$19:$A$2018,$E$12),1)))*(INDEX($D$19:$D$2018,MATCH(M138,$A$19:INDEX($A$19:$A$2018,$E$12),1)+1)-INDEX($D$19:$D$2018,MATCH(M138,$A$19:INDEX($A$19:$A$2018,$E$12),1)))/(INDEX($A$19:$A$2018,MATCH(M138,$A$19:INDEX($A$19:$A$2018,$E$12),1)+1)-INDEX($A$19:$A$2018,MATCH(M138,$A$19:INDEX($A$19:$A$2018,$E$12),1))))))</f>
        <v/>
      </c>
      <c r="Y138">
        <f>IF(X138="","",X138*1000/$B$4)</f>
        <v/>
      </c>
    </row>
    <row r="139">
      <c r="A139" s="10" t="n"/>
      <c r="B139" s="10" t="n"/>
      <c r="C139" s="11">
        <f>IF(A139="","",$B$5*TAN(RADIANS(A139)))</f>
        <v/>
      </c>
      <c r="D139" s="11">
        <f>IF(C139="","",C139*(1+B139/100))</f>
        <v/>
      </c>
      <c r="E139" s="11">
        <f>IF(A139="","",$B$6*TAN(RADIANS(A139)))</f>
        <v/>
      </c>
      <c r="G139" s="12">
        <f>IF(U139="","",T139)</f>
        <v/>
      </c>
      <c r="H139" s="12">
        <f>IF(U139="","",$E$4+V139*COS(RADIANS($E$8))-W139*SIN(RADIANS($E$8)))</f>
        <v/>
      </c>
      <c r="I139" s="12">
        <f>IF(U139="","",$E$5+V139*SIN(RADIANS($E$8))+W139*COS(RADIANS($E$8)))</f>
        <v/>
      </c>
      <c r="J139" s="12">
        <f>IF(H139="","",H139-$B$7)</f>
        <v/>
      </c>
      <c r="K139" s="12">
        <f>IF(I139="","",I139-$B$8)</f>
        <v/>
      </c>
      <c r="L139" s="12">
        <f>IFERROR(SQRT(J139^2+K139^2)*$B$4/1000,"")</f>
        <v/>
      </c>
      <c r="M139" s="12">
        <f>IF(OR($E$13&lt;&gt;"OK",L139=""),"",IF(L139&lt;=$D$19,$A$19,IF(L139&gt;=INDEX($D$19:$D$2018,$E$12),INDEX($A$19:$A$2018,$E$12),INDEX($A$19:$A$2018,MATCH(L139,$D$19:INDEX($D$19:$D$2018,$E$12),1))+(L139-INDEX($D$19:$D$2018,MATCH(L139,$D$19:INDEX($D$19:$D$2018,$E$12),1)))*(INDEX($A$19:$A$2018,MATCH(L139,$D$19:INDEX($D$19:$D$2018,$E$12),1)+1)-INDEX($A$19:$A$2018,MATCH(L139,$D$19:INDEX($D$19:$D$2018,$E$12),1)))/(INDEX($D$19:$D$2018,MATCH(L139,$D$19:INDEX($D$19:$D$2018,$E$12),1)+1)-INDEX($D$19:$D$2018,MATCH(L139,$D$19:INDEX($D$19:$D$2018,$E$12),1))))))</f>
        <v/>
      </c>
      <c r="N139" s="12">
        <f>IF(M139="","",$B$6*TAN(RADIANS(M139)))</f>
        <v/>
      </c>
      <c r="O139" s="12">
        <f>IF(N139="","",IF(L139=0,0,-N139*J139/SQRT(J139^2+K139^2)))</f>
        <v/>
      </c>
      <c r="P139" s="12">
        <f>IF(N139="","",IF(L139=0,0,N139*K139/SQRT(J139^2+K139^2)))</f>
        <v/>
      </c>
      <c r="Q139" s="12">
        <f>IF(N139="","",IF(N139=0,$B$7,$B$7-Y139*O139/N139))</f>
        <v/>
      </c>
      <c r="R139" s="12">
        <f>IF(N139="","",IF(N139=0,$B$8,$B$8+Y139*P139/N139))</f>
        <v/>
      </c>
      <c r="S139" s="12">
        <f>IFERROR(SQRT((Q139-H139)^2+(R139-I139)^2),"")</f>
        <v/>
      </c>
      <c r="T139">
        <f>112</f>
        <v/>
      </c>
      <c r="U139">
        <f>IF(T139&gt;4*$E$9,"",MIN(INT(T139/$E$9)+1,4))</f>
        <v/>
      </c>
      <c r="V139">
        <f>IF(T139=4*$E$9,-$E$6/2,IF(U139="","",CHOOSE(U139,-$E$6/2+MOD(T139,$E$9)/$E$9*$E$6,$E$6/2,$E$6/2-MOD(T139,$E$9)/$E$9*$E$6,-$E$6/2)))</f>
        <v/>
      </c>
      <c r="W139">
        <f>IF(T139=4*$E$9,-$E$7/2,IF(U139="","",CHOOSE(U139,-$E$7/2,-$E$7/2+MOD(T139,$E$9)/$E$9*$E$7,$E$7/2,$E$7/2-MOD(T139,$E$9)/$E$9*$E$7)))</f>
        <v/>
      </c>
      <c r="X139">
        <f>IF(OR($E$13&lt;&gt;"OK",M139=""),"",IF(M139&lt;=$A$19,$D$19,IF(M139&gt;=INDEX($A$19:$A$2018,$E$12),INDEX($D$19:$D$2018,$E$12),INDEX($D$19:$D$2018,MATCH(M139,$A$19:INDEX($A$19:$A$2018,$E$12),1))+(M139-INDEX($A$19:$A$2018,MATCH(M139,$A$19:INDEX($A$19:$A$2018,$E$12),1)))*(INDEX($D$19:$D$2018,MATCH(M139,$A$19:INDEX($A$19:$A$2018,$E$12),1)+1)-INDEX($D$19:$D$2018,MATCH(M139,$A$19:INDEX($A$19:$A$2018,$E$12),1)))/(INDEX($A$19:$A$2018,MATCH(M139,$A$19:INDEX($A$19:$A$2018,$E$12),1)+1)-INDEX($A$19:$A$2018,MATCH(M139,$A$19:INDEX($A$19:$A$2018,$E$12),1))))))</f>
        <v/>
      </c>
      <c r="Y139">
        <f>IF(X139="","",X139*1000/$B$4)</f>
        <v/>
      </c>
    </row>
    <row r="140">
      <c r="A140" s="10" t="n"/>
      <c r="B140" s="10" t="n"/>
      <c r="C140" s="11">
        <f>IF(A140="","",$B$5*TAN(RADIANS(A140)))</f>
        <v/>
      </c>
      <c r="D140" s="11">
        <f>IF(C140="","",C140*(1+B140/100))</f>
        <v/>
      </c>
      <c r="E140" s="11">
        <f>IF(A140="","",$B$6*TAN(RADIANS(A140)))</f>
        <v/>
      </c>
      <c r="G140" s="12">
        <f>IF(U140="","",T140)</f>
        <v/>
      </c>
      <c r="H140" s="12">
        <f>IF(U140="","",$E$4+V140*COS(RADIANS($E$8))-W140*SIN(RADIANS($E$8)))</f>
        <v/>
      </c>
      <c r="I140" s="12">
        <f>IF(U140="","",$E$5+V140*SIN(RADIANS($E$8))+W140*COS(RADIANS($E$8)))</f>
        <v/>
      </c>
      <c r="J140" s="12">
        <f>IF(H140="","",H140-$B$7)</f>
        <v/>
      </c>
      <c r="K140" s="12">
        <f>IF(I140="","",I140-$B$8)</f>
        <v/>
      </c>
      <c r="L140" s="12">
        <f>IFERROR(SQRT(J140^2+K140^2)*$B$4/1000,"")</f>
        <v/>
      </c>
      <c r="M140" s="12">
        <f>IF(OR($E$13&lt;&gt;"OK",L140=""),"",IF(L140&lt;=$D$19,$A$19,IF(L140&gt;=INDEX($D$19:$D$2018,$E$12),INDEX($A$19:$A$2018,$E$12),INDEX($A$19:$A$2018,MATCH(L140,$D$19:INDEX($D$19:$D$2018,$E$12),1))+(L140-INDEX($D$19:$D$2018,MATCH(L140,$D$19:INDEX($D$19:$D$2018,$E$12),1)))*(INDEX($A$19:$A$2018,MATCH(L140,$D$19:INDEX($D$19:$D$2018,$E$12),1)+1)-INDEX($A$19:$A$2018,MATCH(L140,$D$19:INDEX($D$19:$D$2018,$E$12),1)))/(INDEX($D$19:$D$2018,MATCH(L140,$D$19:INDEX($D$19:$D$2018,$E$12),1)+1)-INDEX($D$19:$D$2018,MATCH(L140,$D$19:INDEX($D$19:$D$2018,$E$12),1))))))</f>
        <v/>
      </c>
      <c r="N140" s="12">
        <f>IF(M140="","",$B$6*TAN(RADIANS(M140)))</f>
        <v/>
      </c>
      <c r="O140" s="12">
        <f>IF(N140="","",IF(L140=0,0,-N140*J140/SQRT(J140^2+K140^2)))</f>
        <v/>
      </c>
      <c r="P140" s="12">
        <f>IF(N140="","",IF(L140=0,0,N140*K140/SQRT(J140^2+K140^2)))</f>
        <v/>
      </c>
      <c r="Q140" s="12">
        <f>IF(N140="","",IF(N140=0,$B$7,$B$7-Y140*O140/N140))</f>
        <v/>
      </c>
      <c r="R140" s="12">
        <f>IF(N140="","",IF(N140=0,$B$8,$B$8+Y140*P140/N140))</f>
        <v/>
      </c>
      <c r="S140" s="12">
        <f>IFERROR(SQRT((Q140-H140)^2+(R140-I140)^2),"")</f>
        <v/>
      </c>
      <c r="T140">
        <f>113</f>
        <v/>
      </c>
      <c r="U140">
        <f>IF(T140&gt;4*$E$9,"",MIN(INT(T140/$E$9)+1,4))</f>
        <v/>
      </c>
      <c r="V140">
        <f>IF(T140=4*$E$9,-$E$6/2,IF(U140="","",CHOOSE(U140,-$E$6/2+MOD(T140,$E$9)/$E$9*$E$6,$E$6/2,$E$6/2-MOD(T140,$E$9)/$E$9*$E$6,-$E$6/2)))</f>
        <v/>
      </c>
      <c r="W140">
        <f>IF(T140=4*$E$9,-$E$7/2,IF(U140="","",CHOOSE(U140,-$E$7/2,-$E$7/2+MOD(T140,$E$9)/$E$9*$E$7,$E$7/2,$E$7/2-MOD(T140,$E$9)/$E$9*$E$7)))</f>
        <v/>
      </c>
      <c r="X140">
        <f>IF(OR($E$13&lt;&gt;"OK",M140=""),"",IF(M140&lt;=$A$19,$D$19,IF(M140&gt;=INDEX($A$19:$A$2018,$E$12),INDEX($D$19:$D$2018,$E$12),INDEX($D$19:$D$2018,MATCH(M140,$A$19:INDEX($A$19:$A$2018,$E$12),1))+(M140-INDEX($A$19:$A$2018,MATCH(M140,$A$19:INDEX($A$19:$A$2018,$E$12),1)))*(INDEX($D$19:$D$2018,MATCH(M140,$A$19:INDEX($A$19:$A$2018,$E$12),1)+1)-INDEX($D$19:$D$2018,MATCH(M140,$A$19:INDEX($A$19:$A$2018,$E$12),1)))/(INDEX($A$19:$A$2018,MATCH(M140,$A$19:INDEX($A$19:$A$2018,$E$12),1)+1)-INDEX($A$19:$A$2018,MATCH(M140,$A$19:INDEX($A$19:$A$2018,$E$12),1))))))</f>
        <v/>
      </c>
      <c r="Y140">
        <f>IF(X140="","",X140*1000/$B$4)</f>
        <v/>
      </c>
    </row>
    <row r="141">
      <c r="A141" s="10" t="n"/>
      <c r="B141" s="10" t="n"/>
      <c r="C141" s="11">
        <f>IF(A141="","",$B$5*TAN(RADIANS(A141)))</f>
        <v/>
      </c>
      <c r="D141" s="11">
        <f>IF(C141="","",C141*(1+B141/100))</f>
        <v/>
      </c>
      <c r="E141" s="11">
        <f>IF(A141="","",$B$6*TAN(RADIANS(A141)))</f>
        <v/>
      </c>
      <c r="G141" s="12">
        <f>IF(U141="","",T141)</f>
        <v/>
      </c>
      <c r="H141" s="12">
        <f>IF(U141="","",$E$4+V141*COS(RADIANS($E$8))-W141*SIN(RADIANS($E$8)))</f>
        <v/>
      </c>
      <c r="I141" s="12">
        <f>IF(U141="","",$E$5+V141*SIN(RADIANS($E$8))+W141*COS(RADIANS($E$8)))</f>
        <v/>
      </c>
      <c r="J141" s="12">
        <f>IF(H141="","",H141-$B$7)</f>
        <v/>
      </c>
      <c r="K141" s="12">
        <f>IF(I141="","",I141-$B$8)</f>
        <v/>
      </c>
      <c r="L141" s="12">
        <f>IFERROR(SQRT(J141^2+K141^2)*$B$4/1000,"")</f>
        <v/>
      </c>
      <c r="M141" s="12">
        <f>IF(OR($E$13&lt;&gt;"OK",L141=""),"",IF(L141&lt;=$D$19,$A$19,IF(L141&gt;=INDEX($D$19:$D$2018,$E$12),INDEX($A$19:$A$2018,$E$12),INDEX($A$19:$A$2018,MATCH(L141,$D$19:INDEX($D$19:$D$2018,$E$12),1))+(L141-INDEX($D$19:$D$2018,MATCH(L141,$D$19:INDEX($D$19:$D$2018,$E$12),1)))*(INDEX($A$19:$A$2018,MATCH(L141,$D$19:INDEX($D$19:$D$2018,$E$12),1)+1)-INDEX($A$19:$A$2018,MATCH(L141,$D$19:INDEX($D$19:$D$2018,$E$12),1)))/(INDEX($D$19:$D$2018,MATCH(L141,$D$19:INDEX($D$19:$D$2018,$E$12),1)+1)-INDEX($D$19:$D$2018,MATCH(L141,$D$19:INDEX($D$19:$D$2018,$E$12),1))))))</f>
        <v/>
      </c>
      <c r="N141" s="12">
        <f>IF(M141="","",$B$6*TAN(RADIANS(M141)))</f>
        <v/>
      </c>
      <c r="O141" s="12">
        <f>IF(N141="","",IF(L141=0,0,-N141*J141/SQRT(J141^2+K141^2)))</f>
        <v/>
      </c>
      <c r="P141" s="12">
        <f>IF(N141="","",IF(L141=0,0,N141*K141/SQRT(J141^2+K141^2)))</f>
        <v/>
      </c>
      <c r="Q141" s="12">
        <f>IF(N141="","",IF(N141=0,$B$7,$B$7-Y141*O141/N141))</f>
        <v/>
      </c>
      <c r="R141" s="12">
        <f>IF(N141="","",IF(N141=0,$B$8,$B$8+Y141*P141/N141))</f>
        <v/>
      </c>
      <c r="S141" s="12">
        <f>IFERROR(SQRT((Q141-H141)^2+(R141-I141)^2),"")</f>
        <v/>
      </c>
      <c r="T141">
        <f>114</f>
        <v/>
      </c>
      <c r="U141">
        <f>IF(T141&gt;4*$E$9,"",MIN(INT(T141/$E$9)+1,4))</f>
        <v/>
      </c>
      <c r="V141">
        <f>IF(T141=4*$E$9,-$E$6/2,IF(U141="","",CHOOSE(U141,-$E$6/2+MOD(T141,$E$9)/$E$9*$E$6,$E$6/2,$E$6/2-MOD(T141,$E$9)/$E$9*$E$6,-$E$6/2)))</f>
        <v/>
      </c>
      <c r="W141">
        <f>IF(T141=4*$E$9,-$E$7/2,IF(U141="","",CHOOSE(U141,-$E$7/2,-$E$7/2+MOD(T141,$E$9)/$E$9*$E$7,$E$7/2,$E$7/2-MOD(T141,$E$9)/$E$9*$E$7)))</f>
        <v/>
      </c>
      <c r="X141">
        <f>IF(OR($E$13&lt;&gt;"OK",M141=""),"",IF(M141&lt;=$A$19,$D$19,IF(M141&gt;=INDEX($A$19:$A$2018,$E$12),INDEX($D$19:$D$2018,$E$12),INDEX($D$19:$D$2018,MATCH(M141,$A$19:INDEX($A$19:$A$2018,$E$12),1))+(M141-INDEX($A$19:$A$2018,MATCH(M141,$A$19:INDEX($A$19:$A$2018,$E$12),1)))*(INDEX($D$19:$D$2018,MATCH(M141,$A$19:INDEX($A$19:$A$2018,$E$12),1)+1)-INDEX($D$19:$D$2018,MATCH(M141,$A$19:INDEX($A$19:$A$2018,$E$12),1)))/(INDEX($A$19:$A$2018,MATCH(M141,$A$19:INDEX($A$19:$A$2018,$E$12),1)+1)-INDEX($A$19:$A$2018,MATCH(M141,$A$19:INDEX($A$19:$A$2018,$E$12),1))))))</f>
        <v/>
      </c>
      <c r="Y141">
        <f>IF(X141="","",X141*1000/$B$4)</f>
        <v/>
      </c>
    </row>
    <row r="142">
      <c r="A142" s="10" t="n"/>
      <c r="B142" s="10" t="n"/>
      <c r="C142" s="11">
        <f>IF(A142="","",$B$5*TAN(RADIANS(A142)))</f>
        <v/>
      </c>
      <c r="D142" s="11">
        <f>IF(C142="","",C142*(1+B142/100))</f>
        <v/>
      </c>
      <c r="E142" s="11">
        <f>IF(A142="","",$B$6*TAN(RADIANS(A142)))</f>
        <v/>
      </c>
      <c r="G142" s="12">
        <f>IF(U142="","",T142)</f>
        <v/>
      </c>
      <c r="H142" s="12">
        <f>IF(U142="","",$E$4+V142*COS(RADIANS($E$8))-W142*SIN(RADIANS($E$8)))</f>
        <v/>
      </c>
      <c r="I142" s="12">
        <f>IF(U142="","",$E$5+V142*SIN(RADIANS($E$8))+W142*COS(RADIANS($E$8)))</f>
        <v/>
      </c>
      <c r="J142" s="12">
        <f>IF(H142="","",H142-$B$7)</f>
        <v/>
      </c>
      <c r="K142" s="12">
        <f>IF(I142="","",I142-$B$8)</f>
        <v/>
      </c>
      <c r="L142" s="12">
        <f>IFERROR(SQRT(J142^2+K142^2)*$B$4/1000,"")</f>
        <v/>
      </c>
      <c r="M142" s="12">
        <f>IF(OR($E$13&lt;&gt;"OK",L142=""),"",IF(L142&lt;=$D$19,$A$19,IF(L142&gt;=INDEX($D$19:$D$2018,$E$12),INDEX($A$19:$A$2018,$E$12),INDEX($A$19:$A$2018,MATCH(L142,$D$19:INDEX($D$19:$D$2018,$E$12),1))+(L142-INDEX($D$19:$D$2018,MATCH(L142,$D$19:INDEX($D$19:$D$2018,$E$12),1)))*(INDEX($A$19:$A$2018,MATCH(L142,$D$19:INDEX($D$19:$D$2018,$E$12),1)+1)-INDEX($A$19:$A$2018,MATCH(L142,$D$19:INDEX($D$19:$D$2018,$E$12),1)))/(INDEX($D$19:$D$2018,MATCH(L142,$D$19:INDEX($D$19:$D$2018,$E$12),1)+1)-INDEX($D$19:$D$2018,MATCH(L142,$D$19:INDEX($D$19:$D$2018,$E$12),1))))))</f>
        <v/>
      </c>
      <c r="N142" s="12">
        <f>IF(M142="","",$B$6*TAN(RADIANS(M142)))</f>
        <v/>
      </c>
      <c r="O142" s="12">
        <f>IF(N142="","",IF(L142=0,0,-N142*J142/SQRT(J142^2+K142^2)))</f>
        <v/>
      </c>
      <c r="P142" s="12">
        <f>IF(N142="","",IF(L142=0,0,N142*K142/SQRT(J142^2+K142^2)))</f>
        <v/>
      </c>
      <c r="Q142" s="12">
        <f>IF(N142="","",IF(N142=0,$B$7,$B$7-Y142*O142/N142))</f>
        <v/>
      </c>
      <c r="R142" s="12">
        <f>IF(N142="","",IF(N142=0,$B$8,$B$8+Y142*P142/N142))</f>
        <v/>
      </c>
      <c r="S142" s="12">
        <f>IFERROR(SQRT((Q142-H142)^2+(R142-I142)^2),"")</f>
        <v/>
      </c>
      <c r="T142">
        <f>115</f>
        <v/>
      </c>
      <c r="U142">
        <f>IF(T142&gt;4*$E$9,"",MIN(INT(T142/$E$9)+1,4))</f>
        <v/>
      </c>
      <c r="V142">
        <f>IF(T142=4*$E$9,-$E$6/2,IF(U142="","",CHOOSE(U142,-$E$6/2+MOD(T142,$E$9)/$E$9*$E$6,$E$6/2,$E$6/2-MOD(T142,$E$9)/$E$9*$E$6,-$E$6/2)))</f>
        <v/>
      </c>
      <c r="W142">
        <f>IF(T142=4*$E$9,-$E$7/2,IF(U142="","",CHOOSE(U142,-$E$7/2,-$E$7/2+MOD(T142,$E$9)/$E$9*$E$7,$E$7/2,$E$7/2-MOD(T142,$E$9)/$E$9*$E$7)))</f>
        <v/>
      </c>
      <c r="X142">
        <f>IF(OR($E$13&lt;&gt;"OK",M142=""),"",IF(M142&lt;=$A$19,$D$19,IF(M142&gt;=INDEX($A$19:$A$2018,$E$12),INDEX($D$19:$D$2018,$E$12),INDEX($D$19:$D$2018,MATCH(M142,$A$19:INDEX($A$19:$A$2018,$E$12),1))+(M142-INDEX($A$19:$A$2018,MATCH(M142,$A$19:INDEX($A$19:$A$2018,$E$12),1)))*(INDEX($D$19:$D$2018,MATCH(M142,$A$19:INDEX($A$19:$A$2018,$E$12),1)+1)-INDEX($D$19:$D$2018,MATCH(M142,$A$19:INDEX($A$19:$A$2018,$E$12),1)))/(INDEX($A$19:$A$2018,MATCH(M142,$A$19:INDEX($A$19:$A$2018,$E$12),1)+1)-INDEX($A$19:$A$2018,MATCH(M142,$A$19:INDEX($A$19:$A$2018,$E$12),1))))))</f>
        <v/>
      </c>
      <c r="Y142">
        <f>IF(X142="","",X142*1000/$B$4)</f>
        <v/>
      </c>
    </row>
    <row r="143">
      <c r="A143" s="10" t="n"/>
      <c r="B143" s="10" t="n"/>
      <c r="C143" s="11">
        <f>IF(A143="","",$B$5*TAN(RADIANS(A143)))</f>
        <v/>
      </c>
      <c r="D143" s="11">
        <f>IF(C143="","",C143*(1+B143/100))</f>
        <v/>
      </c>
      <c r="E143" s="11">
        <f>IF(A143="","",$B$6*TAN(RADIANS(A143)))</f>
        <v/>
      </c>
      <c r="G143" s="12">
        <f>IF(U143="","",T143)</f>
        <v/>
      </c>
      <c r="H143" s="12">
        <f>IF(U143="","",$E$4+V143*COS(RADIANS($E$8))-W143*SIN(RADIANS($E$8)))</f>
        <v/>
      </c>
      <c r="I143" s="12">
        <f>IF(U143="","",$E$5+V143*SIN(RADIANS($E$8))+W143*COS(RADIANS($E$8)))</f>
        <v/>
      </c>
      <c r="J143" s="12">
        <f>IF(H143="","",H143-$B$7)</f>
        <v/>
      </c>
      <c r="K143" s="12">
        <f>IF(I143="","",I143-$B$8)</f>
        <v/>
      </c>
      <c r="L143" s="12">
        <f>IFERROR(SQRT(J143^2+K143^2)*$B$4/1000,"")</f>
        <v/>
      </c>
      <c r="M143" s="12">
        <f>IF(OR($E$13&lt;&gt;"OK",L143=""),"",IF(L143&lt;=$D$19,$A$19,IF(L143&gt;=INDEX($D$19:$D$2018,$E$12),INDEX($A$19:$A$2018,$E$12),INDEX($A$19:$A$2018,MATCH(L143,$D$19:INDEX($D$19:$D$2018,$E$12),1))+(L143-INDEX($D$19:$D$2018,MATCH(L143,$D$19:INDEX($D$19:$D$2018,$E$12),1)))*(INDEX($A$19:$A$2018,MATCH(L143,$D$19:INDEX($D$19:$D$2018,$E$12),1)+1)-INDEX($A$19:$A$2018,MATCH(L143,$D$19:INDEX($D$19:$D$2018,$E$12),1)))/(INDEX($D$19:$D$2018,MATCH(L143,$D$19:INDEX($D$19:$D$2018,$E$12),1)+1)-INDEX($D$19:$D$2018,MATCH(L143,$D$19:INDEX($D$19:$D$2018,$E$12),1))))))</f>
        <v/>
      </c>
      <c r="N143" s="12">
        <f>IF(M143="","",$B$6*TAN(RADIANS(M143)))</f>
        <v/>
      </c>
      <c r="O143" s="12">
        <f>IF(N143="","",IF(L143=0,0,-N143*J143/SQRT(J143^2+K143^2)))</f>
        <v/>
      </c>
      <c r="P143" s="12">
        <f>IF(N143="","",IF(L143=0,0,N143*K143/SQRT(J143^2+K143^2)))</f>
        <v/>
      </c>
      <c r="Q143" s="12">
        <f>IF(N143="","",IF(N143=0,$B$7,$B$7-Y143*O143/N143))</f>
        <v/>
      </c>
      <c r="R143" s="12">
        <f>IF(N143="","",IF(N143=0,$B$8,$B$8+Y143*P143/N143))</f>
        <v/>
      </c>
      <c r="S143" s="12">
        <f>IFERROR(SQRT((Q143-H143)^2+(R143-I143)^2),"")</f>
        <v/>
      </c>
      <c r="T143">
        <f>116</f>
        <v/>
      </c>
      <c r="U143">
        <f>IF(T143&gt;4*$E$9,"",MIN(INT(T143/$E$9)+1,4))</f>
        <v/>
      </c>
      <c r="V143">
        <f>IF(T143=4*$E$9,-$E$6/2,IF(U143="","",CHOOSE(U143,-$E$6/2+MOD(T143,$E$9)/$E$9*$E$6,$E$6/2,$E$6/2-MOD(T143,$E$9)/$E$9*$E$6,-$E$6/2)))</f>
        <v/>
      </c>
      <c r="W143">
        <f>IF(T143=4*$E$9,-$E$7/2,IF(U143="","",CHOOSE(U143,-$E$7/2,-$E$7/2+MOD(T143,$E$9)/$E$9*$E$7,$E$7/2,$E$7/2-MOD(T143,$E$9)/$E$9*$E$7)))</f>
        <v/>
      </c>
      <c r="X143">
        <f>IF(OR($E$13&lt;&gt;"OK",M143=""),"",IF(M143&lt;=$A$19,$D$19,IF(M143&gt;=INDEX($A$19:$A$2018,$E$12),INDEX($D$19:$D$2018,$E$12),INDEX($D$19:$D$2018,MATCH(M143,$A$19:INDEX($A$19:$A$2018,$E$12),1))+(M143-INDEX($A$19:$A$2018,MATCH(M143,$A$19:INDEX($A$19:$A$2018,$E$12),1)))*(INDEX($D$19:$D$2018,MATCH(M143,$A$19:INDEX($A$19:$A$2018,$E$12),1)+1)-INDEX($D$19:$D$2018,MATCH(M143,$A$19:INDEX($A$19:$A$2018,$E$12),1)))/(INDEX($A$19:$A$2018,MATCH(M143,$A$19:INDEX($A$19:$A$2018,$E$12),1)+1)-INDEX($A$19:$A$2018,MATCH(M143,$A$19:INDEX($A$19:$A$2018,$E$12),1))))))</f>
        <v/>
      </c>
      <c r="Y143">
        <f>IF(X143="","",X143*1000/$B$4)</f>
        <v/>
      </c>
    </row>
    <row r="144">
      <c r="A144" s="10" t="n"/>
      <c r="B144" s="10" t="n"/>
      <c r="C144" s="11">
        <f>IF(A144="","",$B$5*TAN(RADIANS(A144)))</f>
        <v/>
      </c>
      <c r="D144" s="11">
        <f>IF(C144="","",C144*(1+B144/100))</f>
        <v/>
      </c>
      <c r="E144" s="11">
        <f>IF(A144="","",$B$6*TAN(RADIANS(A144)))</f>
        <v/>
      </c>
      <c r="G144" s="12">
        <f>IF(U144="","",T144)</f>
        <v/>
      </c>
      <c r="H144" s="12">
        <f>IF(U144="","",$E$4+V144*COS(RADIANS($E$8))-W144*SIN(RADIANS($E$8)))</f>
        <v/>
      </c>
      <c r="I144" s="12">
        <f>IF(U144="","",$E$5+V144*SIN(RADIANS($E$8))+W144*COS(RADIANS($E$8)))</f>
        <v/>
      </c>
      <c r="J144" s="12">
        <f>IF(H144="","",H144-$B$7)</f>
        <v/>
      </c>
      <c r="K144" s="12">
        <f>IF(I144="","",I144-$B$8)</f>
        <v/>
      </c>
      <c r="L144" s="12">
        <f>IFERROR(SQRT(J144^2+K144^2)*$B$4/1000,"")</f>
        <v/>
      </c>
      <c r="M144" s="12">
        <f>IF(OR($E$13&lt;&gt;"OK",L144=""),"",IF(L144&lt;=$D$19,$A$19,IF(L144&gt;=INDEX($D$19:$D$2018,$E$12),INDEX($A$19:$A$2018,$E$12),INDEX($A$19:$A$2018,MATCH(L144,$D$19:INDEX($D$19:$D$2018,$E$12),1))+(L144-INDEX($D$19:$D$2018,MATCH(L144,$D$19:INDEX($D$19:$D$2018,$E$12),1)))*(INDEX($A$19:$A$2018,MATCH(L144,$D$19:INDEX($D$19:$D$2018,$E$12),1)+1)-INDEX($A$19:$A$2018,MATCH(L144,$D$19:INDEX($D$19:$D$2018,$E$12),1)))/(INDEX($D$19:$D$2018,MATCH(L144,$D$19:INDEX($D$19:$D$2018,$E$12),1)+1)-INDEX($D$19:$D$2018,MATCH(L144,$D$19:INDEX($D$19:$D$2018,$E$12),1))))))</f>
        <v/>
      </c>
      <c r="N144" s="12">
        <f>IF(M144="","",$B$6*TAN(RADIANS(M144)))</f>
        <v/>
      </c>
      <c r="O144" s="12">
        <f>IF(N144="","",IF(L144=0,0,-N144*J144/SQRT(J144^2+K144^2)))</f>
        <v/>
      </c>
      <c r="P144" s="12">
        <f>IF(N144="","",IF(L144=0,0,N144*K144/SQRT(J144^2+K144^2)))</f>
        <v/>
      </c>
      <c r="Q144" s="12">
        <f>IF(N144="","",IF(N144=0,$B$7,$B$7-Y144*O144/N144))</f>
        <v/>
      </c>
      <c r="R144" s="12">
        <f>IF(N144="","",IF(N144=0,$B$8,$B$8+Y144*P144/N144))</f>
        <v/>
      </c>
      <c r="S144" s="12">
        <f>IFERROR(SQRT((Q144-H144)^2+(R144-I144)^2),"")</f>
        <v/>
      </c>
      <c r="T144">
        <f>117</f>
        <v/>
      </c>
      <c r="U144">
        <f>IF(T144&gt;4*$E$9,"",MIN(INT(T144/$E$9)+1,4))</f>
        <v/>
      </c>
      <c r="V144">
        <f>IF(T144=4*$E$9,-$E$6/2,IF(U144="","",CHOOSE(U144,-$E$6/2+MOD(T144,$E$9)/$E$9*$E$6,$E$6/2,$E$6/2-MOD(T144,$E$9)/$E$9*$E$6,-$E$6/2)))</f>
        <v/>
      </c>
      <c r="W144">
        <f>IF(T144=4*$E$9,-$E$7/2,IF(U144="","",CHOOSE(U144,-$E$7/2,-$E$7/2+MOD(T144,$E$9)/$E$9*$E$7,$E$7/2,$E$7/2-MOD(T144,$E$9)/$E$9*$E$7)))</f>
        <v/>
      </c>
      <c r="X144">
        <f>IF(OR($E$13&lt;&gt;"OK",M144=""),"",IF(M144&lt;=$A$19,$D$19,IF(M144&gt;=INDEX($A$19:$A$2018,$E$12),INDEX($D$19:$D$2018,$E$12),INDEX($D$19:$D$2018,MATCH(M144,$A$19:INDEX($A$19:$A$2018,$E$12),1))+(M144-INDEX($A$19:$A$2018,MATCH(M144,$A$19:INDEX($A$19:$A$2018,$E$12),1)))*(INDEX($D$19:$D$2018,MATCH(M144,$A$19:INDEX($A$19:$A$2018,$E$12),1)+1)-INDEX($D$19:$D$2018,MATCH(M144,$A$19:INDEX($A$19:$A$2018,$E$12),1)))/(INDEX($A$19:$A$2018,MATCH(M144,$A$19:INDEX($A$19:$A$2018,$E$12),1)+1)-INDEX($A$19:$A$2018,MATCH(M144,$A$19:INDEX($A$19:$A$2018,$E$12),1))))))</f>
        <v/>
      </c>
      <c r="Y144">
        <f>IF(X144="","",X144*1000/$B$4)</f>
        <v/>
      </c>
    </row>
    <row r="145">
      <c r="A145" s="10" t="n"/>
      <c r="B145" s="10" t="n"/>
      <c r="C145" s="11">
        <f>IF(A145="","",$B$5*TAN(RADIANS(A145)))</f>
        <v/>
      </c>
      <c r="D145" s="11">
        <f>IF(C145="","",C145*(1+B145/100))</f>
        <v/>
      </c>
      <c r="E145" s="11">
        <f>IF(A145="","",$B$6*TAN(RADIANS(A145)))</f>
        <v/>
      </c>
      <c r="G145" s="12">
        <f>IF(U145="","",T145)</f>
        <v/>
      </c>
      <c r="H145" s="12">
        <f>IF(U145="","",$E$4+V145*COS(RADIANS($E$8))-W145*SIN(RADIANS($E$8)))</f>
        <v/>
      </c>
      <c r="I145" s="12">
        <f>IF(U145="","",$E$5+V145*SIN(RADIANS($E$8))+W145*COS(RADIANS($E$8)))</f>
        <v/>
      </c>
      <c r="J145" s="12">
        <f>IF(H145="","",H145-$B$7)</f>
        <v/>
      </c>
      <c r="K145" s="12">
        <f>IF(I145="","",I145-$B$8)</f>
        <v/>
      </c>
      <c r="L145" s="12">
        <f>IFERROR(SQRT(J145^2+K145^2)*$B$4/1000,"")</f>
        <v/>
      </c>
      <c r="M145" s="12">
        <f>IF(OR($E$13&lt;&gt;"OK",L145=""),"",IF(L145&lt;=$D$19,$A$19,IF(L145&gt;=INDEX($D$19:$D$2018,$E$12),INDEX($A$19:$A$2018,$E$12),INDEX($A$19:$A$2018,MATCH(L145,$D$19:INDEX($D$19:$D$2018,$E$12),1))+(L145-INDEX($D$19:$D$2018,MATCH(L145,$D$19:INDEX($D$19:$D$2018,$E$12),1)))*(INDEX($A$19:$A$2018,MATCH(L145,$D$19:INDEX($D$19:$D$2018,$E$12),1)+1)-INDEX($A$19:$A$2018,MATCH(L145,$D$19:INDEX($D$19:$D$2018,$E$12),1)))/(INDEX($D$19:$D$2018,MATCH(L145,$D$19:INDEX($D$19:$D$2018,$E$12),1)+1)-INDEX($D$19:$D$2018,MATCH(L145,$D$19:INDEX($D$19:$D$2018,$E$12),1))))))</f>
        <v/>
      </c>
      <c r="N145" s="12">
        <f>IF(M145="","",$B$6*TAN(RADIANS(M145)))</f>
        <v/>
      </c>
      <c r="O145" s="12">
        <f>IF(N145="","",IF(L145=0,0,-N145*J145/SQRT(J145^2+K145^2)))</f>
        <v/>
      </c>
      <c r="P145" s="12">
        <f>IF(N145="","",IF(L145=0,0,N145*K145/SQRT(J145^2+K145^2)))</f>
        <v/>
      </c>
      <c r="Q145" s="12">
        <f>IF(N145="","",IF(N145=0,$B$7,$B$7-Y145*O145/N145))</f>
        <v/>
      </c>
      <c r="R145" s="12">
        <f>IF(N145="","",IF(N145=0,$B$8,$B$8+Y145*P145/N145))</f>
        <v/>
      </c>
      <c r="S145" s="12">
        <f>IFERROR(SQRT((Q145-H145)^2+(R145-I145)^2),"")</f>
        <v/>
      </c>
      <c r="T145">
        <f>118</f>
        <v/>
      </c>
      <c r="U145">
        <f>IF(T145&gt;4*$E$9,"",MIN(INT(T145/$E$9)+1,4))</f>
        <v/>
      </c>
      <c r="V145">
        <f>IF(T145=4*$E$9,-$E$6/2,IF(U145="","",CHOOSE(U145,-$E$6/2+MOD(T145,$E$9)/$E$9*$E$6,$E$6/2,$E$6/2-MOD(T145,$E$9)/$E$9*$E$6,-$E$6/2)))</f>
        <v/>
      </c>
      <c r="W145">
        <f>IF(T145=4*$E$9,-$E$7/2,IF(U145="","",CHOOSE(U145,-$E$7/2,-$E$7/2+MOD(T145,$E$9)/$E$9*$E$7,$E$7/2,$E$7/2-MOD(T145,$E$9)/$E$9*$E$7)))</f>
        <v/>
      </c>
      <c r="X145">
        <f>IF(OR($E$13&lt;&gt;"OK",M145=""),"",IF(M145&lt;=$A$19,$D$19,IF(M145&gt;=INDEX($A$19:$A$2018,$E$12),INDEX($D$19:$D$2018,$E$12),INDEX($D$19:$D$2018,MATCH(M145,$A$19:INDEX($A$19:$A$2018,$E$12),1))+(M145-INDEX($A$19:$A$2018,MATCH(M145,$A$19:INDEX($A$19:$A$2018,$E$12),1)))*(INDEX($D$19:$D$2018,MATCH(M145,$A$19:INDEX($A$19:$A$2018,$E$12),1)+1)-INDEX($D$19:$D$2018,MATCH(M145,$A$19:INDEX($A$19:$A$2018,$E$12),1)))/(INDEX($A$19:$A$2018,MATCH(M145,$A$19:INDEX($A$19:$A$2018,$E$12),1)+1)-INDEX($A$19:$A$2018,MATCH(M145,$A$19:INDEX($A$19:$A$2018,$E$12),1))))))</f>
        <v/>
      </c>
      <c r="Y145">
        <f>IF(X145="","",X145*1000/$B$4)</f>
        <v/>
      </c>
    </row>
    <row r="146">
      <c r="A146" s="10" t="n"/>
      <c r="B146" s="10" t="n"/>
      <c r="C146" s="11">
        <f>IF(A146="","",$B$5*TAN(RADIANS(A146)))</f>
        <v/>
      </c>
      <c r="D146" s="11">
        <f>IF(C146="","",C146*(1+B146/100))</f>
        <v/>
      </c>
      <c r="E146" s="11">
        <f>IF(A146="","",$B$6*TAN(RADIANS(A146)))</f>
        <v/>
      </c>
      <c r="G146" s="12">
        <f>IF(U146="","",T146)</f>
        <v/>
      </c>
      <c r="H146" s="12">
        <f>IF(U146="","",$E$4+V146*COS(RADIANS($E$8))-W146*SIN(RADIANS($E$8)))</f>
        <v/>
      </c>
      <c r="I146" s="12">
        <f>IF(U146="","",$E$5+V146*SIN(RADIANS($E$8))+W146*COS(RADIANS($E$8)))</f>
        <v/>
      </c>
      <c r="J146" s="12">
        <f>IF(H146="","",H146-$B$7)</f>
        <v/>
      </c>
      <c r="K146" s="12">
        <f>IF(I146="","",I146-$B$8)</f>
        <v/>
      </c>
      <c r="L146" s="12">
        <f>IFERROR(SQRT(J146^2+K146^2)*$B$4/1000,"")</f>
        <v/>
      </c>
      <c r="M146" s="12">
        <f>IF(OR($E$13&lt;&gt;"OK",L146=""),"",IF(L146&lt;=$D$19,$A$19,IF(L146&gt;=INDEX($D$19:$D$2018,$E$12),INDEX($A$19:$A$2018,$E$12),INDEX($A$19:$A$2018,MATCH(L146,$D$19:INDEX($D$19:$D$2018,$E$12),1))+(L146-INDEX($D$19:$D$2018,MATCH(L146,$D$19:INDEX($D$19:$D$2018,$E$12),1)))*(INDEX($A$19:$A$2018,MATCH(L146,$D$19:INDEX($D$19:$D$2018,$E$12),1)+1)-INDEX($A$19:$A$2018,MATCH(L146,$D$19:INDEX($D$19:$D$2018,$E$12),1)))/(INDEX($D$19:$D$2018,MATCH(L146,$D$19:INDEX($D$19:$D$2018,$E$12),1)+1)-INDEX($D$19:$D$2018,MATCH(L146,$D$19:INDEX($D$19:$D$2018,$E$12),1))))))</f>
        <v/>
      </c>
      <c r="N146" s="12">
        <f>IF(M146="","",$B$6*TAN(RADIANS(M146)))</f>
        <v/>
      </c>
      <c r="O146" s="12">
        <f>IF(N146="","",IF(L146=0,0,-N146*J146/SQRT(J146^2+K146^2)))</f>
        <v/>
      </c>
      <c r="P146" s="12">
        <f>IF(N146="","",IF(L146=0,0,N146*K146/SQRT(J146^2+K146^2)))</f>
        <v/>
      </c>
      <c r="Q146" s="12">
        <f>IF(N146="","",IF(N146=0,$B$7,$B$7-Y146*O146/N146))</f>
        <v/>
      </c>
      <c r="R146" s="12">
        <f>IF(N146="","",IF(N146=0,$B$8,$B$8+Y146*P146/N146))</f>
        <v/>
      </c>
      <c r="S146" s="12">
        <f>IFERROR(SQRT((Q146-H146)^2+(R146-I146)^2),"")</f>
        <v/>
      </c>
      <c r="T146">
        <f>119</f>
        <v/>
      </c>
      <c r="U146">
        <f>IF(T146&gt;4*$E$9,"",MIN(INT(T146/$E$9)+1,4))</f>
        <v/>
      </c>
      <c r="V146">
        <f>IF(T146=4*$E$9,-$E$6/2,IF(U146="","",CHOOSE(U146,-$E$6/2+MOD(T146,$E$9)/$E$9*$E$6,$E$6/2,$E$6/2-MOD(T146,$E$9)/$E$9*$E$6,-$E$6/2)))</f>
        <v/>
      </c>
      <c r="W146">
        <f>IF(T146=4*$E$9,-$E$7/2,IF(U146="","",CHOOSE(U146,-$E$7/2,-$E$7/2+MOD(T146,$E$9)/$E$9*$E$7,$E$7/2,$E$7/2-MOD(T146,$E$9)/$E$9*$E$7)))</f>
        <v/>
      </c>
      <c r="X146">
        <f>IF(OR($E$13&lt;&gt;"OK",M146=""),"",IF(M146&lt;=$A$19,$D$19,IF(M146&gt;=INDEX($A$19:$A$2018,$E$12),INDEX($D$19:$D$2018,$E$12),INDEX($D$19:$D$2018,MATCH(M146,$A$19:INDEX($A$19:$A$2018,$E$12),1))+(M146-INDEX($A$19:$A$2018,MATCH(M146,$A$19:INDEX($A$19:$A$2018,$E$12),1)))*(INDEX($D$19:$D$2018,MATCH(M146,$A$19:INDEX($A$19:$A$2018,$E$12),1)+1)-INDEX($D$19:$D$2018,MATCH(M146,$A$19:INDEX($A$19:$A$2018,$E$12),1)))/(INDEX($A$19:$A$2018,MATCH(M146,$A$19:INDEX($A$19:$A$2018,$E$12),1)+1)-INDEX($A$19:$A$2018,MATCH(M146,$A$19:INDEX($A$19:$A$2018,$E$12),1))))))</f>
        <v/>
      </c>
      <c r="Y146">
        <f>IF(X146="","",X146*1000/$B$4)</f>
        <v/>
      </c>
    </row>
    <row r="147">
      <c r="A147" s="10" t="n"/>
      <c r="B147" s="10" t="n"/>
      <c r="C147" s="11">
        <f>IF(A147="","",$B$5*TAN(RADIANS(A147)))</f>
        <v/>
      </c>
      <c r="D147" s="11">
        <f>IF(C147="","",C147*(1+B147/100))</f>
        <v/>
      </c>
      <c r="E147" s="11">
        <f>IF(A147="","",$B$6*TAN(RADIANS(A147)))</f>
        <v/>
      </c>
      <c r="G147" s="12">
        <f>IF(U147="","",T147)</f>
        <v/>
      </c>
      <c r="H147" s="12">
        <f>IF(U147="","",$E$4+V147*COS(RADIANS($E$8))-W147*SIN(RADIANS($E$8)))</f>
        <v/>
      </c>
      <c r="I147" s="12">
        <f>IF(U147="","",$E$5+V147*SIN(RADIANS($E$8))+W147*COS(RADIANS($E$8)))</f>
        <v/>
      </c>
      <c r="J147" s="12">
        <f>IF(H147="","",H147-$B$7)</f>
        <v/>
      </c>
      <c r="K147" s="12">
        <f>IF(I147="","",I147-$B$8)</f>
        <v/>
      </c>
      <c r="L147" s="12">
        <f>IFERROR(SQRT(J147^2+K147^2)*$B$4/1000,"")</f>
        <v/>
      </c>
      <c r="M147" s="12">
        <f>IF(OR($E$13&lt;&gt;"OK",L147=""),"",IF(L147&lt;=$D$19,$A$19,IF(L147&gt;=INDEX($D$19:$D$2018,$E$12),INDEX($A$19:$A$2018,$E$12),INDEX($A$19:$A$2018,MATCH(L147,$D$19:INDEX($D$19:$D$2018,$E$12),1))+(L147-INDEX($D$19:$D$2018,MATCH(L147,$D$19:INDEX($D$19:$D$2018,$E$12),1)))*(INDEX($A$19:$A$2018,MATCH(L147,$D$19:INDEX($D$19:$D$2018,$E$12),1)+1)-INDEX($A$19:$A$2018,MATCH(L147,$D$19:INDEX($D$19:$D$2018,$E$12),1)))/(INDEX($D$19:$D$2018,MATCH(L147,$D$19:INDEX($D$19:$D$2018,$E$12),1)+1)-INDEX($D$19:$D$2018,MATCH(L147,$D$19:INDEX($D$19:$D$2018,$E$12),1))))))</f>
        <v/>
      </c>
      <c r="N147" s="12">
        <f>IF(M147="","",$B$6*TAN(RADIANS(M147)))</f>
        <v/>
      </c>
      <c r="O147" s="12">
        <f>IF(N147="","",IF(L147=0,0,-N147*J147/SQRT(J147^2+K147^2)))</f>
        <v/>
      </c>
      <c r="P147" s="12">
        <f>IF(N147="","",IF(L147=0,0,N147*K147/SQRT(J147^2+K147^2)))</f>
        <v/>
      </c>
      <c r="Q147" s="12">
        <f>IF(N147="","",IF(N147=0,$B$7,$B$7-Y147*O147/N147))</f>
        <v/>
      </c>
      <c r="R147" s="12">
        <f>IF(N147="","",IF(N147=0,$B$8,$B$8+Y147*P147/N147))</f>
        <v/>
      </c>
      <c r="S147" s="12">
        <f>IFERROR(SQRT((Q147-H147)^2+(R147-I147)^2),"")</f>
        <v/>
      </c>
      <c r="T147">
        <f>120</f>
        <v/>
      </c>
      <c r="U147">
        <f>IF(T147&gt;4*$E$9,"",MIN(INT(T147/$E$9)+1,4))</f>
        <v/>
      </c>
      <c r="V147">
        <f>IF(T147=4*$E$9,-$E$6/2,IF(U147="","",CHOOSE(U147,-$E$6/2+MOD(T147,$E$9)/$E$9*$E$6,$E$6/2,$E$6/2-MOD(T147,$E$9)/$E$9*$E$6,-$E$6/2)))</f>
        <v/>
      </c>
      <c r="W147">
        <f>IF(T147=4*$E$9,-$E$7/2,IF(U147="","",CHOOSE(U147,-$E$7/2,-$E$7/2+MOD(T147,$E$9)/$E$9*$E$7,$E$7/2,$E$7/2-MOD(T147,$E$9)/$E$9*$E$7)))</f>
        <v/>
      </c>
      <c r="X147">
        <f>IF(OR($E$13&lt;&gt;"OK",M147=""),"",IF(M147&lt;=$A$19,$D$19,IF(M147&gt;=INDEX($A$19:$A$2018,$E$12),INDEX($D$19:$D$2018,$E$12),INDEX($D$19:$D$2018,MATCH(M147,$A$19:INDEX($A$19:$A$2018,$E$12),1))+(M147-INDEX($A$19:$A$2018,MATCH(M147,$A$19:INDEX($A$19:$A$2018,$E$12),1)))*(INDEX($D$19:$D$2018,MATCH(M147,$A$19:INDEX($A$19:$A$2018,$E$12),1)+1)-INDEX($D$19:$D$2018,MATCH(M147,$A$19:INDEX($A$19:$A$2018,$E$12),1)))/(INDEX($A$19:$A$2018,MATCH(M147,$A$19:INDEX($A$19:$A$2018,$E$12),1)+1)-INDEX($A$19:$A$2018,MATCH(M147,$A$19:INDEX($A$19:$A$2018,$E$12),1))))))</f>
        <v/>
      </c>
      <c r="Y147">
        <f>IF(X147="","",X147*1000/$B$4)</f>
        <v/>
      </c>
    </row>
    <row r="148">
      <c r="A148" s="10" t="n"/>
      <c r="B148" s="10" t="n"/>
      <c r="C148" s="11">
        <f>IF(A148="","",$B$5*TAN(RADIANS(A148)))</f>
        <v/>
      </c>
      <c r="D148" s="11">
        <f>IF(C148="","",C148*(1+B148/100))</f>
        <v/>
      </c>
      <c r="E148" s="11">
        <f>IF(A148="","",$B$6*TAN(RADIANS(A148)))</f>
        <v/>
      </c>
      <c r="G148" s="12">
        <f>IF(U148="","",T148)</f>
        <v/>
      </c>
      <c r="H148" s="12">
        <f>IF(U148="","",$E$4+V148*COS(RADIANS($E$8))-W148*SIN(RADIANS($E$8)))</f>
        <v/>
      </c>
      <c r="I148" s="12">
        <f>IF(U148="","",$E$5+V148*SIN(RADIANS($E$8))+W148*COS(RADIANS($E$8)))</f>
        <v/>
      </c>
      <c r="J148" s="12">
        <f>IF(H148="","",H148-$B$7)</f>
        <v/>
      </c>
      <c r="K148" s="12">
        <f>IF(I148="","",I148-$B$8)</f>
        <v/>
      </c>
      <c r="L148" s="12">
        <f>IFERROR(SQRT(J148^2+K148^2)*$B$4/1000,"")</f>
        <v/>
      </c>
      <c r="M148" s="12">
        <f>IF(OR($E$13&lt;&gt;"OK",L148=""),"",IF(L148&lt;=$D$19,$A$19,IF(L148&gt;=INDEX($D$19:$D$2018,$E$12),INDEX($A$19:$A$2018,$E$12),INDEX($A$19:$A$2018,MATCH(L148,$D$19:INDEX($D$19:$D$2018,$E$12),1))+(L148-INDEX($D$19:$D$2018,MATCH(L148,$D$19:INDEX($D$19:$D$2018,$E$12),1)))*(INDEX($A$19:$A$2018,MATCH(L148,$D$19:INDEX($D$19:$D$2018,$E$12),1)+1)-INDEX($A$19:$A$2018,MATCH(L148,$D$19:INDEX($D$19:$D$2018,$E$12),1)))/(INDEX($D$19:$D$2018,MATCH(L148,$D$19:INDEX($D$19:$D$2018,$E$12),1)+1)-INDEX($D$19:$D$2018,MATCH(L148,$D$19:INDEX($D$19:$D$2018,$E$12),1))))))</f>
        <v/>
      </c>
      <c r="N148" s="12">
        <f>IF(M148="","",$B$6*TAN(RADIANS(M148)))</f>
        <v/>
      </c>
      <c r="O148" s="12">
        <f>IF(N148="","",IF(L148=0,0,-N148*J148/SQRT(J148^2+K148^2)))</f>
        <v/>
      </c>
      <c r="P148" s="12">
        <f>IF(N148="","",IF(L148=0,0,N148*K148/SQRT(J148^2+K148^2)))</f>
        <v/>
      </c>
      <c r="Q148" s="12">
        <f>IF(N148="","",IF(N148=0,$B$7,$B$7-Y148*O148/N148))</f>
        <v/>
      </c>
      <c r="R148" s="12">
        <f>IF(N148="","",IF(N148=0,$B$8,$B$8+Y148*P148/N148))</f>
        <v/>
      </c>
      <c r="S148" s="12">
        <f>IFERROR(SQRT((Q148-H148)^2+(R148-I148)^2),"")</f>
        <v/>
      </c>
      <c r="T148">
        <f>121</f>
        <v/>
      </c>
      <c r="U148">
        <f>IF(T148&gt;4*$E$9,"",MIN(INT(T148/$E$9)+1,4))</f>
        <v/>
      </c>
      <c r="V148">
        <f>IF(T148=4*$E$9,-$E$6/2,IF(U148="","",CHOOSE(U148,-$E$6/2+MOD(T148,$E$9)/$E$9*$E$6,$E$6/2,$E$6/2-MOD(T148,$E$9)/$E$9*$E$6,-$E$6/2)))</f>
        <v/>
      </c>
      <c r="W148">
        <f>IF(T148=4*$E$9,-$E$7/2,IF(U148="","",CHOOSE(U148,-$E$7/2,-$E$7/2+MOD(T148,$E$9)/$E$9*$E$7,$E$7/2,$E$7/2-MOD(T148,$E$9)/$E$9*$E$7)))</f>
        <v/>
      </c>
      <c r="X148">
        <f>IF(OR($E$13&lt;&gt;"OK",M148=""),"",IF(M148&lt;=$A$19,$D$19,IF(M148&gt;=INDEX($A$19:$A$2018,$E$12),INDEX($D$19:$D$2018,$E$12),INDEX($D$19:$D$2018,MATCH(M148,$A$19:INDEX($A$19:$A$2018,$E$12),1))+(M148-INDEX($A$19:$A$2018,MATCH(M148,$A$19:INDEX($A$19:$A$2018,$E$12),1)))*(INDEX($D$19:$D$2018,MATCH(M148,$A$19:INDEX($A$19:$A$2018,$E$12),1)+1)-INDEX($D$19:$D$2018,MATCH(M148,$A$19:INDEX($A$19:$A$2018,$E$12),1)))/(INDEX($A$19:$A$2018,MATCH(M148,$A$19:INDEX($A$19:$A$2018,$E$12),1)+1)-INDEX($A$19:$A$2018,MATCH(M148,$A$19:INDEX($A$19:$A$2018,$E$12),1))))))</f>
        <v/>
      </c>
      <c r="Y148">
        <f>IF(X148="","",X148*1000/$B$4)</f>
        <v/>
      </c>
    </row>
    <row r="149">
      <c r="A149" s="10" t="n"/>
      <c r="B149" s="10" t="n"/>
      <c r="C149" s="11">
        <f>IF(A149="","",$B$5*TAN(RADIANS(A149)))</f>
        <v/>
      </c>
      <c r="D149" s="11">
        <f>IF(C149="","",C149*(1+B149/100))</f>
        <v/>
      </c>
      <c r="E149" s="11">
        <f>IF(A149="","",$B$6*TAN(RADIANS(A149)))</f>
        <v/>
      </c>
      <c r="G149" s="12">
        <f>IF(U149="","",T149)</f>
        <v/>
      </c>
      <c r="H149" s="12">
        <f>IF(U149="","",$E$4+V149*COS(RADIANS($E$8))-W149*SIN(RADIANS($E$8)))</f>
        <v/>
      </c>
      <c r="I149" s="12">
        <f>IF(U149="","",$E$5+V149*SIN(RADIANS($E$8))+W149*COS(RADIANS($E$8)))</f>
        <v/>
      </c>
      <c r="J149" s="12">
        <f>IF(H149="","",H149-$B$7)</f>
        <v/>
      </c>
      <c r="K149" s="12">
        <f>IF(I149="","",I149-$B$8)</f>
        <v/>
      </c>
      <c r="L149" s="12">
        <f>IFERROR(SQRT(J149^2+K149^2)*$B$4/1000,"")</f>
        <v/>
      </c>
      <c r="M149" s="12">
        <f>IF(OR($E$13&lt;&gt;"OK",L149=""),"",IF(L149&lt;=$D$19,$A$19,IF(L149&gt;=INDEX($D$19:$D$2018,$E$12),INDEX($A$19:$A$2018,$E$12),INDEX($A$19:$A$2018,MATCH(L149,$D$19:INDEX($D$19:$D$2018,$E$12),1))+(L149-INDEX($D$19:$D$2018,MATCH(L149,$D$19:INDEX($D$19:$D$2018,$E$12),1)))*(INDEX($A$19:$A$2018,MATCH(L149,$D$19:INDEX($D$19:$D$2018,$E$12),1)+1)-INDEX($A$19:$A$2018,MATCH(L149,$D$19:INDEX($D$19:$D$2018,$E$12),1)))/(INDEX($D$19:$D$2018,MATCH(L149,$D$19:INDEX($D$19:$D$2018,$E$12),1)+1)-INDEX($D$19:$D$2018,MATCH(L149,$D$19:INDEX($D$19:$D$2018,$E$12),1))))))</f>
        <v/>
      </c>
      <c r="N149" s="12">
        <f>IF(M149="","",$B$6*TAN(RADIANS(M149)))</f>
        <v/>
      </c>
      <c r="O149" s="12">
        <f>IF(N149="","",IF(L149=0,0,-N149*J149/SQRT(J149^2+K149^2)))</f>
        <v/>
      </c>
      <c r="P149" s="12">
        <f>IF(N149="","",IF(L149=0,0,N149*K149/SQRT(J149^2+K149^2)))</f>
        <v/>
      </c>
      <c r="Q149" s="12">
        <f>IF(N149="","",IF(N149=0,$B$7,$B$7-Y149*O149/N149))</f>
        <v/>
      </c>
      <c r="R149" s="12">
        <f>IF(N149="","",IF(N149=0,$B$8,$B$8+Y149*P149/N149))</f>
        <v/>
      </c>
      <c r="S149" s="12">
        <f>IFERROR(SQRT((Q149-H149)^2+(R149-I149)^2),"")</f>
        <v/>
      </c>
      <c r="T149">
        <f>122</f>
        <v/>
      </c>
      <c r="U149">
        <f>IF(T149&gt;4*$E$9,"",MIN(INT(T149/$E$9)+1,4))</f>
        <v/>
      </c>
      <c r="V149">
        <f>IF(T149=4*$E$9,-$E$6/2,IF(U149="","",CHOOSE(U149,-$E$6/2+MOD(T149,$E$9)/$E$9*$E$6,$E$6/2,$E$6/2-MOD(T149,$E$9)/$E$9*$E$6,-$E$6/2)))</f>
        <v/>
      </c>
      <c r="W149">
        <f>IF(T149=4*$E$9,-$E$7/2,IF(U149="","",CHOOSE(U149,-$E$7/2,-$E$7/2+MOD(T149,$E$9)/$E$9*$E$7,$E$7/2,$E$7/2-MOD(T149,$E$9)/$E$9*$E$7)))</f>
        <v/>
      </c>
      <c r="X149">
        <f>IF(OR($E$13&lt;&gt;"OK",M149=""),"",IF(M149&lt;=$A$19,$D$19,IF(M149&gt;=INDEX($A$19:$A$2018,$E$12),INDEX($D$19:$D$2018,$E$12),INDEX($D$19:$D$2018,MATCH(M149,$A$19:INDEX($A$19:$A$2018,$E$12),1))+(M149-INDEX($A$19:$A$2018,MATCH(M149,$A$19:INDEX($A$19:$A$2018,$E$12),1)))*(INDEX($D$19:$D$2018,MATCH(M149,$A$19:INDEX($A$19:$A$2018,$E$12),1)+1)-INDEX($D$19:$D$2018,MATCH(M149,$A$19:INDEX($A$19:$A$2018,$E$12),1)))/(INDEX($A$19:$A$2018,MATCH(M149,$A$19:INDEX($A$19:$A$2018,$E$12),1)+1)-INDEX($A$19:$A$2018,MATCH(M149,$A$19:INDEX($A$19:$A$2018,$E$12),1))))))</f>
        <v/>
      </c>
      <c r="Y149">
        <f>IF(X149="","",X149*1000/$B$4)</f>
        <v/>
      </c>
    </row>
    <row r="150">
      <c r="A150" s="10" t="n"/>
      <c r="B150" s="10" t="n"/>
      <c r="C150" s="11">
        <f>IF(A150="","",$B$5*TAN(RADIANS(A150)))</f>
        <v/>
      </c>
      <c r="D150" s="11">
        <f>IF(C150="","",C150*(1+B150/100))</f>
        <v/>
      </c>
      <c r="E150" s="11">
        <f>IF(A150="","",$B$6*TAN(RADIANS(A150)))</f>
        <v/>
      </c>
      <c r="G150" s="12">
        <f>IF(U150="","",T150)</f>
        <v/>
      </c>
      <c r="H150" s="12">
        <f>IF(U150="","",$E$4+V150*COS(RADIANS($E$8))-W150*SIN(RADIANS($E$8)))</f>
        <v/>
      </c>
      <c r="I150" s="12">
        <f>IF(U150="","",$E$5+V150*SIN(RADIANS($E$8))+W150*COS(RADIANS($E$8)))</f>
        <v/>
      </c>
      <c r="J150" s="12">
        <f>IF(H150="","",H150-$B$7)</f>
        <v/>
      </c>
      <c r="K150" s="12">
        <f>IF(I150="","",I150-$B$8)</f>
        <v/>
      </c>
      <c r="L150" s="12">
        <f>IFERROR(SQRT(J150^2+K150^2)*$B$4/1000,"")</f>
        <v/>
      </c>
      <c r="M150" s="12">
        <f>IF(OR($E$13&lt;&gt;"OK",L150=""),"",IF(L150&lt;=$D$19,$A$19,IF(L150&gt;=INDEX($D$19:$D$2018,$E$12),INDEX($A$19:$A$2018,$E$12),INDEX($A$19:$A$2018,MATCH(L150,$D$19:INDEX($D$19:$D$2018,$E$12),1))+(L150-INDEX($D$19:$D$2018,MATCH(L150,$D$19:INDEX($D$19:$D$2018,$E$12),1)))*(INDEX($A$19:$A$2018,MATCH(L150,$D$19:INDEX($D$19:$D$2018,$E$12),1)+1)-INDEX($A$19:$A$2018,MATCH(L150,$D$19:INDEX($D$19:$D$2018,$E$12),1)))/(INDEX($D$19:$D$2018,MATCH(L150,$D$19:INDEX($D$19:$D$2018,$E$12),1)+1)-INDEX($D$19:$D$2018,MATCH(L150,$D$19:INDEX($D$19:$D$2018,$E$12),1))))))</f>
        <v/>
      </c>
      <c r="N150" s="12">
        <f>IF(M150="","",$B$6*TAN(RADIANS(M150)))</f>
        <v/>
      </c>
      <c r="O150" s="12">
        <f>IF(N150="","",IF(L150=0,0,-N150*J150/SQRT(J150^2+K150^2)))</f>
        <v/>
      </c>
      <c r="P150" s="12">
        <f>IF(N150="","",IF(L150=0,0,N150*K150/SQRT(J150^2+K150^2)))</f>
        <v/>
      </c>
      <c r="Q150" s="12">
        <f>IF(N150="","",IF(N150=0,$B$7,$B$7-Y150*O150/N150))</f>
        <v/>
      </c>
      <c r="R150" s="12">
        <f>IF(N150="","",IF(N150=0,$B$8,$B$8+Y150*P150/N150))</f>
        <v/>
      </c>
      <c r="S150" s="12">
        <f>IFERROR(SQRT((Q150-H150)^2+(R150-I150)^2),"")</f>
        <v/>
      </c>
      <c r="T150">
        <f>123</f>
        <v/>
      </c>
      <c r="U150">
        <f>IF(T150&gt;4*$E$9,"",MIN(INT(T150/$E$9)+1,4))</f>
        <v/>
      </c>
      <c r="V150">
        <f>IF(T150=4*$E$9,-$E$6/2,IF(U150="","",CHOOSE(U150,-$E$6/2+MOD(T150,$E$9)/$E$9*$E$6,$E$6/2,$E$6/2-MOD(T150,$E$9)/$E$9*$E$6,-$E$6/2)))</f>
        <v/>
      </c>
      <c r="W150">
        <f>IF(T150=4*$E$9,-$E$7/2,IF(U150="","",CHOOSE(U150,-$E$7/2,-$E$7/2+MOD(T150,$E$9)/$E$9*$E$7,$E$7/2,$E$7/2-MOD(T150,$E$9)/$E$9*$E$7)))</f>
        <v/>
      </c>
      <c r="X150">
        <f>IF(OR($E$13&lt;&gt;"OK",M150=""),"",IF(M150&lt;=$A$19,$D$19,IF(M150&gt;=INDEX($A$19:$A$2018,$E$12),INDEX($D$19:$D$2018,$E$12),INDEX($D$19:$D$2018,MATCH(M150,$A$19:INDEX($A$19:$A$2018,$E$12),1))+(M150-INDEX($A$19:$A$2018,MATCH(M150,$A$19:INDEX($A$19:$A$2018,$E$12),1)))*(INDEX($D$19:$D$2018,MATCH(M150,$A$19:INDEX($A$19:$A$2018,$E$12),1)+1)-INDEX($D$19:$D$2018,MATCH(M150,$A$19:INDEX($A$19:$A$2018,$E$12),1)))/(INDEX($A$19:$A$2018,MATCH(M150,$A$19:INDEX($A$19:$A$2018,$E$12),1)+1)-INDEX($A$19:$A$2018,MATCH(M150,$A$19:INDEX($A$19:$A$2018,$E$12),1))))))</f>
        <v/>
      </c>
      <c r="Y150">
        <f>IF(X150="","",X150*1000/$B$4)</f>
        <v/>
      </c>
    </row>
    <row r="151">
      <c r="A151" s="10" t="n"/>
      <c r="B151" s="10" t="n"/>
      <c r="C151" s="11">
        <f>IF(A151="","",$B$5*TAN(RADIANS(A151)))</f>
        <v/>
      </c>
      <c r="D151" s="11">
        <f>IF(C151="","",C151*(1+B151/100))</f>
        <v/>
      </c>
      <c r="E151" s="11">
        <f>IF(A151="","",$B$6*TAN(RADIANS(A151)))</f>
        <v/>
      </c>
      <c r="G151" s="12">
        <f>IF(U151="","",T151)</f>
        <v/>
      </c>
      <c r="H151" s="12">
        <f>IF(U151="","",$E$4+V151*COS(RADIANS($E$8))-W151*SIN(RADIANS($E$8)))</f>
        <v/>
      </c>
      <c r="I151" s="12">
        <f>IF(U151="","",$E$5+V151*SIN(RADIANS($E$8))+W151*COS(RADIANS($E$8)))</f>
        <v/>
      </c>
      <c r="J151" s="12">
        <f>IF(H151="","",H151-$B$7)</f>
        <v/>
      </c>
      <c r="K151" s="12">
        <f>IF(I151="","",I151-$B$8)</f>
        <v/>
      </c>
      <c r="L151" s="12">
        <f>IFERROR(SQRT(J151^2+K151^2)*$B$4/1000,"")</f>
        <v/>
      </c>
      <c r="M151" s="12">
        <f>IF(OR($E$13&lt;&gt;"OK",L151=""),"",IF(L151&lt;=$D$19,$A$19,IF(L151&gt;=INDEX($D$19:$D$2018,$E$12),INDEX($A$19:$A$2018,$E$12),INDEX($A$19:$A$2018,MATCH(L151,$D$19:INDEX($D$19:$D$2018,$E$12),1))+(L151-INDEX($D$19:$D$2018,MATCH(L151,$D$19:INDEX($D$19:$D$2018,$E$12),1)))*(INDEX($A$19:$A$2018,MATCH(L151,$D$19:INDEX($D$19:$D$2018,$E$12),1)+1)-INDEX($A$19:$A$2018,MATCH(L151,$D$19:INDEX($D$19:$D$2018,$E$12),1)))/(INDEX($D$19:$D$2018,MATCH(L151,$D$19:INDEX($D$19:$D$2018,$E$12),1)+1)-INDEX($D$19:$D$2018,MATCH(L151,$D$19:INDEX($D$19:$D$2018,$E$12),1))))))</f>
        <v/>
      </c>
      <c r="N151" s="12">
        <f>IF(M151="","",$B$6*TAN(RADIANS(M151)))</f>
        <v/>
      </c>
      <c r="O151" s="12">
        <f>IF(N151="","",IF(L151=0,0,-N151*J151/SQRT(J151^2+K151^2)))</f>
        <v/>
      </c>
      <c r="P151" s="12">
        <f>IF(N151="","",IF(L151=0,0,N151*K151/SQRT(J151^2+K151^2)))</f>
        <v/>
      </c>
      <c r="Q151" s="12">
        <f>IF(N151="","",IF(N151=0,$B$7,$B$7-Y151*O151/N151))</f>
        <v/>
      </c>
      <c r="R151" s="12">
        <f>IF(N151="","",IF(N151=0,$B$8,$B$8+Y151*P151/N151))</f>
        <v/>
      </c>
      <c r="S151" s="12">
        <f>IFERROR(SQRT((Q151-H151)^2+(R151-I151)^2),"")</f>
        <v/>
      </c>
      <c r="T151">
        <f>124</f>
        <v/>
      </c>
      <c r="U151">
        <f>IF(T151&gt;4*$E$9,"",MIN(INT(T151/$E$9)+1,4))</f>
        <v/>
      </c>
      <c r="V151">
        <f>IF(T151=4*$E$9,-$E$6/2,IF(U151="","",CHOOSE(U151,-$E$6/2+MOD(T151,$E$9)/$E$9*$E$6,$E$6/2,$E$6/2-MOD(T151,$E$9)/$E$9*$E$6,-$E$6/2)))</f>
        <v/>
      </c>
      <c r="W151">
        <f>IF(T151=4*$E$9,-$E$7/2,IF(U151="","",CHOOSE(U151,-$E$7/2,-$E$7/2+MOD(T151,$E$9)/$E$9*$E$7,$E$7/2,$E$7/2-MOD(T151,$E$9)/$E$9*$E$7)))</f>
        <v/>
      </c>
      <c r="X151">
        <f>IF(OR($E$13&lt;&gt;"OK",M151=""),"",IF(M151&lt;=$A$19,$D$19,IF(M151&gt;=INDEX($A$19:$A$2018,$E$12),INDEX($D$19:$D$2018,$E$12),INDEX($D$19:$D$2018,MATCH(M151,$A$19:INDEX($A$19:$A$2018,$E$12),1))+(M151-INDEX($A$19:$A$2018,MATCH(M151,$A$19:INDEX($A$19:$A$2018,$E$12),1)))*(INDEX($D$19:$D$2018,MATCH(M151,$A$19:INDEX($A$19:$A$2018,$E$12),1)+1)-INDEX($D$19:$D$2018,MATCH(M151,$A$19:INDEX($A$19:$A$2018,$E$12),1)))/(INDEX($A$19:$A$2018,MATCH(M151,$A$19:INDEX($A$19:$A$2018,$E$12),1)+1)-INDEX($A$19:$A$2018,MATCH(M151,$A$19:INDEX($A$19:$A$2018,$E$12),1))))))</f>
        <v/>
      </c>
      <c r="Y151">
        <f>IF(X151="","",X151*1000/$B$4)</f>
        <v/>
      </c>
    </row>
    <row r="152">
      <c r="A152" s="10" t="n"/>
      <c r="B152" s="10" t="n"/>
      <c r="C152" s="11">
        <f>IF(A152="","",$B$5*TAN(RADIANS(A152)))</f>
        <v/>
      </c>
      <c r="D152" s="11">
        <f>IF(C152="","",C152*(1+B152/100))</f>
        <v/>
      </c>
      <c r="E152" s="11">
        <f>IF(A152="","",$B$6*TAN(RADIANS(A152)))</f>
        <v/>
      </c>
      <c r="G152" s="12">
        <f>IF(U152="","",T152)</f>
        <v/>
      </c>
      <c r="H152" s="12">
        <f>IF(U152="","",$E$4+V152*COS(RADIANS($E$8))-W152*SIN(RADIANS($E$8)))</f>
        <v/>
      </c>
      <c r="I152" s="12">
        <f>IF(U152="","",$E$5+V152*SIN(RADIANS($E$8))+W152*COS(RADIANS($E$8)))</f>
        <v/>
      </c>
      <c r="J152" s="12">
        <f>IF(H152="","",H152-$B$7)</f>
        <v/>
      </c>
      <c r="K152" s="12">
        <f>IF(I152="","",I152-$B$8)</f>
        <v/>
      </c>
      <c r="L152" s="12">
        <f>IFERROR(SQRT(J152^2+K152^2)*$B$4/1000,"")</f>
        <v/>
      </c>
      <c r="M152" s="12">
        <f>IF(OR($E$13&lt;&gt;"OK",L152=""),"",IF(L152&lt;=$D$19,$A$19,IF(L152&gt;=INDEX($D$19:$D$2018,$E$12),INDEX($A$19:$A$2018,$E$12),INDEX($A$19:$A$2018,MATCH(L152,$D$19:INDEX($D$19:$D$2018,$E$12),1))+(L152-INDEX($D$19:$D$2018,MATCH(L152,$D$19:INDEX($D$19:$D$2018,$E$12),1)))*(INDEX($A$19:$A$2018,MATCH(L152,$D$19:INDEX($D$19:$D$2018,$E$12),1)+1)-INDEX($A$19:$A$2018,MATCH(L152,$D$19:INDEX($D$19:$D$2018,$E$12),1)))/(INDEX($D$19:$D$2018,MATCH(L152,$D$19:INDEX($D$19:$D$2018,$E$12),1)+1)-INDEX($D$19:$D$2018,MATCH(L152,$D$19:INDEX($D$19:$D$2018,$E$12),1))))))</f>
        <v/>
      </c>
      <c r="N152" s="12">
        <f>IF(M152="","",$B$6*TAN(RADIANS(M152)))</f>
        <v/>
      </c>
      <c r="O152" s="12">
        <f>IF(N152="","",IF(L152=0,0,-N152*J152/SQRT(J152^2+K152^2)))</f>
        <v/>
      </c>
      <c r="P152" s="12">
        <f>IF(N152="","",IF(L152=0,0,N152*K152/SQRT(J152^2+K152^2)))</f>
        <v/>
      </c>
      <c r="Q152" s="12">
        <f>IF(N152="","",IF(N152=0,$B$7,$B$7-Y152*O152/N152))</f>
        <v/>
      </c>
      <c r="R152" s="12">
        <f>IF(N152="","",IF(N152=0,$B$8,$B$8+Y152*P152/N152))</f>
        <v/>
      </c>
      <c r="S152" s="12">
        <f>IFERROR(SQRT((Q152-H152)^2+(R152-I152)^2),"")</f>
        <v/>
      </c>
      <c r="T152">
        <f>125</f>
        <v/>
      </c>
      <c r="U152">
        <f>IF(T152&gt;4*$E$9,"",MIN(INT(T152/$E$9)+1,4))</f>
        <v/>
      </c>
      <c r="V152">
        <f>IF(T152=4*$E$9,-$E$6/2,IF(U152="","",CHOOSE(U152,-$E$6/2+MOD(T152,$E$9)/$E$9*$E$6,$E$6/2,$E$6/2-MOD(T152,$E$9)/$E$9*$E$6,-$E$6/2)))</f>
        <v/>
      </c>
      <c r="W152">
        <f>IF(T152=4*$E$9,-$E$7/2,IF(U152="","",CHOOSE(U152,-$E$7/2,-$E$7/2+MOD(T152,$E$9)/$E$9*$E$7,$E$7/2,$E$7/2-MOD(T152,$E$9)/$E$9*$E$7)))</f>
        <v/>
      </c>
      <c r="X152">
        <f>IF(OR($E$13&lt;&gt;"OK",M152=""),"",IF(M152&lt;=$A$19,$D$19,IF(M152&gt;=INDEX($A$19:$A$2018,$E$12),INDEX($D$19:$D$2018,$E$12),INDEX($D$19:$D$2018,MATCH(M152,$A$19:INDEX($A$19:$A$2018,$E$12),1))+(M152-INDEX($A$19:$A$2018,MATCH(M152,$A$19:INDEX($A$19:$A$2018,$E$12),1)))*(INDEX($D$19:$D$2018,MATCH(M152,$A$19:INDEX($A$19:$A$2018,$E$12),1)+1)-INDEX($D$19:$D$2018,MATCH(M152,$A$19:INDEX($A$19:$A$2018,$E$12),1)))/(INDEX($A$19:$A$2018,MATCH(M152,$A$19:INDEX($A$19:$A$2018,$E$12),1)+1)-INDEX($A$19:$A$2018,MATCH(M152,$A$19:INDEX($A$19:$A$2018,$E$12),1))))))</f>
        <v/>
      </c>
      <c r="Y152">
        <f>IF(X152="","",X152*1000/$B$4)</f>
        <v/>
      </c>
    </row>
    <row r="153">
      <c r="A153" s="10" t="n"/>
      <c r="B153" s="10" t="n"/>
      <c r="C153" s="11">
        <f>IF(A153="","",$B$5*TAN(RADIANS(A153)))</f>
        <v/>
      </c>
      <c r="D153" s="11">
        <f>IF(C153="","",C153*(1+B153/100))</f>
        <v/>
      </c>
      <c r="E153" s="11">
        <f>IF(A153="","",$B$6*TAN(RADIANS(A153)))</f>
        <v/>
      </c>
      <c r="G153" s="12">
        <f>IF(U153="","",T153)</f>
        <v/>
      </c>
      <c r="H153" s="12">
        <f>IF(U153="","",$E$4+V153*COS(RADIANS($E$8))-W153*SIN(RADIANS($E$8)))</f>
        <v/>
      </c>
      <c r="I153" s="12">
        <f>IF(U153="","",$E$5+V153*SIN(RADIANS($E$8))+W153*COS(RADIANS($E$8)))</f>
        <v/>
      </c>
      <c r="J153" s="12">
        <f>IF(H153="","",H153-$B$7)</f>
        <v/>
      </c>
      <c r="K153" s="12">
        <f>IF(I153="","",I153-$B$8)</f>
        <v/>
      </c>
      <c r="L153" s="12">
        <f>IFERROR(SQRT(J153^2+K153^2)*$B$4/1000,"")</f>
        <v/>
      </c>
      <c r="M153" s="12">
        <f>IF(OR($E$13&lt;&gt;"OK",L153=""),"",IF(L153&lt;=$D$19,$A$19,IF(L153&gt;=INDEX($D$19:$D$2018,$E$12),INDEX($A$19:$A$2018,$E$12),INDEX($A$19:$A$2018,MATCH(L153,$D$19:INDEX($D$19:$D$2018,$E$12),1))+(L153-INDEX($D$19:$D$2018,MATCH(L153,$D$19:INDEX($D$19:$D$2018,$E$12),1)))*(INDEX($A$19:$A$2018,MATCH(L153,$D$19:INDEX($D$19:$D$2018,$E$12),1)+1)-INDEX($A$19:$A$2018,MATCH(L153,$D$19:INDEX($D$19:$D$2018,$E$12),1)))/(INDEX($D$19:$D$2018,MATCH(L153,$D$19:INDEX($D$19:$D$2018,$E$12),1)+1)-INDEX($D$19:$D$2018,MATCH(L153,$D$19:INDEX($D$19:$D$2018,$E$12),1))))))</f>
        <v/>
      </c>
      <c r="N153" s="12">
        <f>IF(M153="","",$B$6*TAN(RADIANS(M153)))</f>
        <v/>
      </c>
      <c r="O153" s="12">
        <f>IF(N153="","",IF(L153=0,0,-N153*J153/SQRT(J153^2+K153^2)))</f>
        <v/>
      </c>
      <c r="P153" s="12">
        <f>IF(N153="","",IF(L153=0,0,N153*K153/SQRT(J153^2+K153^2)))</f>
        <v/>
      </c>
      <c r="Q153" s="12">
        <f>IF(N153="","",IF(N153=0,$B$7,$B$7-Y153*O153/N153))</f>
        <v/>
      </c>
      <c r="R153" s="12">
        <f>IF(N153="","",IF(N153=0,$B$8,$B$8+Y153*P153/N153))</f>
        <v/>
      </c>
      <c r="S153" s="12">
        <f>IFERROR(SQRT((Q153-H153)^2+(R153-I153)^2),"")</f>
        <v/>
      </c>
      <c r="T153">
        <f>126</f>
        <v/>
      </c>
      <c r="U153">
        <f>IF(T153&gt;4*$E$9,"",MIN(INT(T153/$E$9)+1,4))</f>
        <v/>
      </c>
      <c r="V153">
        <f>IF(T153=4*$E$9,-$E$6/2,IF(U153="","",CHOOSE(U153,-$E$6/2+MOD(T153,$E$9)/$E$9*$E$6,$E$6/2,$E$6/2-MOD(T153,$E$9)/$E$9*$E$6,-$E$6/2)))</f>
        <v/>
      </c>
      <c r="W153">
        <f>IF(T153=4*$E$9,-$E$7/2,IF(U153="","",CHOOSE(U153,-$E$7/2,-$E$7/2+MOD(T153,$E$9)/$E$9*$E$7,$E$7/2,$E$7/2-MOD(T153,$E$9)/$E$9*$E$7)))</f>
        <v/>
      </c>
      <c r="X153">
        <f>IF(OR($E$13&lt;&gt;"OK",M153=""),"",IF(M153&lt;=$A$19,$D$19,IF(M153&gt;=INDEX($A$19:$A$2018,$E$12),INDEX($D$19:$D$2018,$E$12),INDEX($D$19:$D$2018,MATCH(M153,$A$19:INDEX($A$19:$A$2018,$E$12),1))+(M153-INDEX($A$19:$A$2018,MATCH(M153,$A$19:INDEX($A$19:$A$2018,$E$12),1)))*(INDEX($D$19:$D$2018,MATCH(M153,$A$19:INDEX($A$19:$A$2018,$E$12),1)+1)-INDEX($D$19:$D$2018,MATCH(M153,$A$19:INDEX($A$19:$A$2018,$E$12),1)))/(INDEX($A$19:$A$2018,MATCH(M153,$A$19:INDEX($A$19:$A$2018,$E$12),1)+1)-INDEX($A$19:$A$2018,MATCH(M153,$A$19:INDEX($A$19:$A$2018,$E$12),1))))))</f>
        <v/>
      </c>
      <c r="Y153">
        <f>IF(X153="","",X153*1000/$B$4)</f>
        <v/>
      </c>
    </row>
    <row r="154">
      <c r="A154" s="10" t="n"/>
      <c r="B154" s="10" t="n"/>
      <c r="C154" s="11">
        <f>IF(A154="","",$B$5*TAN(RADIANS(A154)))</f>
        <v/>
      </c>
      <c r="D154" s="11">
        <f>IF(C154="","",C154*(1+B154/100))</f>
        <v/>
      </c>
      <c r="E154" s="11">
        <f>IF(A154="","",$B$6*TAN(RADIANS(A154)))</f>
        <v/>
      </c>
      <c r="G154" s="12">
        <f>IF(U154="","",T154)</f>
        <v/>
      </c>
      <c r="H154" s="12">
        <f>IF(U154="","",$E$4+V154*COS(RADIANS($E$8))-W154*SIN(RADIANS($E$8)))</f>
        <v/>
      </c>
      <c r="I154" s="12">
        <f>IF(U154="","",$E$5+V154*SIN(RADIANS($E$8))+W154*COS(RADIANS($E$8)))</f>
        <v/>
      </c>
      <c r="J154" s="12">
        <f>IF(H154="","",H154-$B$7)</f>
        <v/>
      </c>
      <c r="K154" s="12">
        <f>IF(I154="","",I154-$B$8)</f>
        <v/>
      </c>
      <c r="L154" s="12">
        <f>IFERROR(SQRT(J154^2+K154^2)*$B$4/1000,"")</f>
        <v/>
      </c>
      <c r="M154" s="12">
        <f>IF(OR($E$13&lt;&gt;"OK",L154=""),"",IF(L154&lt;=$D$19,$A$19,IF(L154&gt;=INDEX($D$19:$D$2018,$E$12),INDEX($A$19:$A$2018,$E$12),INDEX($A$19:$A$2018,MATCH(L154,$D$19:INDEX($D$19:$D$2018,$E$12),1))+(L154-INDEX($D$19:$D$2018,MATCH(L154,$D$19:INDEX($D$19:$D$2018,$E$12),1)))*(INDEX($A$19:$A$2018,MATCH(L154,$D$19:INDEX($D$19:$D$2018,$E$12),1)+1)-INDEX($A$19:$A$2018,MATCH(L154,$D$19:INDEX($D$19:$D$2018,$E$12),1)))/(INDEX($D$19:$D$2018,MATCH(L154,$D$19:INDEX($D$19:$D$2018,$E$12),1)+1)-INDEX($D$19:$D$2018,MATCH(L154,$D$19:INDEX($D$19:$D$2018,$E$12),1))))))</f>
        <v/>
      </c>
      <c r="N154" s="12">
        <f>IF(M154="","",$B$6*TAN(RADIANS(M154)))</f>
        <v/>
      </c>
      <c r="O154" s="12">
        <f>IF(N154="","",IF(L154=0,0,-N154*J154/SQRT(J154^2+K154^2)))</f>
        <v/>
      </c>
      <c r="P154" s="12">
        <f>IF(N154="","",IF(L154=0,0,N154*K154/SQRT(J154^2+K154^2)))</f>
        <v/>
      </c>
      <c r="Q154" s="12">
        <f>IF(N154="","",IF(N154=0,$B$7,$B$7-Y154*O154/N154))</f>
        <v/>
      </c>
      <c r="R154" s="12">
        <f>IF(N154="","",IF(N154=0,$B$8,$B$8+Y154*P154/N154))</f>
        <v/>
      </c>
      <c r="S154" s="12">
        <f>IFERROR(SQRT((Q154-H154)^2+(R154-I154)^2),"")</f>
        <v/>
      </c>
      <c r="T154">
        <f>127</f>
        <v/>
      </c>
      <c r="U154">
        <f>IF(T154&gt;4*$E$9,"",MIN(INT(T154/$E$9)+1,4))</f>
        <v/>
      </c>
      <c r="V154">
        <f>IF(T154=4*$E$9,-$E$6/2,IF(U154="","",CHOOSE(U154,-$E$6/2+MOD(T154,$E$9)/$E$9*$E$6,$E$6/2,$E$6/2-MOD(T154,$E$9)/$E$9*$E$6,-$E$6/2)))</f>
        <v/>
      </c>
      <c r="W154">
        <f>IF(T154=4*$E$9,-$E$7/2,IF(U154="","",CHOOSE(U154,-$E$7/2,-$E$7/2+MOD(T154,$E$9)/$E$9*$E$7,$E$7/2,$E$7/2-MOD(T154,$E$9)/$E$9*$E$7)))</f>
        <v/>
      </c>
      <c r="X154">
        <f>IF(OR($E$13&lt;&gt;"OK",M154=""),"",IF(M154&lt;=$A$19,$D$19,IF(M154&gt;=INDEX($A$19:$A$2018,$E$12),INDEX($D$19:$D$2018,$E$12),INDEX($D$19:$D$2018,MATCH(M154,$A$19:INDEX($A$19:$A$2018,$E$12),1))+(M154-INDEX($A$19:$A$2018,MATCH(M154,$A$19:INDEX($A$19:$A$2018,$E$12),1)))*(INDEX($D$19:$D$2018,MATCH(M154,$A$19:INDEX($A$19:$A$2018,$E$12),1)+1)-INDEX($D$19:$D$2018,MATCH(M154,$A$19:INDEX($A$19:$A$2018,$E$12),1)))/(INDEX($A$19:$A$2018,MATCH(M154,$A$19:INDEX($A$19:$A$2018,$E$12),1)+1)-INDEX($A$19:$A$2018,MATCH(M154,$A$19:INDEX($A$19:$A$2018,$E$12),1))))))</f>
        <v/>
      </c>
      <c r="Y154">
        <f>IF(X154="","",X154*1000/$B$4)</f>
        <v/>
      </c>
    </row>
    <row r="155">
      <c r="A155" s="10" t="n"/>
      <c r="B155" s="10" t="n"/>
      <c r="C155" s="11">
        <f>IF(A155="","",$B$5*TAN(RADIANS(A155)))</f>
        <v/>
      </c>
      <c r="D155" s="11">
        <f>IF(C155="","",C155*(1+B155/100))</f>
        <v/>
      </c>
      <c r="E155" s="11">
        <f>IF(A155="","",$B$6*TAN(RADIANS(A155)))</f>
        <v/>
      </c>
      <c r="G155" s="12">
        <f>IF(U155="","",T155)</f>
        <v/>
      </c>
      <c r="H155" s="12">
        <f>IF(U155="","",$E$4+V155*COS(RADIANS($E$8))-W155*SIN(RADIANS($E$8)))</f>
        <v/>
      </c>
      <c r="I155" s="12">
        <f>IF(U155="","",$E$5+V155*SIN(RADIANS($E$8))+W155*COS(RADIANS($E$8)))</f>
        <v/>
      </c>
      <c r="J155" s="12">
        <f>IF(H155="","",H155-$B$7)</f>
        <v/>
      </c>
      <c r="K155" s="12">
        <f>IF(I155="","",I155-$B$8)</f>
        <v/>
      </c>
      <c r="L155" s="12">
        <f>IFERROR(SQRT(J155^2+K155^2)*$B$4/1000,"")</f>
        <v/>
      </c>
      <c r="M155" s="12">
        <f>IF(OR($E$13&lt;&gt;"OK",L155=""),"",IF(L155&lt;=$D$19,$A$19,IF(L155&gt;=INDEX($D$19:$D$2018,$E$12),INDEX($A$19:$A$2018,$E$12),INDEX($A$19:$A$2018,MATCH(L155,$D$19:INDEX($D$19:$D$2018,$E$12),1))+(L155-INDEX($D$19:$D$2018,MATCH(L155,$D$19:INDEX($D$19:$D$2018,$E$12),1)))*(INDEX($A$19:$A$2018,MATCH(L155,$D$19:INDEX($D$19:$D$2018,$E$12),1)+1)-INDEX($A$19:$A$2018,MATCH(L155,$D$19:INDEX($D$19:$D$2018,$E$12),1)))/(INDEX($D$19:$D$2018,MATCH(L155,$D$19:INDEX($D$19:$D$2018,$E$12),1)+1)-INDEX($D$19:$D$2018,MATCH(L155,$D$19:INDEX($D$19:$D$2018,$E$12),1))))))</f>
        <v/>
      </c>
      <c r="N155" s="12">
        <f>IF(M155="","",$B$6*TAN(RADIANS(M155)))</f>
        <v/>
      </c>
      <c r="O155" s="12">
        <f>IF(N155="","",IF(L155=0,0,-N155*J155/SQRT(J155^2+K155^2)))</f>
        <v/>
      </c>
      <c r="P155" s="12">
        <f>IF(N155="","",IF(L155=0,0,N155*K155/SQRT(J155^2+K155^2)))</f>
        <v/>
      </c>
      <c r="Q155" s="12">
        <f>IF(N155="","",IF(N155=0,$B$7,$B$7-Y155*O155/N155))</f>
        <v/>
      </c>
      <c r="R155" s="12">
        <f>IF(N155="","",IF(N155=0,$B$8,$B$8+Y155*P155/N155))</f>
        <v/>
      </c>
      <c r="S155" s="12">
        <f>IFERROR(SQRT((Q155-H155)^2+(R155-I155)^2),"")</f>
        <v/>
      </c>
      <c r="T155">
        <f>128</f>
        <v/>
      </c>
      <c r="U155">
        <f>IF(T155&gt;4*$E$9,"",MIN(INT(T155/$E$9)+1,4))</f>
        <v/>
      </c>
      <c r="V155">
        <f>IF(T155=4*$E$9,-$E$6/2,IF(U155="","",CHOOSE(U155,-$E$6/2+MOD(T155,$E$9)/$E$9*$E$6,$E$6/2,$E$6/2-MOD(T155,$E$9)/$E$9*$E$6,-$E$6/2)))</f>
        <v/>
      </c>
      <c r="W155">
        <f>IF(T155=4*$E$9,-$E$7/2,IF(U155="","",CHOOSE(U155,-$E$7/2,-$E$7/2+MOD(T155,$E$9)/$E$9*$E$7,$E$7/2,$E$7/2-MOD(T155,$E$9)/$E$9*$E$7)))</f>
        <v/>
      </c>
      <c r="X155">
        <f>IF(OR($E$13&lt;&gt;"OK",M155=""),"",IF(M155&lt;=$A$19,$D$19,IF(M155&gt;=INDEX($A$19:$A$2018,$E$12),INDEX($D$19:$D$2018,$E$12),INDEX($D$19:$D$2018,MATCH(M155,$A$19:INDEX($A$19:$A$2018,$E$12),1))+(M155-INDEX($A$19:$A$2018,MATCH(M155,$A$19:INDEX($A$19:$A$2018,$E$12),1)))*(INDEX($D$19:$D$2018,MATCH(M155,$A$19:INDEX($A$19:$A$2018,$E$12),1)+1)-INDEX($D$19:$D$2018,MATCH(M155,$A$19:INDEX($A$19:$A$2018,$E$12),1)))/(INDEX($A$19:$A$2018,MATCH(M155,$A$19:INDEX($A$19:$A$2018,$E$12),1)+1)-INDEX($A$19:$A$2018,MATCH(M155,$A$19:INDEX($A$19:$A$2018,$E$12),1))))))</f>
        <v/>
      </c>
      <c r="Y155">
        <f>IF(X155="","",X155*1000/$B$4)</f>
        <v/>
      </c>
    </row>
    <row r="156">
      <c r="A156" s="10" t="n"/>
      <c r="B156" s="10" t="n"/>
      <c r="C156" s="11">
        <f>IF(A156="","",$B$5*TAN(RADIANS(A156)))</f>
        <v/>
      </c>
      <c r="D156" s="11">
        <f>IF(C156="","",C156*(1+B156/100))</f>
        <v/>
      </c>
      <c r="E156" s="11">
        <f>IF(A156="","",$B$6*TAN(RADIANS(A156)))</f>
        <v/>
      </c>
      <c r="G156" s="12">
        <f>IF(U156="","",T156)</f>
        <v/>
      </c>
      <c r="H156" s="12">
        <f>IF(U156="","",$E$4+V156*COS(RADIANS($E$8))-W156*SIN(RADIANS($E$8)))</f>
        <v/>
      </c>
      <c r="I156" s="12">
        <f>IF(U156="","",$E$5+V156*SIN(RADIANS($E$8))+W156*COS(RADIANS($E$8)))</f>
        <v/>
      </c>
      <c r="J156" s="12">
        <f>IF(H156="","",H156-$B$7)</f>
        <v/>
      </c>
      <c r="K156" s="12">
        <f>IF(I156="","",I156-$B$8)</f>
        <v/>
      </c>
      <c r="L156" s="12">
        <f>IFERROR(SQRT(J156^2+K156^2)*$B$4/1000,"")</f>
        <v/>
      </c>
      <c r="M156" s="12">
        <f>IF(OR($E$13&lt;&gt;"OK",L156=""),"",IF(L156&lt;=$D$19,$A$19,IF(L156&gt;=INDEX($D$19:$D$2018,$E$12),INDEX($A$19:$A$2018,$E$12),INDEX($A$19:$A$2018,MATCH(L156,$D$19:INDEX($D$19:$D$2018,$E$12),1))+(L156-INDEX($D$19:$D$2018,MATCH(L156,$D$19:INDEX($D$19:$D$2018,$E$12),1)))*(INDEX($A$19:$A$2018,MATCH(L156,$D$19:INDEX($D$19:$D$2018,$E$12),1)+1)-INDEX($A$19:$A$2018,MATCH(L156,$D$19:INDEX($D$19:$D$2018,$E$12),1)))/(INDEX($D$19:$D$2018,MATCH(L156,$D$19:INDEX($D$19:$D$2018,$E$12),1)+1)-INDEX($D$19:$D$2018,MATCH(L156,$D$19:INDEX($D$19:$D$2018,$E$12),1))))))</f>
        <v/>
      </c>
      <c r="N156" s="12">
        <f>IF(M156="","",$B$6*TAN(RADIANS(M156)))</f>
        <v/>
      </c>
      <c r="O156" s="12">
        <f>IF(N156="","",IF(L156=0,0,-N156*J156/SQRT(J156^2+K156^2)))</f>
        <v/>
      </c>
      <c r="P156" s="12">
        <f>IF(N156="","",IF(L156=0,0,N156*K156/SQRT(J156^2+K156^2)))</f>
        <v/>
      </c>
      <c r="Q156" s="12">
        <f>IF(N156="","",IF(N156=0,$B$7,$B$7-Y156*O156/N156))</f>
        <v/>
      </c>
      <c r="R156" s="12">
        <f>IF(N156="","",IF(N156=0,$B$8,$B$8+Y156*P156/N156))</f>
        <v/>
      </c>
      <c r="S156" s="12">
        <f>IFERROR(SQRT((Q156-H156)^2+(R156-I156)^2),"")</f>
        <v/>
      </c>
      <c r="T156">
        <f>129</f>
        <v/>
      </c>
      <c r="U156">
        <f>IF(T156&gt;4*$E$9,"",MIN(INT(T156/$E$9)+1,4))</f>
        <v/>
      </c>
      <c r="V156">
        <f>IF(T156=4*$E$9,-$E$6/2,IF(U156="","",CHOOSE(U156,-$E$6/2+MOD(T156,$E$9)/$E$9*$E$6,$E$6/2,$E$6/2-MOD(T156,$E$9)/$E$9*$E$6,-$E$6/2)))</f>
        <v/>
      </c>
      <c r="W156">
        <f>IF(T156=4*$E$9,-$E$7/2,IF(U156="","",CHOOSE(U156,-$E$7/2,-$E$7/2+MOD(T156,$E$9)/$E$9*$E$7,$E$7/2,$E$7/2-MOD(T156,$E$9)/$E$9*$E$7)))</f>
        <v/>
      </c>
      <c r="X156">
        <f>IF(OR($E$13&lt;&gt;"OK",M156=""),"",IF(M156&lt;=$A$19,$D$19,IF(M156&gt;=INDEX($A$19:$A$2018,$E$12),INDEX($D$19:$D$2018,$E$12),INDEX($D$19:$D$2018,MATCH(M156,$A$19:INDEX($A$19:$A$2018,$E$12),1))+(M156-INDEX($A$19:$A$2018,MATCH(M156,$A$19:INDEX($A$19:$A$2018,$E$12),1)))*(INDEX($D$19:$D$2018,MATCH(M156,$A$19:INDEX($A$19:$A$2018,$E$12),1)+1)-INDEX($D$19:$D$2018,MATCH(M156,$A$19:INDEX($A$19:$A$2018,$E$12),1)))/(INDEX($A$19:$A$2018,MATCH(M156,$A$19:INDEX($A$19:$A$2018,$E$12),1)+1)-INDEX($A$19:$A$2018,MATCH(M156,$A$19:INDEX($A$19:$A$2018,$E$12),1))))))</f>
        <v/>
      </c>
      <c r="Y156">
        <f>IF(X156="","",X156*1000/$B$4)</f>
        <v/>
      </c>
    </row>
    <row r="157">
      <c r="A157" s="10" t="n"/>
      <c r="B157" s="10" t="n"/>
      <c r="C157" s="11">
        <f>IF(A157="","",$B$5*TAN(RADIANS(A157)))</f>
        <v/>
      </c>
      <c r="D157" s="11">
        <f>IF(C157="","",C157*(1+B157/100))</f>
        <v/>
      </c>
      <c r="E157" s="11">
        <f>IF(A157="","",$B$6*TAN(RADIANS(A157)))</f>
        <v/>
      </c>
      <c r="G157" s="12">
        <f>IF(U157="","",T157)</f>
        <v/>
      </c>
      <c r="H157" s="12">
        <f>IF(U157="","",$E$4+V157*COS(RADIANS($E$8))-W157*SIN(RADIANS($E$8)))</f>
        <v/>
      </c>
      <c r="I157" s="12">
        <f>IF(U157="","",$E$5+V157*SIN(RADIANS($E$8))+W157*COS(RADIANS($E$8)))</f>
        <v/>
      </c>
      <c r="J157" s="12">
        <f>IF(H157="","",H157-$B$7)</f>
        <v/>
      </c>
      <c r="K157" s="12">
        <f>IF(I157="","",I157-$B$8)</f>
        <v/>
      </c>
      <c r="L157" s="12">
        <f>IFERROR(SQRT(J157^2+K157^2)*$B$4/1000,"")</f>
        <v/>
      </c>
      <c r="M157" s="12">
        <f>IF(OR($E$13&lt;&gt;"OK",L157=""),"",IF(L157&lt;=$D$19,$A$19,IF(L157&gt;=INDEX($D$19:$D$2018,$E$12),INDEX($A$19:$A$2018,$E$12),INDEX($A$19:$A$2018,MATCH(L157,$D$19:INDEX($D$19:$D$2018,$E$12),1))+(L157-INDEX($D$19:$D$2018,MATCH(L157,$D$19:INDEX($D$19:$D$2018,$E$12),1)))*(INDEX($A$19:$A$2018,MATCH(L157,$D$19:INDEX($D$19:$D$2018,$E$12),1)+1)-INDEX($A$19:$A$2018,MATCH(L157,$D$19:INDEX($D$19:$D$2018,$E$12),1)))/(INDEX($D$19:$D$2018,MATCH(L157,$D$19:INDEX($D$19:$D$2018,$E$12),1)+1)-INDEX($D$19:$D$2018,MATCH(L157,$D$19:INDEX($D$19:$D$2018,$E$12),1))))))</f>
        <v/>
      </c>
      <c r="N157" s="12">
        <f>IF(M157="","",$B$6*TAN(RADIANS(M157)))</f>
        <v/>
      </c>
      <c r="O157" s="12">
        <f>IF(N157="","",IF(L157=0,0,-N157*J157/SQRT(J157^2+K157^2)))</f>
        <v/>
      </c>
      <c r="P157" s="12">
        <f>IF(N157="","",IF(L157=0,0,N157*K157/SQRT(J157^2+K157^2)))</f>
        <v/>
      </c>
      <c r="Q157" s="12">
        <f>IF(N157="","",IF(N157=0,$B$7,$B$7-Y157*O157/N157))</f>
        <v/>
      </c>
      <c r="R157" s="12">
        <f>IF(N157="","",IF(N157=0,$B$8,$B$8+Y157*P157/N157))</f>
        <v/>
      </c>
      <c r="S157" s="12">
        <f>IFERROR(SQRT((Q157-H157)^2+(R157-I157)^2),"")</f>
        <v/>
      </c>
      <c r="T157">
        <f>130</f>
        <v/>
      </c>
      <c r="U157">
        <f>IF(T157&gt;4*$E$9,"",MIN(INT(T157/$E$9)+1,4))</f>
        <v/>
      </c>
      <c r="V157">
        <f>IF(T157=4*$E$9,-$E$6/2,IF(U157="","",CHOOSE(U157,-$E$6/2+MOD(T157,$E$9)/$E$9*$E$6,$E$6/2,$E$6/2-MOD(T157,$E$9)/$E$9*$E$6,-$E$6/2)))</f>
        <v/>
      </c>
      <c r="W157">
        <f>IF(T157=4*$E$9,-$E$7/2,IF(U157="","",CHOOSE(U157,-$E$7/2,-$E$7/2+MOD(T157,$E$9)/$E$9*$E$7,$E$7/2,$E$7/2-MOD(T157,$E$9)/$E$9*$E$7)))</f>
        <v/>
      </c>
      <c r="X157">
        <f>IF(OR($E$13&lt;&gt;"OK",M157=""),"",IF(M157&lt;=$A$19,$D$19,IF(M157&gt;=INDEX($A$19:$A$2018,$E$12),INDEX($D$19:$D$2018,$E$12),INDEX($D$19:$D$2018,MATCH(M157,$A$19:INDEX($A$19:$A$2018,$E$12),1))+(M157-INDEX($A$19:$A$2018,MATCH(M157,$A$19:INDEX($A$19:$A$2018,$E$12),1)))*(INDEX($D$19:$D$2018,MATCH(M157,$A$19:INDEX($A$19:$A$2018,$E$12),1)+1)-INDEX($D$19:$D$2018,MATCH(M157,$A$19:INDEX($A$19:$A$2018,$E$12),1)))/(INDEX($A$19:$A$2018,MATCH(M157,$A$19:INDEX($A$19:$A$2018,$E$12),1)+1)-INDEX($A$19:$A$2018,MATCH(M157,$A$19:INDEX($A$19:$A$2018,$E$12),1))))))</f>
        <v/>
      </c>
      <c r="Y157">
        <f>IF(X157="","",X157*1000/$B$4)</f>
        <v/>
      </c>
    </row>
    <row r="158">
      <c r="A158" s="10" t="n"/>
      <c r="B158" s="10" t="n"/>
      <c r="C158" s="11">
        <f>IF(A158="","",$B$5*TAN(RADIANS(A158)))</f>
        <v/>
      </c>
      <c r="D158" s="11">
        <f>IF(C158="","",C158*(1+B158/100))</f>
        <v/>
      </c>
      <c r="E158" s="11">
        <f>IF(A158="","",$B$6*TAN(RADIANS(A158)))</f>
        <v/>
      </c>
      <c r="G158" s="12">
        <f>IF(U158="","",T158)</f>
        <v/>
      </c>
      <c r="H158" s="12">
        <f>IF(U158="","",$E$4+V158*COS(RADIANS($E$8))-W158*SIN(RADIANS($E$8)))</f>
        <v/>
      </c>
      <c r="I158" s="12">
        <f>IF(U158="","",$E$5+V158*SIN(RADIANS($E$8))+W158*COS(RADIANS($E$8)))</f>
        <v/>
      </c>
      <c r="J158" s="12">
        <f>IF(H158="","",H158-$B$7)</f>
        <v/>
      </c>
      <c r="K158" s="12">
        <f>IF(I158="","",I158-$B$8)</f>
        <v/>
      </c>
      <c r="L158" s="12">
        <f>IFERROR(SQRT(J158^2+K158^2)*$B$4/1000,"")</f>
        <v/>
      </c>
      <c r="M158" s="12">
        <f>IF(OR($E$13&lt;&gt;"OK",L158=""),"",IF(L158&lt;=$D$19,$A$19,IF(L158&gt;=INDEX($D$19:$D$2018,$E$12),INDEX($A$19:$A$2018,$E$12),INDEX($A$19:$A$2018,MATCH(L158,$D$19:INDEX($D$19:$D$2018,$E$12),1))+(L158-INDEX($D$19:$D$2018,MATCH(L158,$D$19:INDEX($D$19:$D$2018,$E$12),1)))*(INDEX($A$19:$A$2018,MATCH(L158,$D$19:INDEX($D$19:$D$2018,$E$12),1)+1)-INDEX($A$19:$A$2018,MATCH(L158,$D$19:INDEX($D$19:$D$2018,$E$12),1)))/(INDEX($D$19:$D$2018,MATCH(L158,$D$19:INDEX($D$19:$D$2018,$E$12),1)+1)-INDEX($D$19:$D$2018,MATCH(L158,$D$19:INDEX($D$19:$D$2018,$E$12),1))))))</f>
        <v/>
      </c>
      <c r="N158" s="12">
        <f>IF(M158="","",$B$6*TAN(RADIANS(M158)))</f>
        <v/>
      </c>
      <c r="O158" s="12">
        <f>IF(N158="","",IF(L158=0,0,-N158*J158/SQRT(J158^2+K158^2)))</f>
        <v/>
      </c>
      <c r="P158" s="12">
        <f>IF(N158="","",IF(L158=0,0,N158*K158/SQRT(J158^2+K158^2)))</f>
        <v/>
      </c>
      <c r="Q158" s="12">
        <f>IF(N158="","",IF(N158=0,$B$7,$B$7-Y158*O158/N158))</f>
        <v/>
      </c>
      <c r="R158" s="12">
        <f>IF(N158="","",IF(N158=0,$B$8,$B$8+Y158*P158/N158))</f>
        <v/>
      </c>
      <c r="S158" s="12">
        <f>IFERROR(SQRT((Q158-H158)^2+(R158-I158)^2),"")</f>
        <v/>
      </c>
      <c r="T158">
        <f>131</f>
        <v/>
      </c>
      <c r="U158">
        <f>IF(T158&gt;4*$E$9,"",MIN(INT(T158/$E$9)+1,4))</f>
        <v/>
      </c>
      <c r="V158">
        <f>IF(T158=4*$E$9,-$E$6/2,IF(U158="","",CHOOSE(U158,-$E$6/2+MOD(T158,$E$9)/$E$9*$E$6,$E$6/2,$E$6/2-MOD(T158,$E$9)/$E$9*$E$6,-$E$6/2)))</f>
        <v/>
      </c>
      <c r="W158">
        <f>IF(T158=4*$E$9,-$E$7/2,IF(U158="","",CHOOSE(U158,-$E$7/2,-$E$7/2+MOD(T158,$E$9)/$E$9*$E$7,$E$7/2,$E$7/2-MOD(T158,$E$9)/$E$9*$E$7)))</f>
        <v/>
      </c>
      <c r="X158">
        <f>IF(OR($E$13&lt;&gt;"OK",M158=""),"",IF(M158&lt;=$A$19,$D$19,IF(M158&gt;=INDEX($A$19:$A$2018,$E$12),INDEX($D$19:$D$2018,$E$12),INDEX($D$19:$D$2018,MATCH(M158,$A$19:INDEX($A$19:$A$2018,$E$12),1))+(M158-INDEX($A$19:$A$2018,MATCH(M158,$A$19:INDEX($A$19:$A$2018,$E$12),1)))*(INDEX($D$19:$D$2018,MATCH(M158,$A$19:INDEX($A$19:$A$2018,$E$12),1)+1)-INDEX($D$19:$D$2018,MATCH(M158,$A$19:INDEX($A$19:$A$2018,$E$12),1)))/(INDEX($A$19:$A$2018,MATCH(M158,$A$19:INDEX($A$19:$A$2018,$E$12),1)+1)-INDEX($A$19:$A$2018,MATCH(M158,$A$19:INDEX($A$19:$A$2018,$E$12),1))))))</f>
        <v/>
      </c>
      <c r="Y158">
        <f>IF(X158="","",X158*1000/$B$4)</f>
        <v/>
      </c>
    </row>
    <row r="159">
      <c r="A159" s="10" t="n"/>
      <c r="B159" s="10" t="n"/>
      <c r="C159" s="11">
        <f>IF(A159="","",$B$5*TAN(RADIANS(A159)))</f>
        <v/>
      </c>
      <c r="D159" s="11">
        <f>IF(C159="","",C159*(1+B159/100))</f>
        <v/>
      </c>
      <c r="E159" s="11">
        <f>IF(A159="","",$B$6*TAN(RADIANS(A159)))</f>
        <v/>
      </c>
      <c r="G159" s="12">
        <f>IF(U159="","",T159)</f>
        <v/>
      </c>
      <c r="H159" s="12">
        <f>IF(U159="","",$E$4+V159*COS(RADIANS($E$8))-W159*SIN(RADIANS($E$8)))</f>
        <v/>
      </c>
      <c r="I159" s="12">
        <f>IF(U159="","",$E$5+V159*SIN(RADIANS($E$8))+W159*COS(RADIANS($E$8)))</f>
        <v/>
      </c>
      <c r="J159" s="12">
        <f>IF(H159="","",H159-$B$7)</f>
        <v/>
      </c>
      <c r="K159" s="12">
        <f>IF(I159="","",I159-$B$8)</f>
        <v/>
      </c>
      <c r="L159" s="12">
        <f>IFERROR(SQRT(J159^2+K159^2)*$B$4/1000,"")</f>
        <v/>
      </c>
      <c r="M159" s="12">
        <f>IF(OR($E$13&lt;&gt;"OK",L159=""),"",IF(L159&lt;=$D$19,$A$19,IF(L159&gt;=INDEX($D$19:$D$2018,$E$12),INDEX($A$19:$A$2018,$E$12),INDEX($A$19:$A$2018,MATCH(L159,$D$19:INDEX($D$19:$D$2018,$E$12),1))+(L159-INDEX($D$19:$D$2018,MATCH(L159,$D$19:INDEX($D$19:$D$2018,$E$12),1)))*(INDEX($A$19:$A$2018,MATCH(L159,$D$19:INDEX($D$19:$D$2018,$E$12),1)+1)-INDEX($A$19:$A$2018,MATCH(L159,$D$19:INDEX($D$19:$D$2018,$E$12),1)))/(INDEX($D$19:$D$2018,MATCH(L159,$D$19:INDEX($D$19:$D$2018,$E$12),1)+1)-INDEX($D$19:$D$2018,MATCH(L159,$D$19:INDEX($D$19:$D$2018,$E$12),1))))))</f>
        <v/>
      </c>
      <c r="N159" s="12">
        <f>IF(M159="","",$B$6*TAN(RADIANS(M159)))</f>
        <v/>
      </c>
      <c r="O159" s="12">
        <f>IF(N159="","",IF(L159=0,0,-N159*J159/SQRT(J159^2+K159^2)))</f>
        <v/>
      </c>
      <c r="P159" s="12">
        <f>IF(N159="","",IF(L159=0,0,N159*K159/SQRT(J159^2+K159^2)))</f>
        <v/>
      </c>
      <c r="Q159" s="12">
        <f>IF(N159="","",IF(N159=0,$B$7,$B$7-Y159*O159/N159))</f>
        <v/>
      </c>
      <c r="R159" s="12">
        <f>IF(N159="","",IF(N159=0,$B$8,$B$8+Y159*P159/N159))</f>
        <v/>
      </c>
      <c r="S159" s="12">
        <f>IFERROR(SQRT((Q159-H159)^2+(R159-I159)^2),"")</f>
        <v/>
      </c>
      <c r="T159">
        <f>132</f>
        <v/>
      </c>
      <c r="U159">
        <f>IF(T159&gt;4*$E$9,"",MIN(INT(T159/$E$9)+1,4))</f>
        <v/>
      </c>
      <c r="V159">
        <f>IF(T159=4*$E$9,-$E$6/2,IF(U159="","",CHOOSE(U159,-$E$6/2+MOD(T159,$E$9)/$E$9*$E$6,$E$6/2,$E$6/2-MOD(T159,$E$9)/$E$9*$E$6,-$E$6/2)))</f>
        <v/>
      </c>
      <c r="W159">
        <f>IF(T159=4*$E$9,-$E$7/2,IF(U159="","",CHOOSE(U159,-$E$7/2,-$E$7/2+MOD(T159,$E$9)/$E$9*$E$7,$E$7/2,$E$7/2-MOD(T159,$E$9)/$E$9*$E$7)))</f>
        <v/>
      </c>
      <c r="X159">
        <f>IF(OR($E$13&lt;&gt;"OK",M159=""),"",IF(M159&lt;=$A$19,$D$19,IF(M159&gt;=INDEX($A$19:$A$2018,$E$12),INDEX($D$19:$D$2018,$E$12),INDEX($D$19:$D$2018,MATCH(M159,$A$19:INDEX($A$19:$A$2018,$E$12),1))+(M159-INDEX($A$19:$A$2018,MATCH(M159,$A$19:INDEX($A$19:$A$2018,$E$12),1)))*(INDEX($D$19:$D$2018,MATCH(M159,$A$19:INDEX($A$19:$A$2018,$E$12),1)+1)-INDEX($D$19:$D$2018,MATCH(M159,$A$19:INDEX($A$19:$A$2018,$E$12),1)))/(INDEX($A$19:$A$2018,MATCH(M159,$A$19:INDEX($A$19:$A$2018,$E$12),1)+1)-INDEX($A$19:$A$2018,MATCH(M159,$A$19:INDEX($A$19:$A$2018,$E$12),1))))))</f>
        <v/>
      </c>
      <c r="Y159">
        <f>IF(X159="","",X159*1000/$B$4)</f>
        <v/>
      </c>
    </row>
    <row r="160">
      <c r="A160" s="10" t="n"/>
      <c r="B160" s="10" t="n"/>
      <c r="C160" s="11">
        <f>IF(A160="","",$B$5*TAN(RADIANS(A160)))</f>
        <v/>
      </c>
      <c r="D160" s="11">
        <f>IF(C160="","",C160*(1+B160/100))</f>
        <v/>
      </c>
      <c r="E160" s="11">
        <f>IF(A160="","",$B$6*TAN(RADIANS(A160)))</f>
        <v/>
      </c>
      <c r="G160" s="12">
        <f>IF(U160="","",T160)</f>
        <v/>
      </c>
      <c r="H160" s="12">
        <f>IF(U160="","",$E$4+V160*COS(RADIANS($E$8))-W160*SIN(RADIANS($E$8)))</f>
        <v/>
      </c>
      <c r="I160" s="12">
        <f>IF(U160="","",$E$5+V160*SIN(RADIANS($E$8))+W160*COS(RADIANS($E$8)))</f>
        <v/>
      </c>
      <c r="J160" s="12">
        <f>IF(H160="","",H160-$B$7)</f>
        <v/>
      </c>
      <c r="K160" s="12">
        <f>IF(I160="","",I160-$B$8)</f>
        <v/>
      </c>
      <c r="L160" s="12">
        <f>IFERROR(SQRT(J160^2+K160^2)*$B$4/1000,"")</f>
        <v/>
      </c>
      <c r="M160" s="12">
        <f>IF(OR($E$13&lt;&gt;"OK",L160=""),"",IF(L160&lt;=$D$19,$A$19,IF(L160&gt;=INDEX($D$19:$D$2018,$E$12),INDEX($A$19:$A$2018,$E$12),INDEX($A$19:$A$2018,MATCH(L160,$D$19:INDEX($D$19:$D$2018,$E$12),1))+(L160-INDEX($D$19:$D$2018,MATCH(L160,$D$19:INDEX($D$19:$D$2018,$E$12),1)))*(INDEX($A$19:$A$2018,MATCH(L160,$D$19:INDEX($D$19:$D$2018,$E$12),1)+1)-INDEX($A$19:$A$2018,MATCH(L160,$D$19:INDEX($D$19:$D$2018,$E$12),1)))/(INDEX($D$19:$D$2018,MATCH(L160,$D$19:INDEX($D$19:$D$2018,$E$12),1)+1)-INDEX($D$19:$D$2018,MATCH(L160,$D$19:INDEX($D$19:$D$2018,$E$12),1))))))</f>
        <v/>
      </c>
      <c r="N160" s="12">
        <f>IF(M160="","",$B$6*TAN(RADIANS(M160)))</f>
        <v/>
      </c>
      <c r="O160" s="12">
        <f>IF(N160="","",IF(L160=0,0,-N160*J160/SQRT(J160^2+K160^2)))</f>
        <v/>
      </c>
      <c r="P160" s="12">
        <f>IF(N160="","",IF(L160=0,0,N160*K160/SQRT(J160^2+K160^2)))</f>
        <v/>
      </c>
      <c r="Q160" s="12">
        <f>IF(N160="","",IF(N160=0,$B$7,$B$7-Y160*O160/N160))</f>
        <v/>
      </c>
      <c r="R160" s="12">
        <f>IF(N160="","",IF(N160=0,$B$8,$B$8+Y160*P160/N160))</f>
        <v/>
      </c>
      <c r="S160" s="12">
        <f>IFERROR(SQRT((Q160-H160)^2+(R160-I160)^2),"")</f>
        <v/>
      </c>
      <c r="T160">
        <f>133</f>
        <v/>
      </c>
      <c r="U160">
        <f>IF(T160&gt;4*$E$9,"",MIN(INT(T160/$E$9)+1,4))</f>
        <v/>
      </c>
      <c r="V160">
        <f>IF(T160=4*$E$9,-$E$6/2,IF(U160="","",CHOOSE(U160,-$E$6/2+MOD(T160,$E$9)/$E$9*$E$6,$E$6/2,$E$6/2-MOD(T160,$E$9)/$E$9*$E$6,-$E$6/2)))</f>
        <v/>
      </c>
      <c r="W160">
        <f>IF(T160=4*$E$9,-$E$7/2,IF(U160="","",CHOOSE(U160,-$E$7/2,-$E$7/2+MOD(T160,$E$9)/$E$9*$E$7,$E$7/2,$E$7/2-MOD(T160,$E$9)/$E$9*$E$7)))</f>
        <v/>
      </c>
      <c r="X160">
        <f>IF(OR($E$13&lt;&gt;"OK",M160=""),"",IF(M160&lt;=$A$19,$D$19,IF(M160&gt;=INDEX($A$19:$A$2018,$E$12),INDEX($D$19:$D$2018,$E$12),INDEX($D$19:$D$2018,MATCH(M160,$A$19:INDEX($A$19:$A$2018,$E$12),1))+(M160-INDEX($A$19:$A$2018,MATCH(M160,$A$19:INDEX($A$19:$A$2018,$E$12),1)))*(INDEX($D$19:$D$2018,MATCH(M160,$A$19:INDEX($A$19:$A$2018,$E$12),1)+1)-INDEX($D$19:$D$2018,MATCH(M160,$A$19:INDEX($A$19:$A$2018,$E$12),1)))/(INDEX($A$19:$A$2018,MATCH(M160,$A$19:INDEX($A$19:$A$2018,$E$12),1)+1)-INDEX($A$19:$A$2018,MATCH(M160,$A$19:INDEX($A$19:$A$2018,$E$12),1))))))</f>
        <v/>
      </c>
      <c r="Y160">
        <f>IF(X160="","",X160*1000/$B$4)</f>
        <v/>
      </c>
    </row>
    <row r="161">
      <c r="A161" s="10" t="n"/>
      <c r="B161" s="10" t="n"/>
      <c r="C161" s="11">
        <f>IF(A161="","",$B$5*TAN(RADIANS(A161)))</f>
        <v/>
      </c>
      <c r="D161" s="11">
        <f>IF(C161="","",C161*(1+B161/100))</f>
        <v/>
      </c>
      <c r="E161" s="11">
        <f>IF(A161="","",$B$6*TAN(RADIANS(A161)))</f>
        <v/>
      </c>
      <c r="G161" s="12">
        <f>IF(U161="","",T161)</f>
        <v/>
      </c>
      <c r="H161" s="12">
        <f>IF(U161="","",$E$4+V161*COS(RADIANS($E$8))-W161*SIN(RADIANS($E$8)))</f>
        <v/>
      </c>
      <c r="I161" s="12">
        <f>IF(U161="","",$E$5+V161*SIN(RADIANS($E$8))+W161*COS(RADIANS($E$8)))</f>
        <v/>
      </c>
      <c r="J161" s="12">
        <f>IF(H161="","",H161-$B$7)</f>
        <v/>
      </c>
      <c r="K161" s="12">
        <f>IF(I161="","",I161-$B$8)</f>
        <v/>
      </c>
      <c r="L161" s="12">
        <f>IFERROR(SQRT(J161^2+K161^2)*$B$4/1000,"")</f>
        <v/>
      </c>
      <c r="M161" s="12">
        <f>IF(OR($E$13&lt;&gt;"OK",L161=""),"",IF(L161&lt;=$D$19,$A$19,IF(L161&gt;=INDEX($D$19:$D$2018,$E$12),INDEX($A$19:$A$2018,$E$12),INDEX($A$19:$A$2018,MATCH(L161,$D$19:INDEX($D$19:$D$2018,$E$12),1))+(L161-INDEX($D$19:$D$2018,MATCH(L161,$D$19:INDEX($D$19:$D$2018,$E$12),1)))*(INDEX($A$19:$A$2018,MATCH(L161,$D$19:INDEX($D$19:$D$2018,$E$12),1)+1)-INDEX($A$19:$A$2018,MATCH(L161,$D$19:INDEX($D$19:$D$2018,$E$12),1)))/(INDEX($D$19:$D$2018,MATCH(L161,$D$19:INDEX($D$19:$D$2018,$E$12),1)+1)-INDEX($D$19:$D$2018,MATCH(L161,$D$19:INDEX($D$19:$D$2018,$E$12),1))))))</f>
        <v/>
      </c>
      <c r="N161" s="12">
        <f>IF(M161="","",$B$6*TAN(RADIANS(M161)))</f>
        <v/>
      </c>
      <c r="O161" s="12">
        <f>IF(N161="","",IF(L161=0,0,-N161*J161/SQRT(J161^2+K161^2)))</f>
        <v/>
      </c>
      <c r="P161" s="12">
        <f>IF(N161="","",IF(L161=0,0,N161*K161/SQRT(J161^2+K161^2)))</f>
        <v/>
      </c>
      <c r="Q161" s="12">
        <f>IF(N161="","",IF(N161=0,$B$7,$B$7-Y161*O161/N161))</f>
        <v/>
      </c>
      <c r="R161" s="12">
        <f>IF(N161="","",IF(N161=0,$B$8,$B$8+Y161*P161/N161))</f>
        <v/>
      </c>
      <c r="S161" s="12">
        <f>IFERROR(SQRT((Q161-H161)^2+(R161-I161)^2),"")</f>
        <v/>
      </c>
      <c r="T161">
        <f>134</f>
        <v/>
      </c>
      <c r="U161">
        <f>IF(T161&gt;4*$E$9,"",MIN(INT(T161/$E$9)+1,4))</f>
        <v/>
      </c>
      <c r="V161">
        <f>IF(T161=4*$E$9,-$E$6/2,IF(U161="","",CHOOSE(U161,-$E$6/2+MOD(T161,$E$9)/$E$9*$E$6,$E$6/2,$E$6/2-MOD(T161,$E$9)/$E$9*$E$6,-$E$6/2)))</f>
        <v/>
      </c>
      <c r="W161">
        <f>IF(T161=4*$E$9,-$E$7/2,IF(U161="","",CHOOSE(U161,-$E$7/2,-$E$7/2+MOD(T161,$E$9)/$E$9*$E$7,$E$7/2,$E$7/2-MOD(T161,$E$9)/$E$9*$E$7)))</f>
        <v/>
      </c>
      <c r="X161">
        <f>IF(OR($E$13&lt;&gt;"OK",M161=""),"",IF(M161&lt;=$A$19,$D$19,IF(M161&gt;=INDEX($A$19:$A$2018,$E$12),INDEX($D$19:$D$2018,$E$12),INDEX($D$19:$D$2018,MATCH(M161,$A$19:INDEX($A$19:$A$2018,$E$12),1))+(M161-INDEX($A$19:$A$2018,MATCH(M161,$A$19:INDEX($A$19:$A$2018,$E$12),1)))*(INDEX($D$19:$D$2018,MATCH(M161,$A$19:INDEX($A$19:$A$2018,$E$12),1)+1)-INDEX($D$19:$D$2018,MATCH(M161,$A$19:INDEX($A$19:$A$2018,$E$12),1)))/(INDEX($A$19:$A$2018,MATCH(M161,$A$19:INDEX($A$19:$A$2018,$E$12),1)+1)-INDEX($A$19:$A$2018,MATCH(M161,$A$19:INDEX($A$19:$A$2018,$E$12),1))))))</f>
        <v/>
      </c>
      <c r="Y161">
        <f>IF(X161="","",X161*1000/$B$4)</f>
        <v/>
      </c>
    </row>
    <row r="162">
      <c r="A162" s="10" t="n"/>
      <c r="B162" s="10" t="n"/>
      <c r="C162" s="11">
        <f>IF(A162="","",$B$5*TAN(RADIANS(A162)))</f>
        <v/>
      </c>
      <c r="D162" s="11">
        <f>IF(C162="","",C162*(1+B162/100))</f>
        <v/>
      </c>
      <c r="E162" s="11">
        <f>IF(A162="","",$B$6*TAN(RADIANS(A162)))</f>
        <v/>
      </c>
      <c r="G162" s="12">
        <f>IF(U162="","",T162)</f>
        <v/>
      </c>
      <c r="H162" s="12">
        <f>IF(U162="","",$E$4+V162*COS(RADIANS($E$8))-W162*SIN(RADIANS($E$8)))</f>
        <v/>
      </c>
      <c r="I162" s="12">
        <f>IF(U162="","",$E$5+V162*SIN(RADIANS($E$8))+W162*COS(RADIANS($E$8)))</f>
        <v/>
      </c>
      <c r="J162" s="12">
        <f>IF(H162="","",H162-$B$7)</f>
        <v/>
      </c>
      <c r="K162" s="12">
        <f>IF(I162="","",I162-$B$8)</f>
        <v/>
      </c>
      <c r="L162" s="12">
        <f>IFERROR(SQRT(J162^2+K162^2)*$B$4/1000,"")</f>
        <v/>
      </c>
      <c r="M162" s="12">
        <f>IF(OR($E$13&lt;&gt;"OK",L162=""),"",IF(L162&lt;=$D$19,$A$19,IF(L162&gt;=INDEX($D$19:$D$2018,$E$12),INDEX($A$19:$A$2018,$E$12),INDEX($A$19:$A$2018,MATCH(L162,$D$19:INDEX($D$19:$D$2018,$E$12),1))+(L162-INDEX($D$19:$D$2018,MATCH(L162,$D$19:INDEX($D$19:$D$2018,$E$12),1)))*(INDEX($A$19:$A$2018,MATCH(L162,$D$19:INDEX($D$19:$D$2018,$E$12),1)+1)-INDEX($A$19:$A$2018,MATCH(L162,$D$19:INDEX($D$19:$D$2018,$E$12),1)))/(INDEX($D$19:$D$2018,MATCH(L162,$D$19:INDEX($D$19:$D$2018,$E$12),1)+1)-INDEX($D$19:$D$2018,MATCH(L162,$D$19:INDEX($D$19:$D$2018,$E$12),1))))))</f>
        <v/>
      </c>
      <c r="N162" s="12">
        <f>IF(M162="","",$B$6*TAN(RADIANS(M162)))</f>
        <v/>
      </c>
      <c r="O162" s="12">
        <f>IF(N162="","",IF(L162=0,0,-N162*J162/SQRT(J162^2+K162^2)))</f>
        <v/>
      </c>
      <c r="P162" s="12">
        <f>IF(N162="","",IF(L162=0,0,N162*K162/SQRT(J162^2+K162^2)))</f>
        <v/>
      </c>
      <c r="Q162" s="12">
        <f>IF(N162="","",IF(N162=0,$B$7,$B$7-Y162*O162/N162))</f>
        <v/>
      </c>
      <c r="R162" s="12">
        <f>IF(N162="","",IF(N162=0,$B$8,$B$8+Y162*P162/N162))</f>
        <v/>
      </c>
      <c r="S162" s="12">
        <f>IFERROR(SQRT((Q162-H162)^2+(R162-I162)^2),"")</f>
        <v/>
      </c>
      <c r="T162">
        <f>135</f>
        <v/>
      </c>
      <c r="U162">
        <f>IF(T162&gt;4*$E$9,"",MIN(INT(T162/$E$9)+1,4))</f>
        <v/>
      </c>
      <c r="V162">
        <f>IF(T162=4*$E$9,-$E$6/2,IF(U162="","",CHOOSE(U162,-$E$6/2+MOD(T162,$E$9)/$E$9*$E$6,$E$6/2,$E$6/2-MOD(T162,$E$9)/$E$9*$E$6,-$E$6/2)))</f>
        <v/>
      </c>
      <c r="W162">
        <f>IF(T162=4*$E$9,-$E$7/2,IF(U162="","",CHOOSE(U162,-$E$7/2,-$E$7/2+MOD(T162,$E$9)/$E$9*$E$7,$E$7/2,$E$7/2-MOD(T162,$E$9)/$E$9*$E$7)))</f>
        <v/>
      </c>
      <c r="X162">
        <f>IF(OR($E$13&lt;&gt;"OK",M162=""),"",IF(M162&lt;=$A$19,$D$19,IF(M162&gt;=INDEX($A$19:$A$2018,$E$12),INDEX($D$19:$D$2018,$E$12),INDEX($D$19:$D$2018,MATCH(M162,$A$19:INDEX($A$19:$A$2018,$E$12),1))+(M162-INDEX($A$19:$A$2018,MATCH(M162,$A$19:INDEX($A$19:$A$2018,$E$12),1)))*(INDEX($D$19:$D$2018,MATCH(M162,$A$19:INDEX($A$19:$A$2018,$E$12),1)+1)-INDEX($D$19:$D$2018,MATCH(M162,$A$19:INDEX($A$19:$A$2018,$E$12),1)))/(INDEX($A$19:$A$2018,MATCH(M162,$A$19:INDEX($A$19:$A$2018,$E$12),1)+1)-INDEX($A$19:$A$2018,MATCH(M162,$A$19:INDEX($A$19:$A$2018,$E$12),1))))))</f>
        <v/>
      </c>
      <c r="Y162">
        <f>IF(X162="","",X162*1000/$B$4)</f>
        <v/>
      </c>
    </row>
    <row r="163">
      <c r="A163" s="10" t="n"/>
      <c r="B163" s="10" t="n"/>
      <c r="C163" s="11">
        <f>IF(A163="","",$B$5*TAN(RADIANS(A163)))</f>
        <v/>
      </c>
      <c r="D163" s="11">
        <f>IF(C163="","",C163*(1+B163/100))</f>
        <v/>
      </c>
      <c r="E163" s="11">
        <f>IF(A163="","",$B$6*TAN(RADIANS(A163)))</f>
        <v/>
      </c>
      <c r="G163" s="12">
        <f>IF(U163="","",T163)</f>
        <v/>
      </c>
      <c r="H163" s="12">
        <f>IF(U163="","",$E$4+V163*COS(RADIANS($E$8))-W163*SIN(RADIANS($E$8)))</f>
        <v/>
      </c>
      <c r="I163" s="12">
        <f>IF(U163="","",$E$5+V163*SIN(RADIANS($E$8))+W163*COS(RADIANS($E$8)))</f>
        <v/>
      </c>
      <c r="J163" s="12">
        <f>IF(H163="","",H163-$B$7)</f>
        <v/>
      </c>
      <c r="K163" s="12">
        <f>IF(I163="","",I163-$B$8)</f>
        <v/>
      </c>
      <c r="L163" s="12">
        <f>IFERROR(SQRT(J163^2+K163^2)*$B$4/1000,"")</f>
        <v/>
      </c>
      <c r="M163" s="12">
        <f>IF(OR($E$13&lt;&gt;"OK",L163=""),"",IF(L163&lt;=$D$19,$A$19,IF(L163&gt;=INDEX($D$19:$D$2018,$E$12),INDEX($A$19:$A$2018,$E$12),INDEX($A$19:$A$2018,MATCH(L163,$D$19:INDEX($D$19:$D$2018,$E$12),1))+(L163-INDEX($D$19:$D$2018,MATCH(L163,$D$19:INDEX($D$19:$D$2018,$E$12),1)))*(INDEX($A$19:$A$2018,MATCH(L163,$D$19:INDEX($D$19:$D$2018,$E$12),1)+1)-INDEX($A$19:$A$2018,MATCH(L163,$D$19:INDEX($D$19:$D$2018,$E$12),1)))/(INDEX($D$19:$D$2018,MATCH(L163,$D$19:INDEX($D$19:$D$2018,$E$12),1)+1)-INDEX($D$19:$D$2018,MATCH(L163,$D$19:INDEX($D$19:$D$2018,$E$12),1))))))</f>
        <v/>
      </c>
      <c r="N163" s="12">
        <f>IF(M163="","",$B$6*TAN(RADIANS(M163)))</f>
        <v/>
      </c>
      <c r="O163" s="12">
        <f>IF(N163="","",IF(L163=0,0,-N163*J163/SQRT(J163^2+K163^2)))</f>
        <v/>
      </c>
      <c r="P163" s="12">
        <f>IF(N163="","",IF(L163=0,0,N163*K163/SQRT(J163^2+K163^2)))</f>
        <v/>
      </c>
      <c r="Q163" s="12">
        <f>IF(N163="","",IF(N163=0,$B$7,$B$7-Y163*O163/N163))</f>
        <v/>
      </c>
      <c r="R163" s="12">
        <f>IF(N163="","",IF(N163=0,$B$8,$B$8+Y163*P163/N163))</f>
        <v/>
      </c>
      <c r="S163" s="12">
        <f>IFERROR(SQRT((Q163-H163)^2+(R163-I163)^2),"")</f>
        <v/>
      </c>
      <c r="T163">
        <f>136</f>
        <v/>
      </c>
      <c r="U163">
        <f>IF(T163&gt;4*$E$9,"",MIN(INT(T163/$E$9)+1,4))</f>
        <v/>
      </c>
      <c r="V163">
        <f>IF(T163=4*$E$9,-$E$6/2,IF(U163="","",CHOOSE(U163,-$E$6/2+MOD(T163,$E$9)/$E$9*$E$6,$E$6/2,$E$6/2-MOD(T163,$E$9)/$E$9*$E$6,-$E$6/2)))</f>
        <v/>
      </c>
      <c r="W163">
        <f>IF(T163=4*$E$9,-$E$7/2,IF(U163="","",CHOOSE(U163,-$E$7/2,-$E$7/2+MOD(T163,$E$9)/$E$9*$E$7,$E$7/2,$E$7/2-MOD(T163,$E$9)/$E$9*$E$7)))</f>
        <v/>
      </c>
      <c r="X163">
        <f>IF(OR($E$13&lt;&gt;"OK",M163=""),"",IF(M163&lt;=$A$19,$D$19,IF(M163&gt;=INDEX($A$19:$A$2018,$E$12),INDEX($D$19:$D$2018,$E$12),INDEX($D$19:$D$2018,MATCH(M163,$A$19:INDEX($A$19:$A$2018,$E$12),1))+(M163-INDEX($A$19:$A$2018,MATCH(M163,$A$19:INDEX($A$19:$A$2018,$E$12),1)))*(INDEX($D$19:$D$2018,MATCH(M163,$A$19:INDEX($A$19:$A$2018,$E$12),1)+1)-INDEX($D$19:$D$2018,MATCH(M163,$A$19:INDEX($A$19:$A$2018,$E$12),1)))/(INDEX($A$19:$A$2018,MATCH(M163,$A$19:INDEX($A$19:$A$2018,$E$12),1)+1)-INDEX($A$19:$A$2018,MATCH(M163,$A$19:INDEX($A$19:$A$2018,$E$12),1))))))</f>
        <v/>
      </c>
      <c r="Y163">
        <f>IF(X163="","",X163*1000/$B$4)</f>
        <v/>
      </c>
    </row>
    <row r="164">
      <c r="A164" s="10" t="n"/>
      <c r="B164" s="10" t="n"/>
      <c r="C164" s="11">
        <f>IF(A164="","",$B$5*TAN(RADIANS(A164)))</f>
        <v/>
      </c>
      <c r="D164" s="11">
        <f>IF(C164="","",C164*(1+B164/100))</f>
        <v/>
      </c>
      <c r="E164" s="11">
        <f>IF(A164="","",$B$6*TAN(RADIANS(A164)))</f>
        <v/>
      </c>
      <c r="G164" s="12">
        <f>IF(U164="","",T164)</f>
        <v/>
      </c>
      <c r="H164" s="12">
        <f>IF(U164="","",$E$4+V164*COS(RADIANS($E$8))-W164*SIN(RADIANS($E$8)))</f>
        <v/>
      </c>
      <c r="I164" s="12">
        <f>IF(U164="","",$E$5+V164*SIN(RADIANS($E$8))+W164*COS(RADIANS($E$8)))</f>
        <v/>
      </c>
      <c r="J164" s="12">
        <f>IF(H164="","",H164-$B$7)</f>
        <v/>
      </c>
      <c r="K164" s="12">
        <f>IF(I164="","",I164-$B$8)</f>
        <v/>
      </c>
      <c r="L164" s="12">
        <f>IFERROR(SQRT(J164^2+K164^2)*$B$4/1000,"")</f>
        <v/>
      </c>
      <c r="M164" s="12">
        <f>IF(OR($E$13&lt;&gt;"OK",L164=""),"",IF(L164&lt;=$D$19,$A$19,IF(L164&gt;=INDEX($D$19:$D$2018,$E$12),INDEX($A$19:$A$2018,$E$12),INDEX($A$19:$A$2018,MATCH(L164,$D$19:INDEX($D$19:$D$2018,$E$12),1))+(L164-INDEX($D$19:$D$2018,MATCH(L164,$D$19:INDEX($D$19:$D$2018,$E$12),1)))*(INDEX($A$19:$A$2018,MATCH(L164,$D$19:INDEX($D$19:$D$2018,$E$12),1)+1)-INDEX($A$19:$A$2018,MATCH(L164,$D$19:INDEX($D$19:$D$2018,$E$12),1)))/(INDEX($D$19:$D$2018,MATCH(L164,$D$19:INDEX($D$19:$D$2018,$E$12),1)+1)-INDEX($D$19:$D$2018,MATCH(L164,$D$19:INDEX($D$19:$D$2018,$E$12),1))))))</f>
        <v/>
      </c>
      <c r="N164" s="12">
        <f>IF(M164="","",$B$6*TAN(RADIANS(M164)))</f>
        <v/>
      </c>
      <c r="O164" s="12">
        <f>IF(N164="","",IF(L164=0,0,-N164*J164/SQRT(J164^2+K164^2)))</f>
        <v/>
      </c>
      <c r="P164" s="12">
        <f>IF(N164="","",IF(L164=0,0,N164*K164/SQRT(J164^2+K164^2)))</f>
        <v/>
      </c>
      <c r="Q164" s="12">
        <f>IF(N164="","",IF(N164=0,$B$7,$B$7-Y164*O164/N164))</f>
        <v/>
      </c>
      <c r="R164" s="12">
        <f>IF(N164="","",IF(N164=0,$B$8,$B$8+Y164*P164/N164))</f>
        <v/>
      </c>
      <c r="S164" s="12">
        <f>IFERROR(SQRT((Q164-H164)^2+(R164-I164)^2),"")</f>
        <v/>
      </c>
      <c r="T164">
        <f>137</f>
        <v/>
      </c>
      <c r="U164">
        <f>IF(T164&gt;4*$E$9,"",MIN(INT(T164/$E$9)+1,4))</f>
        <v/>
      </c>
      <c r="V164">
        <f>IF(T164=4*$E$9,-$E$6/2,IF(U164="","",CHOOSE(U164,-$E$6/2+MOD(T164,$E$9)/$E$9*$E$6,$E$6/2,$E$6/2-MOD(T164,$E$9)/$E$9*$E$6,-$E$6/2)))</f>
        <v/>
      </c>
      <c r="W164">
        <f>IF(T164=4*$E$9,-$E$7/2,IF(U164="","",CHOOSE(U164,-$E$7/2,-$E$7/2+MOD(T164,$E$9)/$E$9*$E$7,$E$7/2,$E$7/2-MOD(T164,$E$9)/$E$9*$E$7)))</f>
        <v/>
      </c>
      <c r="X164">
        <f>IF(OR($E$13&lt;&gt;"OK",M164=""),"",IF(M164&lt;=$A$19,$D$19,IF(M164&gt;=INDEX($A$19:$A$2018,$E$12),INDEX($D$19:$D$2018,$E$12),INDEX($D$19:$D$2018,MATCH(M164,$A$19:INDEX($A$19:$A$2018,$E$12),1))+(M164-INDEX($A$19:$A$2018,MATCH(M164,$A$19:INDEX($A$19:$A$2018,$E$12),1)))*(INDEX($D$19:$D$2018,MATCH(M164,$A$19:INDEX($A$19:$A$2018,$E$12),1)+1)-INDEX($D$19:$D$2018,MATCH(M164,$A$19:INDEX($A$19:$A$2018,$E$12),1)))/(INDEX($A$19:$A$2018,MATCH(M164,$A$19:INDEX($A$19:$A$2018,$E$12),1)+1)-INDEX($A$19:$A$2018,MATCH(M164,$A$19:INDEX($A$19:$A$2018,$E$12),1))))))</f>
        <v/>
      </c>
      <c r="Y164">
        <f>IF(X164="","",X164*1000/$B$4)</f>
        <v/>
      </c>
    </row>
    <row r="165">
      <c r="A165" s="10" t="n"/>
      <c r="B165" s="10" t="n"/>
      <c r="C165" s="11">
        <f>IF(A165="","",$B$5*TAN(RADIANS(A165)))</f>
        <v/>
      </c>
      <c r="D165" s="11">
        <f>IF(C165="","",C165*(1+B165/100))</f>
        <v/>
      </c>
      <c r="E165" s="11">
        <f>IF(A165="","",$B$6*TAN(RADIANS(A165)))</f>
        <v/>
      </c>
      <c r="G165" s="12">
        <f>IF(U165="","",T165)</f>
        <v/>
      </c>
      <c r="H165" s="12">
        <f>IF(U165="","",$E$4+V165*COS(RADIANS($E$8))-W165*SIN(RADIANS($E$8)))</f>
        <v/>
      </c>
      <c r="I165" s="12">
        <f>IF(U165="","",$E$5+V165*SIN(RADIANS($E$8))+W165*COS(RADIANS($E$8)))</f>
        <v/>
      </c>
      <c r="J165" s="12">
        <f>IF(H165="","",H165-$B$7)</f>
        <v/>
      </c>
      <c r="K165" s="12">
        <f>IF(I165="","",I165-$B$8)</f>
        <v/>
      </c>
      <c r="L165" s="12">
        <f>IFERROR(SQRT(J165^2+K165^2)*$B$4/1000,"")</f>
        <v/>
      </c>
      <c r="M165" s="12">
        <f>IF(OR($E$13&lt;&gt;"OK",L165=""),"",IF(L165&lt;=$D$19,$A$19,IF(L165&gt;=INDEX($D$19:$D$2018,$E$12),INDEX($A$19:$A$2018,$E$12),INDEX($A$19:$A$2018,MATCH(L165,$D$19:INDEX($D$19:$D$2018,$E$12),1))+(L165-INDEX($D$19:$D$2018,MATCH(L165,$D$19:INDEX($D$19:$D$2018,$E$12),1)))*(INDEX($A$19:$A$2018,MATCH(L165,$D$19:INDEX($D$19:$D$2018,$E$12),1)+1)-INDEX($A$19:$A$2018,MATCH(L165,$D$19:INDEX($D$19:$D$2018,$E$12),1)))/(INDEX($D$19:$D$2018,MATCH(L165,$D$19:INDEX($D$19:$D$2018,$E$12),1)+1)-INDEX($D$19:$D$2018,MATCH(L165,$D$19:INDEX($D$19:$D$2018,$E$12),1))))))</f>
        <v/>
      </c>
      <c r="N165" s="12">
        <f>IF(M165="","",$B$6*TAN(RADIANS(M165)))</f>
        <v/>
      </c>
      <c r="O165" s="12">
        <f>IF(N165="","",IF(L165=0,0,-N165*J165/SQRT(J165^2+K165^2)))</f>
        <v/>
      </c>
      <c r="P165" s="12">
        <f>IF(N165="","",IF(L165=0,0,N165*K165/SQRT(J165^2+K165^2)))</f>
        <v/>
      </c>
      <c r="Q165" s="12">
        <f>IF(N165="","",IF(N165=0,$B$7,$B$7-Y165*O165/N165))</f>
        <v/>
      </c>
      <c r="R165" s="12">
        <f>IF(N165="","",IF(N165=0,$B$8,$B$8+Y165*P165/N165))</f>
        <v/>
      </c>
      <c r="S165" s="12">
        <f>IFERROR(SQRT((Q165-H165)^2+(R165-I165)^2),"")</f>
        <v/>
      </c>
      <c r="T165">
        <f>138</f>
        <v/>
      </c>
      <c r="U165">
        <f>IF(T165&gt;4*$E$9,"",MIN(INT(T165/$E$9)+1,4))</f>
        <v/>
      </c>
      <c r="V165">
        <f>IF(T165=4*$E$9,-$E$6/2,IF(U165="","",CHOOSE(U165,-$E$6/2+MOD(T165,$E$9)/$E$9*$E$6,$E$6/2,$E$6/2-MOD(T165,$E$9)/$E$9*$E$6,-$E$6/2)))</f>
        <v/>
      </c>
      <c r="W165">
        <f>IF(T165=4*$E$9,-$E$7/2,IF(U165="","",CHOOSE(U165,-$E$7/2,-$E$7/2+MOD(T165,$E$9)/$E$9*$E$7,$E$7/2,$E$7/2-MOD(T165,$E$9)/$E$9*$E$7)))</f>
        <v/>
      </c>
      <c r="X165">
        <f>IF(OR($E$13&lt;&gt;"OK",M165=""),"",IF(M165&lt;=$A$19,$D$19,IF(M165&gt;=INDEX($A$19:$A$2018,$E$12),INDEX($D$19:$D$2018,$E$12),INDEX($D$19:$D$2018,MATCH(M165,$A$19:INDEX($A$19:$A$2018,$E$12),1))+(M165-INDEX($A$19:$A$2018,MATCH(M165,$A$19:INDEX($A$19:$A$2018,$E$12),1)))*(INDEX($D$19:$D$2018,MATCH(M165,$A$19:INDEX($A$19:$A$2018,$E$12),1)+1)-INDEX($D$19:$D$2018,MATCH(M165,$A$19:INDEX($A$19:$A$2018,$E$12),1)))/(INDEX($A$19:$A$2018,MATCH(M165,$A$19:INDEX($A$19:$A$2018,$E$12),1)+1)-INDEX($A$19:$A$2018,MATCH(M165,$A$19:INDEX($A$19:$A$2018,$E$12),1))))))</f>
        <v/>
      </c>
      <c r="Y165">
        <f>IF(X165="","",X165*1000/$B$4)</f>
        <v/>
      </c>
    </row>
    <row r="166">
      <c r="A166" s="10" t="n"/>
      <c r="B166" s="10" t="n"/>
      <c r="C166" s="11">
        <f>IF(A166="","",$B$5*TAN(RADIANS(A166)))</f>
        <v/>
      </c>
      <c r="D166" s="11">
        <f>IF(C166="","",C166*(1+B166/100))</f>
        <v/>
      </c>
      <c r="E166" s="11">
        <f>IF(A166="","",$B$6*TAN(RADIANS(A166)))</f>
        <v/>
      </c>
      <c r="G166" s="12">
        <f>IF(U166="","",T166)</f>
        <v/>
      </c>
      <c r="H166" s="12">
        <f>IF(U166="","",$E$4+V166*COS(RADIANS($E$8))-W166*SIN(RADIANS($E$8)))</f>
        <v/>
      </c>
      <c r="I166" s="12">
        <f>IF(U166="","",$E$5+V166*SIN(RADIANS($E$8))+W166*COS(RADIANS($E$8)))</f>
        <v/>
      </c>
      <c r="J166" s="12">
        <f>IF(H166="","",H166-$B$7)</f>
        <v/>
      </c>
      <c r="K166" s="12">
        <f>IF(I166="","",I166-$B$8)</f>
        <v/>
      </c>
      <c r="L166" s="12">
        <f>IFERROR(SQRT(J166^2+K166^2)*$B$4/1000,"")</f>
        <v/>
      </c>
      <c r="M166" s="12">
        <f>IF(OR($E$13&lt;&gt;"OK",L166=""),"",IF(L166&lt;=$D$19,$A$19,IF(L166&gt;=INDEX($D$19:$D$2018,$E$12),INDEX($A$19:$A$2018,$E$12),INDEX($A$19:$A$2018,MATCH(L166,$D$19:INDEX($D$19:$D$2018,$E$12),1))+(L166-INDEX($D$19:$D$2018,MATCH(L166,$D$19:INDEX($D$19:$D$2018,$E$12),1)))*(INDEX($A$19:$A$2018,MATCH(L166,$D$19:INDEX($D$19:$D$2018,$E$12),1)+1)-INDEX($A$19:$A$2018,MATCH(L166,$D$19:INDEX($D$19:$D$2018,$E$12),1)))/(INDEX($D$19:$D$2018,MATCH(L166,$D$19:INDEX($D$19:$D$2018,$E$12),1)+1)-INDEX($D$19:$D$2018,MATCH(L166,$D$19:INDEX($D$19:$D$2018,$E$12),1))))))</f>
        <v/>
      </c>
      <c r="N166" s="12">
        <f>IF(M166="","",$B$6*TAN(RADIANS(M166)))</f>
        <v/>
      </c>
      <c r="O166" s="12">
        <f>IF(N166="","",IF(L166=0,0,-N166*J166/SQRT(J166^2+K166^2)))</f>
        <v/>
      </c>
      <c r="P166" s="12">
        <f>IF(N166="","",IF(L166=0,0,N166*K166/SQRT(J166^2+K166^2)))</f>
        <v/>
      </c>
      <c r="Q166" s="12">
        <f>IF(N166="","",IF(N166=0,$B$7,$B$7-Y166*O166/N166))</f>
        <v/>
      </c>
      <c r="R166" s="12">
        <f>IF(N166="","",IF(N166=0,$B$8,$B$8+Y166*P166/N166))</f>
        <v/>
      </c>
      <c r="S166" s="12">
        <f>IFERROR(SQRT((Q166-H166)^2+(R166-I166)^2),"")</f>
        <v/>
      </c>
      <c r="T166">
        <f>139</f>
        <v/>
      </c>
      <c r="U166">
        <f>IF(T166&gt;4*$E$9,"",MIN(INT(T166/$E$9)+1,4))</f>
        <v/>
      </c>
      <c r="V166">
        <f>IF(T166=4*$E$9,-$E$6/2,IF(U166="","",CHOOSE(U166,-$E$6/2+MOD(T166,$E$9)/$E$9*$E$6,$E$6/2,$E$6/2-MOD(T166,$E$9)/$E$9*$E$6,-$E$6/2)))</f>
        <v/>
      </c>
      <c r="W166">
        <f>IF(T166=4*$E$9,-$E$7/2,IF(U166="","",CHOOSE(U166,-$E$7/2,-$E$7/2+MOD(T166,$E$9)/$E$9*$E$7,$E$7/2,$E$7/2-MOD(T166,$E$9)/$E$9*$E$7)))</f>
        <v/>
      </c>
      <c r="X166">
        <f>IF(OR($E$13&lt;&gt;"OK",M166=""),"",IF(M166&lt;=$A$19,$D$19,IF(M166&gt;=INDEX($A$19:$A$2018,$E$12),INDEX($D$19:$D$2018,$E$12),INDEX($D$19:$D$2018,MATCH(M166,$A$19:INDEX($A$19:$A$2018,$E$12),1))+(M166-INDEX($A$19:$A$2018,MATCH(M166,$A$19:INDEX($A$19:$A$2018,$E$12),1)))*(INDEX($D$19:$D$2018,MATCH(M166,$A$19:INDEX($A$19:$A$2018,$E$12),1)+1)-INDEX($D$19:$D$2018,MATCH(M166,$A$19:INDEX($A$19:$A$2018,$E$12),1)))/(INDEX($A$19:$A$2018,MATCH(M166,$A$19:INDEX($A$19:$A$2018,$E$12),1)+1)-INDEX($A$19:$A$2018,MATCH(M166,$A$19:INDEX($A$19:$A$2018,$E$12),1))))))</f>
        <v/>
      </c>
      <c r="Y166">
        <f>IF(X166="","",X166*1000/$B$4)</f>
        <v/>
      </c>
    </row>
    <row r="167">
      <c r="A167" s="10" t="n"/>
      <c r="B167" s="10" t="n"/>
      <c r="C167" s="11">
        <f>IF(A167="","",$B$5*TAN(RADIANS(A167)))</f>
        <v/>
      </c>
      <c r="D167" s="11">
        <f>IF(C167="","",C167*(1+B167/100))</f>
        <v/>
      </c>
      <c r="E167" s="11">
        <f>IF(A167="","",$B$6*TAN(RADIANS(A167)))</f>
        <v/>
      </c>
      <c r="G167" s="12">
        <f>IF(U167="","",T167)</f>
        <v/>
      </c>
      <c r="H167" s="12">
        <f>IF(U167="","",$E$4+V167*COS(RADIANS($E$8))-W167*SIN(RADIANS($E$8)))</f>
        <v/>
      </c>
      <c r="I167" s="12">
        <f>IF(U167="","",$E$5+V167*SIN(RADIANS($E$8))+W167*COS(RADIANS($E$8)))</f>
        <v/>
      </c>
      <c r="J167" s="12">
        <f>IF(H167="","",H167-$B$7)</f>
        <v/>
      </c>
      <c r="K167" s="12">
        <f>IF(I167="","",I167-$B$8)</f>
        <v/>
      </c>
      <c r="L167" s="12">
        <f>IFERROR(SQRT(J167^2+K167^2)*$B$4/1000,"")</f>
        <v/>
      </c>
      <c r="M167" s="12">
        <f>IF(OR($E$13&lt;&gt;"OK",L167=""),"",IF(L167&lt;=$D$19,$A$19,IF(L167&gt;=INDEX($D$19:$D$2018,$E$12),INDEX($A$19:$A$2018,$E$12),INDEX($A$19:$A$2018,MATCH(L167,$D$19:INDEX($D$19:$D$2018,$E$12),1))+(L167-INDEX($D$19:$D$2018,MATCH(L167,$D$19:INDEX($D$19:$D$2018,$E$12),1)))*(INDEX($A$19:$A$2018,MATCH(L167,$D$19:INDEX($D$19:$D$2018,$E$12),1)+1)-INDEX($A$19:$A$2018,MATCH(L167,$D$19:INDEX($D$19:$D$2018,$E$12),1)))/(INDEX($D$19:$D$2018,MATCH(L167,$D$19:INDEX($D$19:$D$2018,$E$12),1)+1)-INDEX($D$19:$D$2018,MATCH(L167,$D$19:INDEX($D$19:$D$2018,$E$12),1))))))</f>
        <v/>
      </c>
      <c r="N167" s="12">
        <f>IF(M167="","",$B$6*TAN(RADIANS(M167)))</f>
        <v/>
      </c>
      <c r="O167" s="12">
        <f>IF(N167="","",IF(L167=0,0,-N167*J167/SQRT(J167^2+K167^2)))</f>
        <v/>
      </c>
      <c r="P167" s="12">
        <f>IF(N167="","",IF(L167=0,0,N167*K167/SQRT(J167^2+K167^2)))</f>
        <v/>
      </c>
      <c r="Q167" s="12">
        <f>IF(N167="","",IF(N167=0,$B$7,$B$7-Y167*O167/N167))</f>
        <v/>
      </c>
      <c r="R167" s="12">
        <f>IF(N167="","",IF(N167=0,$B$8,$B$8+Y167*P167/N167))</f>
        <v/>
      </c>
      <c r="S167" s="12">
        <f>IFERROR(SQRT((Q167-H167)^2+(R167-I167)^2),"")</f>
        <v/>
      </c>
      <c r="T167">
        <f>140</f>
        <v/>
      </c>
      <c r="U167">
        <f>IF(T167&gt;4*$E$9,"",MIN(INT(T167/$E$9)+1,4))</f>
        <v/>
      </c>
      <c r="V167">
        <f>IF(T167=4*$E$9,-$E$6/2,IF(U167="","",CHOOSE(U167,-$E$6/2+MOD(T167,$E$9)/$E$9*$E$6,$E$6/2,$E$6/2-MOD(T167,$E$9)/$E$9*$E$6,-$E$6/2)))</f>
        <v/>
      </c>
      <c r="W167">
        <f>IF(T167=4*$E$9,-$E$7/2,IF(U167="","",CHOOSE(U167,-$E$7/2,-$E$7/2+MOD(T167,$E$9)/$E$9*$E$7,$E$7/2,$E$7/2-MOD(T167,$E$9)/$E$9*$E$7)))</f>
        <v/>
      </c>
      <c r="X167">
        <f>IF(OR($E$13&lt;&gt;"OK",M167=""),"",IF(M167&lt;=$A$19,$D$19,IF(M167&gt;=INDEX($A$19:$A$2018,$E$12),INDEX($D$19:$D$2018,$E$12),INDEX($D$19:$D$2018,MATCH(M167,$A$19:INDEX($A$19:$A$2018,$E$12),1))+(M167-INDEX($A$19:$A$2018,MATCH(M167,$A$19:INDEX($A$19:$A$2018,$E$12),1)))*(INDEX($D$19:$D$2018,MATCH(M167,$A$19:INDEX($A$19:$A$2018,$E$12),1)+1)-INDEX($D$19:$D$2018,MATCH(M167,$A$19:INDEX($A$19:$A$2018,$E$12),1)))/(INDEX($A$19:$A$2018,MATCH(M167,$A$19:INDEX($A$19:$A$2018,$E$12),1)+1)-INDEX($A$19:$A$2018,MATCH(M167,$A$19:INDEX($A$19:$A$2018,$E$12),1))))))</f>
        <v/>
      </c>
      <c r="Y167">
        <f>IF(X167="","",X167*1000/$B$4)</f>
        <v/>
      </c>
    </row>
    <row r="168">
      <c r="A168" s="10" t="n"/>
      <c r="B168" s="10" t="n"/>
      <c r="C168" s="11">
        <f>IF(A168="","",$B$5*TAN(RADIANS(A168)))</f>
        <v/>
      </c>
      <c r="D168" s="11">
        <f>IF(C168="","",C168*(1+B168/100))</f>
        <v/>
      </c>
      <c r="E168" s="11">
        <f>IF(A168="","",$B$6*TAN(RADIANS(A168)))</f>
        <v/>
      </c>
      <c r="G168" s="12">
        <f>IF(U168="","",T168)</f>
        <v/>
      </c>
      <c r="H168" s="12">
        <f>IF(U168="","",$E$4+V168*COS(RADIANS($E$8))-W168*SIN(RADIANS($E$8)))</f>
        <v/>
      </c>
      <c r="I168" s="12">
        <f>IF(U168="","",$E$5+V168*SIN(RADIANS($E$8))+W168*COS(RADIANS($E$8)))</f>
        <v/>
      </c>
      <c r="J168" s="12">
        <f>IF(H168="","",H168-$B$7)</f>
        <v/>
      </c>
      <c r="K168" s="12">
        <f>IF(I168="","",I168-$B$8)</f>
        <v/>
      </c>
      <c r="L168" s="12">
        <f>IFERROR(SQRT(J168^2+K168^2)*$B$4/1000,"")</f>
        <v/>
      </c>
      <c r="M168" s="12">
        <f>IF(OR($E$13&lt;&gt;"OK",L168=""),"",IF(L168&lt;=$D$19,$A$19,IF(L168&gt;=INDEX($D$19:$D$2018,$E$12),INDEX($A$19:$A$2018,$E$12),INDEX($A$19:$A$2018,MATCH(L168,$D$19:INDEX($D$19:$D$2018,$E$12),1))+(L168-INDEX($D$19:$D$2018,MATCH(L168,$D$19:INDEX($D$19:$D$2018,$E$12),1)))*(INDEX($A$19:$A$2018,MATCH(L168,$D$19:INDEX($D$19:$D$2018,$E$12),1)+1)-INDEX($A$19:$A$2018,MATCH(L168,$D$19:INDEX($D$19:$D$2018,$E$12),1)))/(INDEX($D$19:$D$2018,MATCH(L168,$D$19:INDEX($D$19:$D$2018,$E$12),1)+1)-INDEX($D$19:$D$2018,MATCH(L168,$D$19:INDEX($D$19:$D$2018,$E$12),1))))))</f>
        <v/>
      </c>
      <c r="N168" s="12">
        <f>IF(M168="","",$B$6*TAN(RADIANS(M168)))</f>
        <v/>
      </c>
      <c r="O168" s="12">
        <f>IF(N168="","",IF(L168=0,0,-N168*J168/SQRT(J168^2+K168^2)))</f>
        <v/>
      </c>
      <c r="P168" s="12">
        <f>IF(N168="","",IF(L168=0,0,N168*K168/SQRT(J168^2+K168^2)))</f>
        <v/>
      </c>
      <c r="Q168" s="12">
        <f>IF(N168="","",IF(N168=0,$B$7,$B$7-Y168*O168/N168))</f>
        <v/>
      </c>
      <c r="R168" s="12">
        <f>IF(N168="","",IF(N168=0,$B$8,$B$8+Y168*P168/N168))</f>
        <v/>
      </c>
      <c r="S168" s="12">
        <f>IFERROR(SQRT((Q168-H168)^2+(R168-I168)^2),"")</f>
        <v/>
      </c>
      <c r="T168">
        <f>141</f>
        <v/>
      </c>
      <c r="U168">
        <f>IF(T168&gt;4*$E$9,"",MIN(INT(T168/$E$9)+1,4))</f>
        <v/>
      </c>
      <c r="V168">
        <f>IF(T168=4*$E$9,-$E$6/2,IF(U168="","",CHOOSE(U168,-$E$6/2+MOD(T168,$E$9)/$E$9*$E$6,$E$6/2,$E$6/2-MOD(T168,$E$9)/$E$9*$E$6,-$E$6/2)))</f>
        <v/>
      </c>
      <c r="W168">
        <f>IF(T168=4*$E$9,-$E$7/2,IF(U168="","",CHOOSE(U168,-$E$7/2,-$E$7/2+MOD(T168,$E$9)/$E$9*$E$7,$E$7/2,$E$7/2-MOD(T168,$E$9)/$E$9*$E$7)))</f>
        <v/>
      </c>
      <c r="X168">
        <f>IF(OR($E$13&lt;&gt;"OK",M168=""),"",IF(M168&lt;=$A$19,$D$19,IF(M168&gt;=INDEX($A$19:$A$2018,$E$12),INDEX($D$19:$D$2018,$E$12),INDEX($D$19:$D$2018,MATCH(M168,$A$19:INDEX($A$19:$A$2018,$E$12),1))+(M168-INDEX($A$19:$A$2018,MATCH(M168,$A$19:INDEX($A$19:$A$2018,$E$12),1)))*(INDEX($D$19:$D$2018,MATCH(M168,$A$19:INDEX($A$19:$A$2018,$E$12),1)+1)-INDEX($D$19:$D$2018,MATCH(M168,$A$19:INDEX($A$19:$A$2018,$E$12),1)))/(INDEX($A$19:$A$2018,MATCH(M168,$A$19:INDEX($A$19:$A$2018,$E$12),1)+1)-INDEX($A$19:$A$2018,MATCH(M168,$A$19:INDEX($A$19:$A$2018,$E$12),1))))))</f>
        <v/>
      </c>
      <c r="Y168">
        <f>IF(X168="","",X168*1000/$B$4)</f>
        <v/>
      </c>
    </row>
    <row r="169">
      <c r="A169" s="10" t="n"/>
      <c r="B169" s="10" t="n"/>
      <c r="C169" s="11">
        <f>IF(A169="","",$B$5*TAN(RADIANS(A169)))</f>
        <v/>
      </c>
      <c r="D169" s="11">
        <f>IF(C169="","",C169*(1+B169/100))</f>
        <v/>
      </c>
      <c r="E169" s="11">
        <f>IF(A169="","",$B$6*TAN(RADIANS(A169)))</f>
        <v/>
      </c>
      <c r="G169" s="12">
        <f>IF(U169="","",T169)</f>
        <v/>
      </c>
      <c r="H169" s="12">
        <f>IF(U169="","",$E$4+V169*COS(RADIANS($E$8))-W169*SIN(RADIANS($E$8)))</f>
        <v/>
      </c>
      <c r="I169" s="12">
        <f>IF(U169="","",$E$5+V169*SIN(RADIANS($E$8))+W169*COS(RADIANS($E$8)))</f>
        <v/>
      </c>
      <c r="J169" s="12">
        <f>IF(H169="","",H169-$B$7)</f>
        <v/>
      </c>
      <c r="K169" s="12">
        <f>IF(I169="","",I169-$B$8)</f>
        <v/>
      </c>
      <c r="L169" s="12">
        <f>IFERROR(SQRT(J169^2+K169^2)*$B$4/1000,"")</f>
        <v/>
      </c>
      <c r="M169" s="12">
        <f>IF(OR($E$13&lt;&gt;"OK",L169=""),"",IF(L169&lt;=$D$19,$A$19,IF(L169&gt;=INDEX($D$19:$D$2018,$E$12),INDEX($A$19:$A$2018,$E$12),INDEX($A$19:$A$2018,MATCH(L169,$D$19:INDEX($D$19:$D$2018,$E$12),1))+(L169-INDEX($D$19:$D$2018,MATCH(L169,$D$19:INDEX($D$19:$D$2018,$E$12),1)))*(INDEX($A$19:$A$2018,MATCH(L169,$D$19:INDEX($D$19:$D$2018,$E$12),1)+1)-INDEX($A$19:$A$2018,MATCH(L169,$D$19:INDEX($D$19:$D$2018,$E$12),1)))/(INDEX($D$19:$D$2018,MATCH(L169,$D$19:INDEX($D$19:$D$2018,$E$12),1)+1)-INDEX($D$19:$D$2018,MATCH(L169,$D$19:INDEX($D$19:$D$2018,$E$12),1))))))</f>
        <v/>
      </c>
      <c r="N169" s="12">
        <f>IF(M169="","",$B$6*TAN(RADIANS(M169)))</f>
        <v/>
      </c>
      <c r="O169" s="12">
        <f>IF(N169="","",IF(L169=0,0,-N169*J169/SQRT(J169^2+K169^2)))</f>
        <v/>
      </c>
      <c r="P169" s="12">
        <f>IF(N169="","",IF(L169=0,0,N169*K169/SQRT(J169^2+K169^2)))</f>
        <v/>
      </c>
      <c r="Q169" s="12">
        <f>IF(N169="","",IF(N169=0,$B$7,$B$7-Y169*O169/N169))</f>
        <v/>
      </c>
      <c r="R169" s="12">
        <f>IF(N169="","",IF(N169=0,$B$8,$B$8+Y169*P169/N169))</f>
        <v/>
      </c>
      <c r="S169" s="12">
        <f>IFERROR(SQRT((Q169-H169)^2+(R169-I169)^2),"")</f>
        <v/>
      </c>
      <c r="T169">
        <f>142</f>
        <v/>
      </c>
      <c r="U169">
        <f>IF(T169&gt;4*$E$9,"",MIN(INT(T169/$E$9)+1,4))</f>
        <v/>
      </c>
      <c r="V169">
        <f>IF(T169=4*$E$9,-$E$6/2,IF(U169="","",CHOOSE(U169,-$E$6/2+MOD(T169,$E$9)/$E$9*$E$6,$E$6/2,$E$6/2-MOD(T169,$E$9)/$E$9*$E$6,-$E$6/2)))</f>
        <v/>
      </c>
      <c r="W169">
        <f>IF(T169=4*$E$9,-$E$7/2,IF(U169="","",CHOOSE(U169,-$E$7/2,-$E$7/2+MOD(T169,$E$9)/$E$9*$E$7,$E$7/2,$E$7/2-MOD(T169,$E$9)/$E$9*$E$7)))</f>
        <v/>
      </c>
      <c r="X169">
        <f>IF(OR($E$13&lt;&gt;"OK",M169=""),"",IF(M169&lt;=$A$19,$D$19,IF(M169&gt;=INDEX($A$19:$A$2018,$E$12),INDEX($D$19:$D$2018,$E$12),INDEX($D$19:$D$2018,MATCH(M169,$A$19:INDEX($A$19:$A$2018,$E$12),1))+(M169-INDEX($A$19:$A$2018,MATCH(M169,$A$19:INDEX($A$19:$A$2018,$E$12),1)))*(INDEX($D$19:$D$2018,MATCH(M169,$A$19:INDEX($A$19:$A$2018,$E$12),1)+1)-INDEX($D$19:$D$2018,MATCH(M169,$A$19:INDEX($A$19:$A$2018,$E$12),1)))/(INDEX($A$19:$A$2018,MATCH(M169,$A$19:INDEX($A$19:$A$2018,$E$12),1)+1)-INDEX($A$19:$A$2018,MATCH(M169,$A$19:INDEX($A$19:$A$2018,$E$12),1))))))</f>
        <v/>
      </c>
      <c r="Y169">
        <f>IF(X169="","",X169*1000/$B$4)</f>
        <v/>
      </c>
    </row>
    <row r="170">
      <c r="A170" s="10" t="n"/>
      <c r="B170" s="10" t="n"/>
      <c r="C170" s="11">
        <f>IF(A170="","",$B$5*TAN(RADIANS(A170)))</f>
        <v/>
      </c>
      <c r="D170" s="11">
        <f>IF(C170="","",C170*(1+B170/100))</f>
        <v/>
      </c>
      <c r="E170" s="11">
        <f>IF(A170="","",$B$6*TAN(RADIANS(A170)))</f>
        <v/>
      </c>
      <c r="G170" s="12">
        <f>IF(U170="","",T170)</f>
        <v/>
      </c>
      <c r="H170" s="12">
        <f>IF(U170="","",$E$4+V170*COS(RADIANS($E$8))-W170*SIN(RADIANS($E$8)))</f>
        <v/>
      </c>
      <c r="I170" s="12">
        <f>IF(U170="","",$E$5+V170*SIN(RADIANS($E$8))+W170*COS(RADIANS($E$8)))</f>
        <v/>
      </c>
      <c r="J170" s="12">
        <f>IF(H170="","",H170-$B$7)</f>
        <v/>
      </c>
      <c r="K170" s="12">
        <f>IF(I170="","",I170-$B$8)</f>
        <v/>
      </c>
      <c r="L170" s="12">
        <f>IFERROR(SQRT(J170^2+K170^2)*$B$4/1000,"")</f>
        <v/>
      </c>
      <c r="M170" s="12">
        <f>IF(OR($E$13&lt;&gt;"OK",L170=""),"",IF(L170&lt;=$D$19,$A$19,IF(L170&gt;=INDEX($D$19:$D$2018,$E$12),INDEX($A$19:$A$2018,$E$12),INDEX($A$19:$A$2018,MATCH(L170,$D$19:INDEX($D$19:$D$2018,$E$12),1))+(L170-INDEX($D$19:$D$2018,MATCH(L170,$D$19:INDEX($D$19:$D$2018,$E$12),1)))*(INDEX($A$19:$A$2018,MATCH(L170,$D$19:INDEX($D$19:$D$2018,$E$12),1)+1)-INDEX($A$19:$A$2018,MATCH(L170,$D$19:INDEX($D$19:$D$2018,$E$12),1)))/(INDEX($D$19:$D$2018,MATCH(L170,$D$19:INDEX($D$19:$D$2018,$E$12),1)+1)-INDEX($D$19:$D$2018,MATCH(L170,$D$19:INDEX($D$19:$D$2018,$E$12),1))))))</f>
        <v/>
      </c>
      <c r="N170" s="12">
        <f>IF(M170="","",$B$6*TAN(RADIANS(M170)))</f>
        <v/>
      </c>
      <c r="O170" s="12">
        <f>IF(N170="","",IF(L170=0,0,-N170*J170/SQRT(J170^2+K170^2)))</f>
        <v/>
      </c>
      <c r="P170" s="12">
        <f>IF(N170="","",IF(L170=0,0,N170*K170/SQRT(J170^2+K170^2)))</f>
        <v/>
      </c>
      <c r="Q170" s="12">
        <f>IF(N170="","",IF(N170=0,$B$7,$B$7-Y170*O170/N170))</f>
        <v/>
      </c>
      <c r="R170" s="12">
        <f>IF(N170="","",IF(N170=0,$B$8,$B$8+Y170*P170/N170))</f>
        <v/>
      </c>
      <c r="S170" s="12">
        <f>IFERROR(SQRT((Q170-H170)^2+(R170-I170)^2),"")</f>
        <v/>
      </c>
      <c r="T170">
        <f>143</f>
        <v/>
      </c>
      <c r="U170">
        <f>IF(T170&gt;4*$E$9,"",MIN(INT(T170/$E$9)+1,4))</f>
        <v/>
      </c>
      <c r="V170">
        <f>IF(T170=4*$E$9,-$E$6/2,IF(U170="","",CHOOSE(U170,-$E$6/2+MOD(T170,$E$9)/$E$9*$E$6,$E$6/2,$E$6/2-MOD(T170,$E$9)/$E$9*$E$6,-$E$6/2)))</f>
        <v/>
      </c>
      <c r="W170">
        <f>IF(T170=4*$E$9,-$E$7/2,IF(U170="","",CHOOSE(U170,-$E$7/2,-$E$7/2+MOD(T170,$E$9)/$E$9*$E$7,$E$7/2,$E$7/2-MOD(T170,$E$9)/$E$9*$E$7)))</f>
        <v/>
      </c>
      <c r="X170">
        <f>IF(OR($E$13&lt;&gt;"OK",M170=""),"",IF(M170&lt;=$A$19,$D$19,IF(M170&gt;=INDEX($A$19:$A$2018,$E$12),INDEX($D$19:$D$2018,$E$12),INDEX($D$19:$D$2018,MATCH(M170,$A$19:INDEX($A$19:$A$2018,$E$12),1))+(M170-INDEX($A$19:$A$2018,MATCH(M170,$A$19:INDEX($A$19:$A$2018,$E$12),1)))*(INDEX($D$19:$D$2018,MATCH(M170,$A$19:INDEX($A$19:$A$2018,$E$12),1)+1)-INDEX($D$19:$D$2018,MATCH(M170,$A$19:INDEX($A$19:$A$2018,$E$12),1)))/(INDEX($A$19:$A$2018,MATCH(M170,$A$19:INDEX($A$19:$A$2018,$E$12),1)+1)-INDEX($A$19:$A$2018,MATCH(M170,$A$19:INDEX($A$19:$A$2018,$E$12),1))))))</f>
        <v/>
      </c>
      <c r="Y170">
        <f>IF(X170="","",X170*1000/$B$4)</f>
        <v/>
      </c>
    </row>
    <row r="171">
      <c r="A171" s="10" t="n"/>
      <c r="B171" s="10" t="n"/>
      <c r="C171" s="11">
        <f>IF(A171="","",$B$5*TAN(RADIANS(A171)))</f>
        <v/>
      </c>
      <c r="D171" s="11">
        <f>IF(C171="","",C171*(1+B171/100))</f>
        <v/>
      </c>
      <c r="E171" s="11">
        <f>IF(A171="","",$B$6*TAN(RADIANS(A171)))</f>
        <v/>
      </c>
      <c r="G171" s="12">
        <f>IF(U171="","",T171)</f>
        <v/>
      </c>
      <c r="H171" s="12">
        <f>IF(U171="","",$E$4+V171*COS(RADIANS($E$8))-W171*SIN(RADIANS($E$8)))</f>
        <v/>
      </c>
      <c r="I171" s="12">
        <f>IF(U171="","",$E$5+V171*SIN(RADIANS($E$8))+W171*COS(RADIANS($E$8)))</f>
        <v/>
      </c>
      <c r="J171" s="12">
        <f>IF(H171="","",H171-$B$7)</f>
        <v/>
      </c>
      <c r="K171" s="12">
        <f>IF(I171="","",I171-$B$8)</f>
        <v/>
      </c>
      <c r="L171" s="12">
        <f>IFERROR(SQRT(J171^2+K171^2)*$B$4/1000,"")</f>
        <v/>
      </c>
      <c r="M171" s="12">
        <f>IF(OR($E$13&lt;&gt;"OK",L171=""),"",IF(L171&lt;=$D$19,$A$19,IF(L171&gt;=INDEX($D$19:$D$2018,$E$12),INDEX($A$19:$A$2018,$E$12),INDEX($A$19:$A$2018,MATCH(L171,$D$19:INDEX($D$19:$D$2018,$E$12),1))+(L171-INDEX($D$19:$D$2018,MATCH(L171,$D$19:INDEX($D$19:$D$2018,$E$12),1)))*(INDEX($A$19:$A$2018,MATCH(L171,$D$19:INDEX($D$19:$D$2018,$E$12),1)+1)-INDEX($A$19:$A$2018,MATCH(L171,$D$19:INDEX($D$19:$D$2018,$E$12),1)))/(INDEX($D$19:$D$2018,MATCH(L171,$D$19:INDEX($D$19:$D$2018,$E$12),1)+1)-INDEX($D$19:$D$2018,MATCH(L171,$D$19:INDEX($D$19:$D$2018,$E$12),1))))))</f>
        <v/>
      </c>
      <c r="N171" s="12">
        <f>IF(M171="","",$B$6*TAN(RADIANS(M171)))</f>
        <v/>
      </c>
      <c r="O171" s="12">
        <f>IF(N171="","",IF(L171=0,0,-N171*J171/SQRT(J171^2+K171^2)))</f>
        <v/>
      </c>
      <c r="P171" s="12">
        <f>IF(N171="","",IF(L171=0,0,N171*K171/SQRT(J171^2+K171^2)))</f>
        <v/>
      </c>
      <c r="Q171" s="12">
        <f>IF(N171="","",IF(N171=0,$B$7,$B$7-Y171*O171/N171))</f>
        <v/>
      </c>
      <c r="R171" s="12">
        <f>IF(N171="","",IF(N171=0,$B$8,$B$8+Y171*P171/N171))</f>
        <v/>
      </c>
      <c r="S171" s="12">
        <f>IFERROR(SQRT((Q171-H171)^2+(R171-I171)^2),"")</f>
        <v/>
      </c>
      <c r="T171">
        <f>144</f>
        <v/>
      </c>
      <c r="U171">
        <f>IF(T171&gt;4*$E$9,"",MIN(INT(T171/$E$9)+1,4))</f>
        <v/>
      </c>
      <c r="V171">
        <f>IF(T171=4*$E$9,-$E$6/2,IF(U171="","",CHOOSE(U171,-$E$6/2+MOD(T171,$E$9)/$E$9*$E$6,$E$6/2,$E$6/2-MOD(T171,$E$9)/$E$9*$E$6,-$E$6/2)))</f>
        <v/>
      </c>
      <c r="W171">
        <f>IF(T171=4*$E$9,-$E$7/2,IF(U171="","",CHOOSE(U171,-$E$7/2,-$E$7/2+MOD(T171,$E$9)/$E$9*$E$7,$E$7/2,$E$7/2-MOD(T171,$E$9)/$E$9*$E$7)))</f>
        <v/>
      </c>
      <c r="X171">
        <f>IF(OR($E$13&lt;&gt;"OK",M171=""),"",IF(M171&lt;=$A$19,$D$19,IF(M171&gt;=INDEX($A$19:$A$2018,$E$12),INDEX($D$19:$D$2018,$E$12),INDEX($D$19:$D$2018,MATCH(M171,$A$19:INDEX($A$19:$A$2018,$E$12),1))+(M171-INDEX($A$19:$A$2018,MATCH(M171,$A$19:INDEX($A$19:$A$2018,$E$12),1)))*(INDEX($D$19:$D$2018,MATCH(M171,$A$19:INDEX($A$19:$A$2018,$E$12),1)+1)-INDEX($D$19:$D$2018,MATCH(M171,$A$19:INDEX($A$19:$A$2018,$E$12),1)))/(INDEX($A$19:$A$2018,MATCH(M171,$A$19:INDEX($A$19:$A$2018,$E$12),1)+1)-INDEX($A$19:$A$2018,MATCH(M171,$A$19:INDEX($A$19:$A$2018,$E$12),1))))))</f>
        <v/>
      </c>
      <c r="Y171">
        <f>IF(X171="","",X171*1000/$B$4)</f>
        <v/>
      </c>
    </row>
    <row r="172">
      <c r="A172" s="10" t="n"/>
      <c r="B172" s="10" t="n"/>
      <c r="C172" s="11">
        <f>IF(A172="","",$B$5*TAN(RADIANS(A172)))</f>
        <v/>
      </c>
      <c r="D172" s="11">
        <f>IF(C172="","",C172*(1+B172/100))</f>
        <v/>
      </c>
      <c r="E172" s="11">
        <f>IF(A172="","",$B$6*TAN(RADIANS(A172)))</f>
        <v/>
      </c>
      <c r="G172" s="12">
        <f>IF(U172="","",T172)</f>
        <v/>
      </c>
      <c r="H172" s="12">
        <f>IF(U172="","",$E$4+V172*COS(RADIANS($E$8))-W172*SIN(RADIANS($E$8)))</f>
        <v/>
      </c>
      <c r="I172" s="12">
        <f>IF(U172="","",$E$5+V172*SIN(RADIANS($E$8))+W172*COS(RADIANS($E$8)))</f>
        <v/>
      </c>
      <c r="J172" s="12">
        <f>IF(H172="","",H172-$B$7)</f>
        <v/>
      </c>
      <c r="K172" s="12">
        <f>IF(I172="","",I172-$B$8)</f>
        <v/>
      </c>
      <c r="L172" s="12">
        <f>IFERROR(SQRT(J172^2+K172^2)*$B$4/1000,"")</f>
        <v/>
      </c>
      <c r="M172" s="12">
        <f>IF(OR($E$13&lt;&gt;"OK",L172=""),"",IF(L172&lt;=$D$19,$A$19,IF(L172&gt;=INDEX($D$19:$D$2018,$E$12),INDEX($A$19:$A$2018,$E$12),INDEX($A$19:$A$2018,MATCH(L172,$D$19:INDEX($D$19:$D$2018,$E$12),1))+(L172-INDEX($D$19:$D$2018,MATCH(L172,$D$19:INDEX($D$19:$D$2018,$E$12),1)))*(INDEX($A$19:$A$2018,MATCH(L172,$D$19:INDEX($D$19:$D$2018,$E$12),1)+1)-INDEX($A$19:$A$2018,MATCH(L172,$D$19:INDEX($D$19:$D$2018,$E$12),1)))/(INDEX($D$19:$D$2018,MATCH(L172,$D$19:INDEX($D$19:$D$2018,$E$12),1)+1)-INDEX($D$19:$D$2018,MATCH(L172,$D$19:INDEX($D$19:$D$2018,$E$12),1))))))</f>
        <v/>
      </c>
      <c r="N172" s="12">
        <f>IF(M172="","",$B$6*TAN(RADIANS(M172)))</f>
        <v/>
      </c>
      <c r="O172" s="12">
        <f>IF(N172="","",IF(L172=0,0,-N172*J172/SQRT(J172^2+K172^2)))</f>
        <v/>
      </c>
      <c r="P172" s="12">
        <f>IF(N172="","",IF(L172=0,0,N172*K172/SQRT(J172^2+K172^2)))</f>
        <v/>
      </c>
      <c r="Q172" s="12">
        <f>IF(N172="","",IF(N172=0,$B$7,$B$7-Y172*O172/N172))</f>
        <v/>
      </c>
      <c r="R172" s="12">
        <f>IF(N172="","",IF(N172=0,$B$8,$B$8+Y172*P172/N172))</f>
        <v/>
      </c>
      <c r="S172" s="12">
        <f>IFERROR(SQRT((Q172-H172)^2+(R172-I172)^2),"")</f>
        <v/>
      </c>
      <c r="T172">
        <f>145</f>
        <v/>
      </c>
      <c r="U172">
        <f>IF(T172&gt;4*$E$9,"",MIN(INT(T172/$E$9)+1,4))</f>
        <v/>
      </c>
      <c r="V172">
        <f>IF(T172=4*$E$9,-$E$6/2,IF(U172="","",CHOOSE(U172,-$E$6/2+MOD(T172,$E$9)/$E$9*$E$6,$E$6/2,$E$6/2-MOD(T172,$E$9)/$E$9*$E$6,-$E$6/2)))</f>
        <v/>
      </c>
      <c r="W172">
        <f>IF(T172=4*$E$9,-$E$7/2,IF(U172="","",CHOOSE(U172,-$E$7/2,-$E$7/2+MOD(T172,$E$9)/$E$9*$E$7,$E$7/2,$E$7/2-MOD(T172,$E$9)/$E$9*$E$7)))</f>
        <v/>
      </c>
      <c r="X172">
        <f>IF(OR($E$13&lt;&gt;"OK",M172=""),"",IF(M172&lt;=$A$19,$D$19,IF(M172&gt;=INDEX($A$19:$A$2018,$E$12),INDEX($D$19:$D$2018,$E$12),INDEX($D$19:$D$2018,MATCH(M172,$A$19:INDEX($A$19:$A$2018,$E$12),1))+(M172-INDEX($A$19:$A$2018,MATCH(M172,$A$19:INDEX($A$19:$A$2018,$E$12),1)))*(INDEX($D$19:$D$2018,MATCH(M172,$A$19:INDEX($A$19:$A$2018,$E$12),1)+1)-INDEX($D$19:$D$2018,MATCH(M172,$A$19:INDEX($A$19:$A$2018,$E$12),1)))/(INDEX($A$19:$A$2018,MATCH(M172,$A$19:INDEX($A$19:$A$2018,$E$12),1)+1)-INDEX($A$19:$A$2018,MATCH(M172,$A$19:INDEX($A$19:$A$2018,$E$12),1))))))</f>
        <v/>
      </c>
      <c r="Y172">
        <f>IF(X172="","",X172*1000/$B$4)</f>
        <v/>
      </c>
    </row>
    <row r="173">
      <c r="A173" s="10" t="n"/>
      <c r="B173" s="10" t="n"/>
      <c r="C173" s="11">
        <f>IF(A173="","",$B$5*TAN(RADIANS(A173)))</f>
        <v/>
      </c>
      <c r="D173" s="11">
        <f>IF(C173="","",C173*(1+B173/100))</f>
        <v/>
      </c>
      <c r="E173" s="11">
        <f>IF(A173="","",$B$6*TAN(RADIANS(A173)))</f>
        <v/>
      </c>
      <c r="G173" s="12">
        <f>IF(U173="","",T173)</f>
        <v/>
      </c>
      <c r="H173" s="12">
        <f>IF(U173="","",$E$4+V173*COS(RADIANS($E$8))-W173*SIN(RADIANS($E$8)))</f>
        <v/>
      </c>
      <c r="I173" s="12">
        <f>IF(U173="","",$E$5+V173*SIN(RADIANS($E$8))+W173*COS(RADIANS($E$8)))</f>
        <v/>
      </c>
      <c r="J173" s="12">
        <f>IF(H173="","",H173-$B$7)</f>
        <v/>
      </c>
      <c r="K173" s="12">
        <f>IF(I173="","",I173-$B$8)</f>
        <v/>
      </c>
      <c r="L173" s="12">
        <f>IFERROR(SQRT(J173^2+K173^2)*$B$4/1000,"")</f>
        <v/>
      </c>
      <c r="M173" s="12">
        <f>IF(OR($E$13&lt;&gt;"OK",L173=""),"",IF(L173&lt;=$D$19,$A$19,IF(L173&gt;=INDEX($D$19:$D$2018,$E$12),INDEX($A$19:$A$2018,$E$12),INDEX($A$19:$A$2018,MATCH(L173,$D$19:INDEX($D$19:$D$2018,$E$12),1))+(L173-INDEX($D$19:$D$2018,MATCH(L173,$D$19:INDEX($D$19:$D$2018,$E$12),1)))*(INDEX($A$19:$A$2018,MATCH(L173,$D$19:INDEX($D$19:$D$2018,$E$12),1)+1)-INDEX($A$19:$A$2018,MATCH(L173,$D$19:INDEX($D$19:$D$2018,$E$12),1)))/(INDEX($D$19:$D$2018,MATCH(L173,$D$19:INDEX($D$19:$D$2018,$E$12),1)+1)-INDEX($D$19:$D$2018,MATCH(L173,$D$19:INDEX($D$19:$D$2018,$E$12),1))))))</f>
        <v/>
      </c>
      <c r="N173" s="12">
        <f>IF(M173="","",$B$6*TAN(RADIANS(M173)))</f>
        <v/>
      </c>
      <c r="O173" s="12">
        <f>IF(N173="","",IF(L173=0,0,-N173*J173/SQRT(J173^2+K173^2)))</f>
        <v/>
      </c>
      <c r="P173" s="12">
        <f>IF(N173="","",IF(L173=0,0,N173*K173/SQRT(J173^2+K173^2)))</f>
        <v/>
      </c>
      <c r="Q173" s="12">
        <f>IF(N173="","",IF(N173=0,$B$7,$B$7-Y173*O173/N173))</f>
        <v/>
      </c>
      <c r="R173" s="12">
        <f>IF(N173="","",IF(N173=0,$B$8,$B$8+Y173*P173/N173))</f>
        <v/>
      </c>
      <c r="S173" s="12">
        <f>IFERROR(SQRT((Q173-H173)^2+(R173-I173)^2),"")</f>
        <v/>
      </c>
      <c r="T173">
        <f>146</f>
        <v/>
      </c>
      <c r="U173">
        <f>IF(T173&gt;4*$E$9,"",MIN(INT(T173/$E$9)+1,4))</f>
        <v/>
      </c>
      <c r="V173">
        <f>IF(T173=4*$E$9,-$E$6/2,IF(U173="","",CHOOSE(U173,-$E$6/2+MOD(T173,$E$9)/$E$9*$E$6,$E$6/2,$E$6/2-MOD(T173,$E$9)/$E$9*$E$6,-$E$6/2)))</f>
        <v/>
      </c>
      <c r="W173">
        <f>IF(T173=4*$E$9,-$E$7/2,IF(U173="","",CHOOSE(U173,-$E$7/2,-$E$7/2+MOD(T173,$E$9)/$E$9*$E$7,$E$7/2,$E$7/2-MOD(T173,$E$9)/$E$9*$E$7)))</f>
        <v/>
      </c>
      <c r="X173">
        <f>IF(OR($E$13&lt;&gt;"OK",M173=""),"",IF(M173&lt;=$A$19,$D$19,IF(M173&gt;=INDEX($A$19:$A$2018,$E$12),INDEX($D$19:$D$2018,$E$12),INDEX($D$19:$D$2018,MATCH(M173,$A$19:INDEX($A$19:$A$2018,$E$12),1))+(M173-INDEX($A$19:$A$2018,MATCH(M173,$A$19:INDEX($A$19:$A$2018,$E$12),1)))*(INDEX($D$19:$D$2018,MATCH(M173,$A$19:INDEX($A$19:$A$2018,$E$12),1)+1)-INDEX($D$19:$D$2018,MATCH(M173,$A$19:INDEX($A$19:$A$2018,$E$12),1)))/(INDEX($A$19:$A$2018,MATCH(M173,$A$19:INDEX($A$19:$A$2018,$E$12),1)+1)-INDEX($A$19:$A$2018,MATCH(M173,$A$19:INDEX($A$19:$A$2018,$E$12),1))))))</f>
        <v/>
      </c>
      <c r="Y173">
        <f>IF(X173="","",X173*1000/$B$4)</f>
        <v/>
      </c>
    </row>
    <row r="174">
      <c r="A174" s="10" t="n"/>
      <c r="B174" s="10" t="n"/>
      <c r="C174" s="11">
        <f>IF(A174="","",$B$5*TAN(RADIANS(A174)))</f>
        <v/>
      </c>
      <c r="D174" s="11">
        <f>IF(C174="","",C174*(1+B174/100))</f>
        <v/>
      </c>
      <c r="E174" s="11">
        <f>IF(A174="","",$B$6*TAN(RADIANS(A174)))</f>
        <v/>
      </c>
      <c r="G174" s="12">
        <f>IF(U174="","",T174)</f>
        <v/>
      </c>
      <c r="H174" s="12">
        <f>IF(U174="","",$E$4+V174*COS(RADIANS($E$8))-W174*SIN(RADIANS($E$8)))</f>
        <v/>
      </c>
      <c r="I174" s="12">
        <f>IF(U174="","",$E$5+V174*SIN(RADIANS($E$8))+W174*COS(RADIANS($E$8)))</f>
        <v/>
      </c>
      <c r="J174" s="12">
        <f>IF(H174="","",H174-$B$7)</f>
        <v/>
      </c>
      <c r="K174" s="12">
        <f>IF(I174="","",I174-$B$8)</f>
        <v/>
      </c>
      <c r="L174" s="12">
        <f>IFERROR(SQRT(J174^2+K174^2)*$B$4/1000,"")</f>
        <v/>
      </c>
      <c r="M174" s="12">
        <f>IF(OR($E$13&lt;&gt;"OK",L174=""),"",IF(L174&lt;=$D$19,$A$19,IF(L174&gt;=INDEX($D$19:$D$2018,$E$12),INDEX($A$19:$A$2018,$E$12),INDEX($A$19:$A$2018,MATCH(L174,$D$19:INDEX($D$19:$D$2018,$E$12),1))+(L174-INDEX($D$19:$D$2018,MATCH(L174,$D$19:INDEX($D$19:$D$2018,$E$12),1)))*(INDEX($A$19:$A$2018,MATCH(L174,$D$19:INDEX($D$19:$D$2018,$E$12),1)+1)-INDEX($A$19:$A$2018,MATCH(L174,$D$19:INDEX($D$19:$D$2018,$E$12),1)))/(INDEX($D$19:$D$2018,MATCH(L174,$D$19:INDEX($D$19:$D$2018,$E$12),1)+1)-INDEX($D$19:$D$2018,MATCH(L174,$D$19:INDEX($D$19:$D$2018,$E$12),1))))))</f>
        <v/>
      </c>
      <c r="N174" s="12">
        <f>IF(M174="","",$B$6*TAN(RADIANS(M174)))</f>
        <v/>
      </c>
      <c r="O174" s="12">
        <f>IF(N174="","",IF(L174=0,0,-N174*J174/SQRT(J174^2+K174^2)))</f>
        <v/>
      </c>
      <c r="P174" s="12">
        <f>IF(N174="","",IF(L174=0,0,N174*K174/SQRT(J174^2+K174^2)))</f>
        <v/>
      </c>
      <c r="Q174" s="12">
        <f>IF(N174="","",IF(N174=0,$B$7,$B$7-Y174*O174/N174))</f>
        <v/>
      </c>
      <c r="R174" s="12">
        <f>IF(N174="","",IF(N174=0,$B$8,$B$8+Y174*P174/N174))</f>
        <v/>
      </c>
      <c r="S174" s="12">
        <f>IFERROR(SQRT((Q174-H174)^2+(R174-I174)^2),"")</f>
        <v/>
      </c>
      <c r="T174">
        <f>147</f>
        <v/>
      </c>
      <c r="U174">
        <f>IF(T174&gt;4*$E$9,"",MIN(INT(T174/$E$9)+1,4))</f>
        <v/>
      </c>
      <c r="V174">
        <f>IF(T174=4*$E$9,-$E$6/2,IF(U174="","",CHOOSE(U174,-$E$6/2+MOD(T174,$E$9)/$E$9*$E$6,$E$6/2,$E$6/2-MOD(T174,$E$9)/$E$9*$E$6,-$E$6/2)))</f>
        <v/>
      </c>
      <c r="W174">
        <f>IF(T174=4*$E$9,-$E$7/2,IF(U174="","",CHOOSE(U174,-$E$7/2,-$E$7/2+MOD(T174,$E$9)/$E$9*$E$7,$E$7/2,$E$7/2-MOD(T174,$E$9)/$E$9*$E$7)))</f>
        <v/>
      </c>
      <c r="X174">
        <f>IF(OR($E$13&lt;&gt;"OK",M174=""),"",IF(M174&lt;=$A$19,$D$19,IF(M174&gt;=INDEX($A$19:$A$2018,$E$12),INDEX($D$19:$D$2018,$E$12),INDEX($D$19:$D$2018,MATCH(M174,$A$19:INDEX($A$19:$A$2018,$E$12),1))+(M174-INDEX($A$19:$A$2018,MATCH(M174,$A$19:INDEX($A$19:$A$2018,$E$12),1)))*(INDEX($D$19:$D$2018,MATCH(M174,$A$19:INDEX($A$19:$A$2018,$E$12),1)+1)-INDEX($D$19:$D$2018,MATCH(M174,$A$19:INDEX($A$19:$A$2018,$E$12),1)))/(INDEX($A$19:$A$2018,MATCH(M174,$A$19:INDEX($A$19:$A$2018,$E$12),1)+1)-INDEX($A$19:$A$2018,MATCH(M174,$A$19:INDEX($A$19:$A$2018,$E$12),1))))))</f>
        <v/>
      </c>
      <c r="Y174">
        <f>IF(X174="","",X174*1000/$B$4)</f>
        <v/>
      </c>
    </row>
    <row r="175">
      <c r="A175" s="10" t="n"/>
      <c r="B175" s="10" t="n"/>
      <c r="C175" s="11">
        <f>IF(A175="","",$B$5*TAN(RADIANS(A175)))</f>
        <v/>
      </c>
      <c r="D175" s="11">
        <f>IF(C175="","",C175*(1+B175/100))</f>
        <v/>
      </c>
      <c r="E175" s="11">
        <f>IF(A175="","",$B$6*TAN(RADIANS(A175)))</f>
        <v/>
      </c>
      <c r="G175" s="12">
        <f>IF(U175="","",T175)</f>
        <v/>
      </c>
      <c r="H175" s="12">
        <f>IF(U175="","",$E$4+V175*COS(RADIANS($E$8))-W175*SIN(RADIANS($E$8)))</f>
        <v/>
      </c>
      <c r="I175" s="12">
        <f>IF(U175="","",$E$5+V175*SIN(RADIANS($E$8))+W175*COS(RADIANS($E$8)))</f>
        <v/>
      </c>
      <c r="J175" s="12">
        <f>IF(H175="","",H175-$B$7)</f>
        <v/>
      </c>
      <c r="K175" s="12">
        <f>IF(I175="","",I175-$B$8)</f>
        <v/>
      </c>
      <c r="L175" s="12">
        <f>IFERROR(SQRT(J175^2+K175^2)*$B$4/1000,"")</f>
        <v/>
      </c>
      <c r="M175" s="12">
        <f>IF(OR($E$13&lt;&gt;"OK",L175=""),"",IF(L175&lt;=$D$19,$A$19,IF(L175&gt;=INDEX($D$19:$D$2018,$E$12),INDEX($A$19:$A$2018,$E$12),INDEX($A$19:$A$2018,MATCH(L175,$D$19:INDEX($D$19:$D$2018,$E$12),1))+(L175-INDEX($D$19:$D$2018,MATCH(L175,$D$19:INDEX($D$19:$D$2018,$E$12),1)))*(INDEX($A$19:$A$2018,MATCH(L175,$D$19:INDEX($D$19:$D$2018,$E$12),1)+1)-INDEX($A$19:$A$2018,MATCH(L175,$D$19:INDEX($D$19:$D$2018,$E$12),1)))/(INDEX($D$19:$D$2018,MATCH(L175,$D$19:INDEX($D$19:$D$2018,$E$12),1)+1)-INDEX($D$19:$D$2018,MATCH(L175,$D$19:INDEX($D$19:$D$2018,$E$12),1))))))</f>
        <v/>
      </c>
      <c r="N175" s="12">
        <f>IF(M175="","",$B$6*TAN(RADIANS(M175)))</f>
        <v/>
      </c>
      <c r="O175" s="12">
        <f>IF(N175="","",IF(L175=0,0,-N175*J175/SQRT(J175^2+K175^2)))</f>
        <v/>
      </c>
      <c r="P175" s="12">
        <f>IF(N175="","",IF(L175=0,0,N175*K175/SQRT(J175^2+K175^2)))</f>
        <v/>
      </c>
      <c r="Q175" s="12">
        <f>IF(N175="","",IF(N175=0,$B$7,$B$7-Y175*O175/N175))</f>
        <v/>
      </c>
      <c r="R175" s="12">
        <f>IF(N175="","",IF(N175=0,$B$8,$B$8+Y175*P175/N175))</f>
        <v/>
      </c>
      <c r="S175" s="12">
        <f>IFERROR(SQRT((Q175-H175)^2+(R175-I175)^2),"")</f>
        <v/>
      </c>
      <c r="T175">
        <f>148</f>
        <v/>
      </c>
      <c r="U175">
        <f>IF(T175&gt;4*$E$9,"",MIN(INT(T175/$E$9)+1,4))</f>
        <v/>
      </c>
      <c r="V175">
        <f>IF(T175=4*$E$9,-$E$6/2,IF(U175="","",CHOOSE(U175,-$E$6/2+MOD(T175,$E$9)/$E$9*$E$6,$E$6/2,$E$6/2-MOD(T175,$E$9)/$E$9*$E$6,-$E$6/2)))</f>
        <v/>
      </c>
      <c r="W175">
        <f>IF(T175=4*$E$9,-$E$7/2,IF(U175="","",CHOOSE(U175,-$E$7/2,-$E$7/2+MOD(T175,$E$9)/$E$9*$E$7,$E$7/2,$E$7/2-MOD(T175,$E$9)/$E$9*$E$7)))</f>
        <v/>
      </c>
      <c r="X175">
        <f>IF(OR($E$13&lt;&gt;"OK",M175=""),"",IF(M175&lt;=$A$19,$D$19,IF(M175&gt;=INDEX($A$19:$A$2018,$E$12),INDEX($D$19:$D$2018,$E$12),INDEX($D$19:$D$2018,MATCH(M175,$A$19:INDEX($A$19:$A$2018,$E$12),1))+(M175-INDEX($A$19:$A$2018,MATCH(M175,$A$19:INDEX($A$19:$A$2018,$E$12),1)))*(INDEX($D$19:$D$2018,MATCH(M175,$A$19:INDEX($A$19:$A$2018,$E$12),1)+1)-INDEX($D$19:$D$2018,MATCH(M175,$A$19:INDEX($A$19:$A$2018,$E$12),1)))/(INDEX($A$19:$A$2018,MATCH(M175,$A$19:INDEX($A$19:$A$2018,$E$12),1)+1)-INDEX($A$19:$A$2018,MATCH(M175,$A$19:INDEX($A$19:$A$2018,$E$12),1))))))</f>
        <v/>
      </c>
      <c r="Y175">
        <f>IF(X175="","",X175*1000/$B$4)</f>
        <v/>
      </c>
    </row>
    <row r="176">
      <c r="A176" s="10" t="n"/>
      <c r="B176" s="10" t="n"/>
      <c r="C176" s="11">
        <f>IF(A176="","",$B$5*TAN(RADIANS(A176)))</f>
        <v/>
      </c>
      <c r="D176" s="11">
        <f>IF(C176="","",C176*(1+B176/100))</f>
        <v/>
      </c>
      <c r="E176" s="11">
        <f>IF(A176="","",$B$6*TAN(RADIANS(A176)))</f>
        <v/>
      </c>
      <c r="G176" s="12">
        <f>IF(U176="","",T176)</f>
        <v/>
      </c>
      <c r="H176" s="12">
        <f>IF(U176="","",$E$4+V176*COS(RADIANS($E$8))-W176*SIN(RADIANS($E$8)))</f>
        <v/>
      </c>
      <c r="I176" s="12">
        <f>IF(U176="","",$E$5+V176*SIN(RADIANS($E$8))+W176*COS(RADIANS($E$8)))</f>
        <v/>
      </c>
      <c r="J176" s="12">
        <f>IF(H176="","",H176-$B$7)</f>
        <v/>
      </c>
      <c r="K176" s="12">
        <f>IF(I176="","",I176-$B$8)</f>
        <v/>
      </c>
      <c r="L176" s="12">
        <f>IFERROR(SQRT(J176^2+K176^2)*$B$4/1000,"")</f>
        <v/>
      </c>
      <c r="M176" s="12">
        <f>IF(OR($E$13&lt;&gt;"OK",L176=""),"",IF(L176&lt;=$D$19,$A$19,IF(L176&gt;=INDEX($D$19:$D$2018,$E$12),INDEX($A$19:$A$2018,$E$12),INDEX($A$19:$A$2018,MATCH(L176,$D$19:INDEX($D$19:$D$2018,$E$12),1))+(L176-INDEX($D$19:$D$2018,MATCH(L176,$D$19:INDEX($D$19:$D$2018,$E$12),1)))*(INDEX($A$19:$A$2018,MATCH(L176,$D$19:INDEX($D$19:$D$2018,$E$12),1)+1)-INDEX($A$19:$A$2018,MATCH(L176,$D$19:INDEX($D$19:$D$2018,$E$12),1)))/(INDEX($D$19:$D$2018,MATCH(L176,$D$19:INDEX($D$19:$D$2018,$E$12),1)+1)-INDEX($D$19:$D$2018,MATCH(L176,$D$19:INDEX($D$19:$D$2018,$E$12),1))))))</f>
        <v/>
      </c>
      <c r="N176" s="12">
        <f>IF(M176="","",$B$6*TAN(RADIANS(M176)))</f>
        <v/>
      </c>
      <c r="O176" s="12">
        <f>IF(N176="","",IF(L176=0,0,-N176*J176/SQRT(J176^2+K176^2)))</f>
        <v/>
      </c>
      <c r="P176" s="12">
        <f>IF(N176="","",IF(L176=0,0,N176*K176/SQRT(J176^2+K176^2)))</f>
        <v/>
      </c>
      <c r="Q176" s="12">
        <f>IF(N176="","",IF(N176=0,$B$7,$B$7-Y176*O176/N176))</f>
        <v/>
      </c>
      <c r="R176" s="12">
        <f>IF(N176="","",IF(N176=0,$B$8,$B$8+Y176*P176/N176))</f>
        <v/>
      </c>
      <c r="S176" s="12">
        <f>IFERROR(SQRT((Q176-H176)^2+(R176-I176)^2),"")</f>
        <v/>
      </c>
      <c r="T176">
        <f>149</f>
        <v/>
      </c>
      <c r="U176">
        <f>IF(T176&gt;4*$E$9,"",MIN(INT(T176/$E$9)+1,4))</f>
        <v/>
      </c>
      <c r="V176">
        <f>IF(T176=4*$E$9,-$E$6/2,IF(U176="","",CHOOSE(U176,-$E$6/2+MOD(T176,$E$9)/$E$9*$E$6,$E$6/2,$E$6/2-MOD(T176,$E$9)/$E$9*$E$6,-$E$6/2)))</f>
        <v/>
      </c>
      <c r="W176">
        <f>IF(T176=4*$E$9,-$E$7/2,IF(U176="","",CHOOSE(U176,-$E$7/2,-$E$7/2+MOD(T176,$E$9)/$E$9*$E$7,$E$7/2,$E$7/2-MOD(T176,$E$9)/$E$9*$E$7)))</f>
        <v/>
      </c>
      <c r="X176">
        <f>IF(OR($E$13&lt;&gt;"OK",M176=""),"",IF(M176&lt;=$A$19,$D$19,IF(M176&gt;=INDEX($A$19:$A$2018,$E$12),INDEX($D$19:$D$2018,$E$12),INDEX($D$19:$D$2018,MATCH(M176,$A$19:INDEX($A$19:$A$2018,$E$12),1))+(M176-INDEX($A$19:$A$2018,MATCH(M176,$A$19:INDEX($A$19:$A$2018,$E$12),1)))*(INDEX($D$19:$D$2018,MATCH(M176,$A$19:INDEX($A$19:$A$2018,$E$12),1)+1)-INDEX($D$19:$D$2018,MATCH(M176,$A$19:INDEX($A$19:$A$2018,$E$12),1)))/(INDEX($A$19:$A$2018,MATCH(M176,$A$19:INDEX($A$19:$A$2018,$E$12),1)+1)-INDEX($A$19:$A$2018,MATCH(M176,$A$19:INDEX($A$19:$A$2018,$E$12),1))))))</f>
        <v/>
      </c>
      <c r="Y176">
        <f>IF(X176="","",X176*1000/$B$4)</f>
        <v/>
      </c>
    </row>
    <row r="177">
      <c r="A177" s="10" t="n"/>
      <c r="B177" s="10" t="n"/>
      <c r="C177" s="11">
        <f>IF(A177="","",$B$5*TAN(RADIANS(A177)))</f>
        <v/>
      </c>
      <c r="D177" s="11">
        <f>IF(C177="","",C177*(1+B177/100))</f>
        <v/>
      </c>
      <c r="E177" s="11">
        <f>IF(A177="","",$B$6*TAN(RADIANS(A177)))</f>
        <v/>
      </c>
      <c r="G177" s="12">
        <f>IF(U177="","",T177)</f>
        <v/>
      </c>
      <c r="H177" s="12">
        <f>IF(U177="","",$E$4+V177*COS(RADIANS($E$8))-W177*SIN(RADIANS($E$8)))</f>
        <v/>
      </c>
      <c r="I177" s="12">
        <f>IF(U177="","",$E$5+V177*SIN(RADIANS($E$8))+W177*COS(RADIANS($E$8)))</f>
        <v/>
      </c>
      <c r="J177" s="12">
        <f>IF(H177="","",H177-$B$7)</f>
        <v/>
      </c>
      <c r="K177" s="12">
        <f>IF(I177="","",I177-$B$8)</f>
        <v/>
      </c>
      <c r="L177" s="12">
        <f>IFERROR(SQRT(J177^2+K177^2)*$B$4/1000,"")</f>
        <v/>
      </c>
      <c r="M177" s="12">
        <f>IF(OR($E$13&lt;&gt;"OK",L177=""),"",IF(L177&lt;=$D$19,$A$19,IF(L177&gt;=INDEX($D$19:$D$2018,$E$12),INDEX($A$19:$A$2018,$E$12),INDEX($A$19:$A$2018,MATCH(L177,$D$19:INDEX($D$19:$D$2018,$E$12),1))+(L177-INDEX($D$19:$D$2018,MATCH(L177,$D$19:INDEX($D$19:$D$2018,$E$12),1)))*(INDEX($A$19:$A$2018,MATCH(L177,$D$19:INDEX($D$19:$D$2018,$E$12),1)+1)-INDEX($A$19:$A$2018,MATCH(L177,$D$19:INDEX($D$19:$D$2018,$E$12),1)))/(INDEX($D$19:$D$2018,MATCH(L177,$D$19:INDEX($D$19:$D$2018,$E$12),1)+1)-INDEX($D$19:$D$2018,MATCH(L177,$D$19:INDEX($D$19:$D$2018,$E$12),1))))))</f>
        <v/>
      </c>
      <c r="N177" s="12">
        <f>IF(M177="","",$B$6*TAN(RADIANS(M177)))</f>
        <v/>
      </c>
      <c r="O177" s="12">
        <f>IF(N177="","",IF(L177=0,0,-N177*J177/SQRT(J177^2+K177^2)))</f>
        <v/>
      </c>
      <c r="P177" s="12">
        <f>IF(N177="","",IF(L177=0,0,N177*K177/SQRT(J177^2+K177^2)))</f>
        <v/>
      </c>
      <c r="Q177" s="12">
        <f>IF(N177="","",IF(N177=0,$B$7,$B$7-Y177*O177/N177))</f>
        <v/>
      </c>
      <c r="R177" s="12">
        <f>IF(N177="","",IF(N177=0,$B$8,$B$8+Y177*P177/N177))</f>
        <v/>
      </c>
      <c r="S177" s="12">
        <f>IFERROR(SQRT((Q177-H177)^2+(R177-I177)^2),"")</f>
        <v/>
      </c>
      <c r="T177">
        <f>150</f>
        <v/>
      </c>
      <c r="U177">
        <f>IF(T177&gt;4*$E$9,"",MIN(INT(T177/$E$9)+1,4))</f>
        <v/>
      </c>
      <c r="V177">
        <f>IF(T177=4*$E$9,-$E$6/2,IF(U177="","",CHOOSE(U177,-$E$6/2+MOD(T177,$E$9)/$E$9*$E$6,$E$6/2,$E$6/2-MOD(T177,$E$9)/$E$9*$E$6,-$E$6/2)))</f>
        <v/>
      </c>
      <c r="W177">
        <f>IF(T177=4*$E$9,-$E$7/2,IF(U177="","",CHOOSE(U177,-$E$7/2,-$E$7/2+MOD(T177,$E$9)/$E$9*$E$7,$E$7/2,$E$7/2-MOD(T177,$E$9)/$E$9*$E$7)))</f>
        <v/>
      </c>
      <c r="X177">
        <f>IF(OR($E$13&lt;&gt;"OK",M177=""),"",IF(M177&lt;=$A$19,$D$19,IF(M177&gt;=INDEX($A$19:$A$2018,$E$12),INDEX($D$19:$D$2018,$E$12),INDEX($D$19:$D$2018,MATCH(M177,$A$19:INDEX($A$19:$A$2018,$E$12),1))+(M177-INDEX($A$19:$A$2018,MATCH(M177,$A$19:INDEX($A$19:$A$2018,$E$12),1)))*(INDEX($D$19:$D$2018,MATCH(M177,$A$19:INDEX($A$19:$A$2018,$E$12),1)+1)-INDEX($D$19:$D$2018,MATCH(M177,$A$19:INDEX($A$19:$A$2018,$E$12),1)))/(INDEX($A$19:$A$2018,MATCH(M177,$A$19:INDEX($A$19:$A$2018,$E$12),1)+1)-INDEX($A$19:$A$2018,MATCH(M177,$A$19:INDEX($A$19:$A$2018,$E$12),1))))))</f>
        <v/>
      </c>
      <c r="Y177">
        <f>IF(X177="","",X177*1000/$B$4)</f>
        <v/>
      </c>
    </row>
    <row r="178">
      <c r="A178" s="10" t="n"/>
      <c r="B178" s="10" t="n"/>
      <c r="C178" s="11">
        <f>IF(A178="","",$B$5*TAN(RADIANS(A178)))</f>
        <v/>
      </c>
      <c r="D178" s="11">
        <f>IF(C178="","",C178*(1+B178/100))</f>
        <v/>
      </c>
      <c r="E178" s="11">
        <f>IF(A178="","",$B$6*TAN(RADIANS(A178)))</f>
        <v/>
      </c>
      <c r="G178" s="12">
        <f>IF(U178="","",T178)</f>
        <v/>
      </c>
      <c r="H178" s="12">
        <f>IF(U178="","",$E$4+V178*COS(RADIANS($E$8))-W178*SIN(RADIANS($E$8)))</f>
        <v/>
      </c>
      <c r="I178" s="12">
        <f>IF(U178="","",$E$5+V178*SIN(RADIANS($E$8))+W178*COS(RADIANS($E$8)))</f>
        <v/>
      </c>
      <c r="J178" s="12">
        <f>IF(H178="","",H178-$B$7)</f>
        <v/>
      </c>
      <c r="K178" s="12">
        <f>IF(I178="","",I178-$B$8)</f>
        <v/>
      </c>
      <c r="L178" s="12">
        <f>IFERROR(SQRT(J178^2+K178^2)*$B$4/1000,"")</f>
        <v/>
      </c>
      <c r="M178" s="12">
        <f>IF(OR($E$13&lt;&gt;"OK",L178=""),"",IF(L178&lt;=$D$19,$A$19,IF(L178&gt;=INDEX($D$19:$D$2018,$E$12),INDEX($A$19:$A$2018,$E$12),INDEX($A$19:$A$2018,MATCH(L178,$D$19:INDEX($D$19:$D$2018,$E$12),1))+(L178-INDEX($D$19:$D$2018,MATCH(L178,$D$19:INDEX($D$19:$D$2018,$E$12),1)))*(INDEX($A$19:$A$2018,MATCH(L178,$D$19:INDEX($D$19:$D$2018,$E$12),1)+1)-INDEX($A$19:$A$2018,MATCH(L178,$D$19:INDEX($D$19:$D$2018,$E$12),1)))/(INDEX($D$19:$D$2018,MATCH(L178,$D$19:INDEX($D$19:$D$2018,$E$12),1)+1)-INDEX($D$19:$D$2018,MATCH(L178,$D$19:INDEX($D$19:$D$2018,$E$12),1))))))</f>
        <v/>
      </c>
      <c r="N178" s="12">
        <f>IF(M178="","",$B$6*TAN(RADIANS(M178)))</f>
        <v/>
      </c>
      <c r="O178" s="12">
        <f>IF(N178="","",IF(L178=0,0,-N178*J178/SQRT(J178^2+K178^2)))</f>
        <v/>
      </c>
      <c r="P178" s="12">
        <f>IF(N178="","",IF(L178=0,0,N178*K178/SQRT(J178^2+K178^2)))</f>
        <v/>
      </c>
      <c r="Q178" s="12">
        <f>IF(N178="","",IF(N178=0,$B$7,$B$7-Y178*O178/N178))</f>
        <v/>
      </c>
      <c r="R178" s="12">
        <f>IF(N178="","",IF(N178=0,$B$8,$B$8+Y178*P178/N178))</f>
        <v/>
      </c>
      <c r="S178" s="12">
        <f>IFERROR(SQRT((Q178-H178)^2+(R178-I178)^2),"")</f>
        <v/>
      </c>
      <c r="T178">
        <f>151</f>
        <v/>
      </c>
      <c r="U178">
        <f>IF(T178&gt;4*$E$9,"",MIN(INT(T178/$E$9)+1,4))</f>
        <v/>
      </c>
      <c r="V178">
        <f>IF(T178=4*$E$9,-$E$6/2,IF(U178="","",CHOOSE(U178,-$E$6/2+MOD(T178,$E$9)/$E$9*$E$6,$E$6/2,$E$6/2-MOD(T178,$E$9)/$E$9*$E$6,-$E$6/2)))</f>
        <v/>
      </c>
      <c r="W178">
        <f>IF(T178=4*$E$9,-$E$7/2,IF(U178="","",CHOOSE(U178,-$E$7/2,-$E$7/2+MOD(T178,$E$9)/$E$9*$E$7,$E$7/2,$E$7/2-MOD(T178,$E$9)/$E$9*$E$7)))</f>
        <v/>
      </c>
      <c r="X178">
        <f>IF(OR($E$13&lt;&gt;"OK",M178=""),"",IF(M178&lt;=$A$19,$D$19,IF(M178&gt;=INDEX($A$19:$A$2018,$E$12),INDEX($D$19:$D$2018,$E$12),INDEX($D$19:$D$2018,MATCH(M178,$A$19:INDEX($A$19:$A$2018,$E$12),1))+(M178-INDEX($A$19:$A$2018,MATCH(M178,$A$19:INDEX($A$19:$A$2018,$E$12),1)))*(INDEX($D$19:$D$2018,MATCH(M178,$A$19:INDEX($A$19:$A$2018,$E$12),1)+1)-INDEX($D$19:$D$2018,MATCH(M178,$A$19:INDEX($A$19:$A$2018,$E$12),1)))/(INDEX($A$19:$A$2018,MATCH(M178,$A$19:INDEX($A$19:$A$2018,$E$12),1)+1)-INDEX($A$19:$A$2018,MATCH(M178,$A$19:INDEX($A$19:$A$2018,$E$12),1))))))</f>
        <v/>
      </c>
      <c r="Y178">
        <f>IF(X178="","",X178*1000/$B$4)</f>
        <v/>
      </c>
    </row>
    <row r="179">
      <c r="A179" s="10" t="n"/>
      <c r="B179" s="10" t="n"/>
      <c r="C179" s="11">
        <f>IF(A179="","",$B$5*TAN(RADIANS(A179)))</f>
        <v/>
      </c>
      <c r="D179" s="11">
        <f>IF(C179="","",C179*(1+B179/100))</f>
        <v/>
      </c>
      <c r="E179" s="11">
        <f>IF(A179="","",$B$6*TAN(RADIANS(A179)))</f>
        <v/>
      </c>
      <c r="G179" s="12">
        <f>IF(U179="","",T179)</f>
        <v/>
      </c>
      <c r="H179" s="12">
        <f>IF(U179="","",$E$4+V179*COS(RADIANS($E$8))-W179*SIN(RADIANS($E$8)))</f>
        <v/>
      </c>
      <c r="I179" s="12">
        <f>IF(U179="","",$E$5+V179*SIN(RADIANS($E$8))+W179*COS(RADIANS($E$8)))</f>
        <v/>
      </c>
      <c r="J179" s="12">
        <f>IF(H179="","",H179-$B$7)</f>
        <v/>
      </c>
      <c r="K179" s="12">
        <f>IF(I179="","",I179-$B$8)</f>
        <v/>
      </c>
      <c r="L179" s="12">
        <f>IFERROR(SQRT(J179^2+K179^2)*$B$4/1000,"")</f>
        <v/>
      </c>
      <c r="M179" s="12">
        <f>IF(OR($E$13&lt;&gt;"OK",L179=""),"",IF(L179&lt;=$D$19,$A$19,IF(L179&gt;=INDEX($D$19:$D$2018,$E$12),INDEX($A$19:$A$2018,$E$12),INDEX($A$19:$A$2018,MATCH(L179,$D$19:INDEX($D$19:$D$2018,$E$12),1))+(L179-INDEX($D$19:$D$2018,MATCH(L179,$D$19:INDEX($D$19:$D$2018,$E$12),1)))*(INDEX($A$19:$A$2018,MATCH(L179,$D$19:INDEX($D$19:$D$2018,$E$12),1)+1)-INDEX($A$19:$A$2018,MATCH(L179,$D$19:INDEX($D$19:$D$2018,$E$12),1)))/(INDEX($D$19:$D$2018,MATCH(L179,$D$19:INDEX($D$19:$D$2018,$E$12),1)+1)-INDEX($D$19:$D$2018,MATCH(L179,$D$19:INDEX($D$19:$D$2018,$E$12),1))))))</f>
        <v/>
      </c>
      <c r="N179" s="12">
        <f>IF(M179="","",$B$6*TAN(RADIANS(M179)))</f>
        <v/>
      </c>
      <c r="O179" s="12">
        <f>IF(N179="","",IF(L179=0,0,-N179*J179/SQRT(J179^2+K179^2)))</f>
        <v/>
      </c>
      <c r="P179" s="12">
        <f>IF(N179="","",IF(L179=0,0,N179*K179/SQRT(J179^2+K179^2)))</f>
        <v/>
      </c>
      <c r="Q179" s="12">
        <f>IF(N179="","",IF(N179=0,$B$7,$B$7-Y179*O179/N179))</f>
        <v/>
      </c>
      <c r="R179" s="12">
        <f>IF(N179="","",IF(N179=0,$B$8,$B$8+Y179*P179/N179))</f>
        <v/>
      </c>
      <c r="S179" s="12">
        <f>IFERROR(SQRT((Q179-H179)^2+(R179-I179)^2),"")</f>
        <v/>
      </c>
      <c r="T179">
        <f>152</f>
        <v/>
      </c>
      <c r="U179">
        <f>IF(T179&gt;4*$E$9,"",MIN(INT(T179/$E$9)+1,4))</f>
        <v/>
      </c>
      <c r="V179">
        <f>IF(T179=4*$E$9,-$E$6/2,IF(U179="","",CHOOSE(U179,-$E$6/2+MOD(T179,$E$9)/$E$9*$E$6,$E$6/2,$E$6/2-MOD(T179,$E$9)/$E$9*$E$6,-$E$6/2)))</f>
        <v/>
      </c>
      <c r="W179">
        <f>IF(T179=4*$E$9,-$E$7/2,IF(U179="","",CHOOSE(U179,-$E$7/2,-$E$7/2+MOD(T179,$E$9)/$E$9*$E$7,$E$7/2,$E$7/2-MOD(T179,$E$9)/$E$9*$E$7)))</f>
        <v/>
      </c>
      <c r="X179">
        <f>IF(OR($E$13&lt;&gt;"OK",M179=""),"",IF(M179&lt;=$A$19,$D$19,IF(M179&gt;=INDEX($A$19:$A$2018,$E$12),INDEX($D$19:$D$2018,$E$12),INDEX($D$19:$D$2018,MATCH(M179,$A$19:INDEX($A$19:$A$2018,$E$12),1))+(M179-INDEX($A$19:$A$2018,MATCH(M179,$A$19:INDEX($A$19:$A$2018,$E$12),1)))*(INDEX($D$19:$D$2018,MATCH(M179,$A$19:INDEX($A$19:$A$2018,$E$12),1)+1)-INDEX($D$19:$D$2018,MATCH(M179,$A$19:INDEX($A$19:$A$2018,$E$12),1)))/(INDEX($A$19:$A$2018,MATCH(M179,$A$19:INDEX($A$19:$A$2018,$E$12),1)+1)-INDEX($A$19:$A$2018,MATCH(M179,$A$19:INDEX($A$19:$A$2018,$E$12),1))))))</f>
        <v/>
      </c>
      <c r="Y179">
        <f>IF(X179="","",X179*1000/$B$4)</f>
        <v/>
      </c>
    </row>
    <row r="180">
      <c r="A180" s="10" t="n"/>
      <c r="B180" s="10" t="n"/>
      <c r="C180" s="11">
        <f>IF(A180="","",$B$5*TAN(RADIANS(A180)))</f>
        <v/>
      </c>
      <c r="D180" s="11">
        <f>IF(C180="","",C180*(1+B180/100))</f>
        <v/>
      </c>
      <c r="E180" s="11">
        <f>IF(A180="","",$B$6*TAN(RADIANS(A180)))</f>
        <v/>
      </c>
      <c r="G180" s="12">
        <f>IF(U180="","",T180)</f>
        <v/>
      </c>
      <c r="H180" s="12">
        <f>IF(U180="","",$E$4+V180*COS(RADIANS($E$8))-W180*SIN(RADIANS($E$8)))</f>
        <v/>
      </c>
      <c r="I180" s="12">
        <f>IF(U180="","",$E$5+V180*SIN(RADIANS($E$8))+W180*COS(RADIANS($E$8)))</f>
        <v/>
      </c>
      <c r="J180" s="12">
        <f>IF(H180="","",H180-$B$7)</f>
        <v/>
      </c>
      <c r="K180" s="12">
        <f>IF(I180="","",I180-$B$8)</f>
        <v/>
      </c>
      <c r="L180" s="12">
        <f>IFERROR(SQRT(J180^2+K180^2)*$B$4/1000,"")</f>
        <v/>
      </c>
      <c r="M180" s="12">
        <f>IF(OR($E$13&lt;&gt;"OK",L180=""),"",IF(L180&lt;=$D$19,$A$19,IF(L180&gt;=INDEX($D$19:$D$2018,$E$12),INDEX($A$19:$A$2018,$E$12),INDEX($A$19:$A$2018,MATCH(L180,$D$19:INDEX($D$19:$D$2018,$E$12),1))+(L180-INDEX($D$19:$D$2018,MATCH(L180,$D$19:INDEX($D$19:$D$2018,$E$12),1)))*(INDEX($A$19:$A$2018,MATCH(L180,$D$19:INDEX($D$19:$D$2018,$E$12),1)+1)-INDEX($A$19:$A$2018,MATCH(L180,$D$19:INDEX($D$19:$D$2018,$E$12),1)))/(INDEX($D$19:$D$2018,MATCH(L180,$D$19:INDEX($D$19:$D$2018,$E$12),1)+1)-INDEX($D$19:$D$2018,MATCH(L180,$D$19:INDEX($D$19:$D$2018,$E$12),1))))))</f>
        <v/>
      </c>
      <c r="N180" s="12">
        <f>IF(M180="","",$B$6*TAN(RADIANS(M180)))</f>
        <v/>
      </c>
      <c r="O180" s="12">
        <f>IF(N180="","",IF(L180=0,0,-N180*J180/SQRT(J180^2+K180^2)))</f>
        <v/>
      </c>
      <c r="P180" s="12">
        <f>IF(N180="","",IF(L180=0,0,N180*K180/SQRT(J180^2+K180^2)))</f>
        <v/>
      </c>
      <c r="Q180" s="12">
        <f>IF(N180="","",IF(N180=0,$B$7,$B$7-Y180*O180/N180))</f>
        <v/>
      </c>
      <c r="R180" s="12">
        <f>IF(N180="","",IF(N180=0,$B$8,$B$8+Y180*P180/N180))</f>
        <v/>
      </c>
      <c r="S180" s="12">
        <f>IFERROR(SQRT((Q180-H180)^2+(R180-I180)^2),"")</f>
        <v/>
      </c>
      <c r="T180">
        <f>153</f>
        <v/>
      </c>
      <c r="U180">
        <f>IF(T180&gt;4*$E$9,"",MIN(INT(T180/$E$9)+1,4))</f>
        <v/>
      </c>
      <c r="V180">
        <f>IF(T180=4*$E$9,-$E$6/2,IF(U180="","",CHOOSE(U180,-$E$6/2+MOD(T180,$E$9)/$E$9*$E$6,$E$6/2,$E$6/2-MOD(T180,$E$9)/$E$9*$E$6,-$E$6/2)))</f>
        <v/>
      </c>
      <c r="W180">
        <f>IF(T180=4*$E$9,-$E$7/2,IF(U180="","",CHOOSE(U180,-$E$7/2,-$E$7/2+MOD(T180,$E$9)/$E$9*$E$7,$E$7/2,$E$7/2-MOD(T180,$E$9)/$E$9*$E$7)))</f>
        <v/>
      </c>
      <c r="X180">
        <f>IF(OR($E$13&lt;&gt;"OK",M180=""),"",IF(M180&lt;=$A$19,$D$19,IF(M180&gt;=INDEX($A$19:$A$2018,$E$12),INDEX($D$19:$D$2018,$E$12),INDEX($D$19:$D$2018,MATCH(M180,$A$19:INDEX($A$19:$A$2018,$E$12),1))+(M180-INDEX($A$19:$A$2018,MATCH(M180,$A$19:INDEX($A$19:$A$2018,$E$12),1)))*(INDEX($D$19:$D$2018,MATCH(M180,$A$19:INDEX($A$19:$A$2018,$E$12),1)+1)-INDEX($D$19:$D$2018,MATCH(M180,$A$19:INDEX($A$19:$A$2018,$E$12),1)))/(INDEX($A$19:$A$2018,MATCH(M180,$A$19:INDEX($A$19:$A$2018,$E$12),1)+1)-INDEX($A$19:$A$2018,MATCH(M180,$A$19:INDEX($A$19:$A$2018,$E$12),1))))))</f>
        <v/>
      </c>
      <c r="Y180">
        <f>IF(X180="","",X180*1000/$B$4)</f>
        <v/>
      </c>
    </row>
    <row r="181">
      <c r="A181" s="10" t="n"/>
      <c r="B181" s="10" t="n"/>
      <c r="C181" s="11">
        <f>IF(A181="","",$B$5*TAN(RADIANS(A181)))</f>
        <v/>
      </c>
      <c r="D181" s="11">
        <f>IF(C181="","",C181*(1+B181/100))</f>
        <v/>
      </c>
      <c r="E181" s="11">
        <f>IF(A181="","",$B$6*TAN(RADIANS(A181)))</f>
        <v/>
      </c>
      <c r="G181" s="12">
        <f>IF(U181="","",T181)</f>
        <v/>
      </c>
      <c r="H181" s="12">
        <f>IF(U181="","",$E$4+V181*COS(RADIANS($E$8))-W181*SIN(RADIANS($E$8)))</f>
        <v/>
      </c>
      <c r="I181" s="12">
        <f>IF(U181="","",$E$5+V181*SIN(RADIANS($E$8))+W181*COS(RADIANS($E$8)))</f>
        <v/>
      </c>
      <c r="J181" s="12">
        <f>IF(H181="","",H181-$B$7)</f>
        <v/>
      </c>
      <c r="K181" s="12">
        <f>IF(I181="","",I181-$B$8)</f>
        <v/>
      </c>
      <c r="L181" s="12">
        <f>IFERROR(SQRT(J181^2+K181^2)*$B$4/1000,"")</f>
        <v/>
      </c>
      <c r="M181" s="12">
        <f>IF(OR($E$13&lt;&gt;"OK",L181=""),"",IF(L181&lt;=$D$19,$A$19,IF(L181&gt;=INDEX($D$19:$D$2018,$E$12),INDEX($A$19:$A$2018,$E$12),INDEX($A$19:$A$2018,MATCH(L181,$D$19:INDEX($D$19:$D$2018,$E$12),1))+(L181-INDEX($D$19:$D$2018,MATCH(L181,$D$19:INDEX($D$19:$D$2018,$E$12),1)))*(INDEX($A$19:$A$2018,MATCH(L181,$D$19:INDEX($D$19:$D$2018,$E$12),1)+1)-INDEX($A$19:$A$2018,MATCH(L181,$D$19:INDEX($D$19:$D$2018,$E$12),1)))/(INDEX($D$19:$D$2018,MATCH(L181,$D$19:INDEX($D$19:$D$2018,$E$12),1)+1)-INDEX($D$19:$D$2018,MATCH(L181,$D$19:INDEX($D$19:$D$2018,$E$12),1))))))</f>
        <v/>
      </c>
      <c r="N181" s="12">
        <f>IF(M181="","",$B$6*TAN(RADIANS(M181)))</f>
        <v/>
      </c>
      <c r="O181" s="12">
        <f>IF(N181="","",IF(L181=0,0,-N181*J181/SQRT(J181^2+K181^2)))</f>
        <v/>
      </c>
      <c r="P181" s="12">
        <f>IF(N181="","",IF(L181=0,0,N181*K181/SQRT(J181^2+K181^2)))</f>
        <v/>
      </c>
      <c r="Q181" s="12">
        <f>IF(N181="","",IF(N181=0,$B$7,$B$7-Y181*O181/N181))</f>
        <v/>
      </c>
      <c r="R181" s="12">
        <f>IF(N181="","",IF(N181=0,$B$8,$B$8+Y181*P181/N181))</f>
        <v/>
      </c>
      <c r="S181" s="12">
        <f>IFERROR(SQRT((Q181-H181)^2+(R181-I181)^2),"")</f>
        <v/>
      </c>
      <c r="T181">
        <f>154</f>
        <v/>
      </c>
      <c r="U181">
        <f>IF(T181&gt;4*$E$9,"",MIN(INT(T181/$E$9)+1,4))</f>
        <v/>
      </c>
      <c r="V181">
        <f>IF(T181=4*$E$9,-$E$6/2,IF(U181="","",CHOOSE(U181,-$E$6/2+MOD(T181,$E$9)/$E$9*$E$6,$E$6/2,$E$6/2-MOD(T181,$E$9)/$E$9*$E$6,-$E$6/2)))</f>
        <v/>
      </c>
      <c r="W181">
        <f>IF(T181=4*$E$9,-$E$7/2,IF(U181="","",CHOOSE(U181,-$E$7/2,-$E$7/2+MOD(T181,$E$9)/$E$9*$E$7,$E$7/2,$E$7/2-MOD(T181,$E$9)/$E$9*$E$7)))</f>
        <v/>
      </c>
      <c r="X181">
        <f>IF(OR($E$13&lt;&gt;"OK",M181=""),"",IF(M181&lt;=$A$19,$D$19,IF(M181&gt;=INDEX($A$19:$A$2018,$E$12),INDEX($D$19:$D$2018,$E$12),INDEX($D$19:$D$2018,MATCH(M181,$A$19:INDEX($A$19:$A$2018,$E$12),1))+(M181-INDEX($A$19:$A$2018,MATCH(M181,$A$19:INDEX($A$19:$A$2018,$E$12),1)))*(INDEX($D$19:$D$2018,MATCH(M181,$A$19:INDEX($A$19:$A$2018,$E$12),1)+1)-INDEX($D$19:$D$2018,MATCH(M181,$A$19:INDEX($A$19:$A$2018,$E$12),1)))/(INDEX($A$19:$A$2018,MATCH(M181,$A$19:INDEX($A$19:$A$2018,$E$12),1)+1)-INDEX($A$19:$A$2018,MATCH(M181,$A$19:INDEX($A$19:$A$2018,$E$12),1))))))</f>
        <v/>
      </c>
      <c r="Y181">
        <f>IF(X181="","",X181*1000/$B$4)</f>
        <v/>
      </c>
    </row>
    <row r="182">
      <c r="A182" s="10" t="n"/>
      <c r="B182" s="10" t="n"/>
      <c r="C182" s="11">
        <f>IF(A182="","",$B$5*TAN(RADIANS(A182)))</f>
        <v/>
      </c>
      <c r="D182" s="11">
        <f>IF(C182="","",C182*(1+B182/100))</f>
        <v/>
      </c>
      <c r="E182" s="11">
        <f>IF(A182="","",$B$6*TAN(RADIANS(A182)))</f>
        <v/>
      </c>
      <c r="G182" s="12">
        <f>IF(U182="","",T182)</f>
        <v/>
      </c>
      <c r="H182" s="12">
        <f>IF(U182="","",$E$4+V182*COS(RADIANS($E$8))-W182*SIN(RADIANS($E$8)))</f>
        <v/>
      </c>
      <c r="I182" s="12">
        <f>IF(U182="","",$E$5+V182*SIN(RADIANS($E$8))+W182*COS(RADIANS($E$8)))</f>
        <v/>
      </c>
      <c r="J182" s="12">
        <f>IF(H182="","",H182-$B$7)</f>
        <v/>
      </c>
      <c r="K182" s="12">
        <f>IF(I182="","",I182-$B$8)</f>
        <v/>
      </c>
      <c r="L182" s="12">
        <f>IFERROR(SQRT(J182^2+K182^2)*$B$4/1000,"")</f>
        <v/>
      </c>
      <c r="M182" s="12">
        <f>IF(OR($E$13&lt;&gt;"OK",L182=""),"",IF(L182&lt;=$D$19,$A$19,IF(L182&gt;=INDEX($D$19:$D$2018,$E$12),INDEX($A$19:$A$2018,$E$12),INDEX($A$19:$A$2018,MATCH(L182,$D$19:INDEX($D$19:$D$2018,$E$12),1))+(L182-INDEX($D$19:$D$2018,MATCH(L182,$D$19:INDEX($D$19:$D$2018,$E$12),1)))*(INDEX($A$19:$A$2018,MATCH(L182,$D$19:INDEX($D$19:$D$2018,$E$12),1)+1)-INDEX($A$19:$A$2018,MATCH(L182,$D$19:INDEX($D$19:$D$2018,$E$12),1)))/(INDEX($D$19:$D$2018,MATCH(L182,$D$19:INDEX($D$19:$D$2018,$E$12),1)+1)-INDEX($D$19:$D$2018,MATCH(L182,$D$19:INDEX($D$19:$D$2018,$E$12),1))))))</f>
        <v/>
      </c>
      <c r="N182" s="12">
        <f>IF(M182="","",$B$6*TAN(RADIANS(M182)))</f>
        <v/>
      </c>
      <c r="O182" s="12">
        <f>IF(N182="","",IF(L182=0,0,-N182*J182/SQRT(J182^2+K182^2)))</f>
        <v/>
      </c>
      <c r="P182" s="12">
        <f>IF(N182="","",IF(L182=0,0,N182*K182/SQRT(J182^2+K182^2)))</f>
        <v/>
      </c>
      <c r="Q182" s="12">
        <f>IF(N182="","",IF(N182=0,$B$7,$B$7-Y182*O182/N182))</f>
        <v/>
      </c>
      <c r="R182" s="12">
        <f>IF(N182="","",IF(N182=0,$B$8,$B$8+Y182*P182/N182))</f>
        <v/>
      </c>
      <c r="S182" s="12">
        <f>IFERROR(SQRT((Q182-H182)^2+(R182-I182)^2),"")</f>
        <v/>
      </c>
      <c r="T182">
        <f>155</f>
        <v/>
      </c>
      <c r="U182">
        <f>IF(T182&gt;4*$E$9,"",MIN(INT(T182/$E$9)+1,4))</f>
        <v/>
      </c>
      <c r="V182">
        <f>IF(T182=4*$E$9,-$E$6/2,IF(U182="","",CHOOSE(U182,-$E$6/2+MOD(T182,$E$9)/$E$9*$E$6,$E$6/2,$E$6/2-MOD(T182,$E$9)/$E$9*$E$6,-$E$6/2)))</f>
        <v/>
      </c>
      <c r="W182">
        <f>IF(T182=4*$E$9,-$E$7/2,IF(U182="","",CHOOSE(U182,-$E$7/2,-$E$7/2+MOD(T182,$E$9)/$E$9*$E$7,$E$7/2,$E$7/2-MOD(T182,$E$9)/$E$9*$E$7)))</f>
        <v/>
      </c>
      <c r="X182">
        <f>IF(OR($E$13&lt;&gt;"OK",M182=""),"",IF(M182&lt;=$A$19,$D$19,IF(M182&gt;=INDEX($A$19:$A$2018,$E$12),INDEX($D$19:$D$2018,$E$12),INDEX($D$19:$D$2018,MATCH(M182,$A$19:INDEX($A$19:$A$2018,$E$12),1))+(M182-INDEX($A$19:$A$2018,MATCH(M182,$A$19:INDEX($A$19:$A$2018,$E$12),1)))*(INDEX($D$19:$D$2018,MATCH(M182,$A$19:INDEX($A$19:$A$2018,$E$12),1)+1)-INDEX($D$19:$D$2018,MATCH(M182,$A$19:INDEX($A$19:$A$2018,$E$12),1)))/(INDEX($A$19:$A$2018,MATCH(M182,$A$19:INDEX($A$19:$A$2018,$E$12),1)+1)-INDEX($A$19:$A$2018,MATCH(M182,$A$19:INDEX($A$19:$A$2018,$E$12),1))))))</f>
        <v/>
      </c>
      <c r="Y182">
        <f>IF(X182="","",X182*1000/$B$4)</f>
        <v/>
      </c>
    </row>
    <row r="183">
      <c r="A183" s="10" t="n"/>
      <c r="B183" s="10" t="n"/>
      <c r="C183" s="11">
        <f>IF(A183="","",$B$5*TAN(RADIANS(A183)))</f>
        <v/>
      </c>
      <c r="D183" s="11">
        <f>IF(C183="","",C183*(1+B183/100))</f>
        <v/>
      </c>
      <c r="E183" s="11">
        <f>IF(A183="","",$B$6*TAN(RADIANS(A183)))</f>
        <v/>
      </c>
      <c r="G183" s="12">
        <f>IF(U183="","",T183)</f>
        <v/>
      </c>
      <c r="H183" s="12">
        <f>IF(U183="","",$E$4+V183*COS(RADIANS($E$8))-W183*SIN(RADIANS($E$8)))</f>
        <v/>
      </c>
      <c r="I183" s="12">
        <f>IF(U183="","",$E$5+V183*SIN(RADIANS($E$8))+W183*COS(RADIANS($E$8)))</f>
        <v/>
      </c>
      <c r="J183" s="12">
        <f>IF(H183="","",H183-$B$7)</f>
        <v/>
      </c>
      <c r="K183" s="12">
        <f>IF(I183="","",I183-$B$8)</f>
        <v/>
      </c>
      <c r="L183" s="12">
        <f>IFERROR(SQRT(J183^2+K183^2)*$B$4/1000,"")</f>
        <v/>
      </c>
      <c r="M183" s="12">
        <f>IF(OR($E$13&lt;&gt;"OK",L183=""),"",IF(L183&lt;=$D$19,$A$19,IF(L183&gt;=INDEX($D$19:$D$2018,$E$12),INDEX($A$19:$A$2018,$E$12),INDEX($A$19:$A$2018,MATCH(L183,$D$19:INDEX($D$19:$D$2018,$E$12),1))+(L183-INDEX($D$19:$D$2018,MATCH(L183,$D$19:INDEX($D$19:$D$2018,$E$12),1)))*(INDEX($A$19:$A$2018,MATCH(L183,$D$19:INDEX($D$19:$D$2018,$E$12),1)+1)-INDEX($A$19:$A$2018,MATCH(L183,$D$19:INDEX($D$19:$D$2018,$E$12),1)))/(INDEX($D$19:$D$2018,MATCH(L183,$D$19:INDEX($D$19:$D$2018,$E$12),1)+1)-INDEX($D$19:$D$2018,MATCH(L183,$D$19:INDEX($D$19:$D$2018,$E$12),1))))))</f>
        <v/>
      </c>
      <c r="N183" s="12">
        <f>IF(M183="","",$B$6*TAN(RADIANS(M183)))</f>
        <v/>
      </c>
      <c r="O183" s="12">
        <f>IF(N183="","",IF(L183=0,0,-N183*J183/SQRT(J183^2+K183^2)))</f>
        <v/>
      </c>
      <c r="P183" s="12">
        <f>IF(N183="","",IF(L183=0,0,N183*K183/SQRT(J183^2+K183^2)))</f>
        <v/>
      </c>
      <c r="Q183" s="12">
        <f>IF(N183="","",IF(N183=0,$B$7,$B$7-Y183*O183/N183))</f>
        <v/>
      </c>
      <c r="R183" s="12">
        <f>IF(N183="","",IF(N183=0,$B$8,$B$8+Y183*P183/N183))</f>
        <v/>
      </c>
      <c r="S183" s="12">
        <f>IFERROR(SQRT((Q183-H183)^2+(R183-I183)^2),"")</f>
        <v/>
      </c>
      <c r="T183">
        <f>156</f>
        <v/>
      </c>
      <c r="U183">
        <f>IF(T183&gt;4*$E$9,"",MIN(INT(T183/$E$9)+1,4))</f>
        <v/>
      </c>
      <c r="V183">
        <f>IF(T183=4*$E$9,-$E$6/2,IF(U183="","",CHOOSE(U183,-$E$6/2+MOD(T183,$E$9)/$E$9*$E$6,$E$6/2,$E$6/2-MOD(T183,$E$9)/$E$9*$E$6,-$E$6/2)))</f>
        <v/>
      </c>
      <c r="W183">
        <f>IF(T183=4*$E$9,-$E$7/2,IF(U183="","",CHOOSE(U183,-$E$7/2,-$E$7/2+MOD(T183,$E$9)/$E$9*$E$7,$E$7/2,$E$7/2-MOD(T183,$E$9)/$E$9*$E$7)))</f>
        <v/>
      </c>
      <c r="X183">
        <f>IF(OR($E$13&lt;&gt;"OK",M183=""),"",IF(M183&lt;=$A$19,$D$19,IF(M183&gt;=INDEX($A$19:$A$2018,$E$12),INDEX($D$19:$D$2018,$E$12),INDEX($D$19:$D$2018,MATCH(M183,$A$19:INDEX($A$19:$A$2018,$E$12),1))+(M183-INDEX($A$19:$A$2018,MATCH(M183,$A$19:INDEX($A$19:$A$2018,$E$12),1)))*(INDEX($D$19:$D$2018,MATCH(M183,$A$19:INDEX($A$19:$A$2018,$E$12),1)+1)-INDEX($D$19:$D$2018,MATCH(M183,$A$19:INDEX($A$19:$A$2018,$E$12),1)))/(INDEX($A$19:$A$2018,MATCH(M183,$A$19:INDEX($A$19:$A$2018,$E$12),1)+1)-INDEX($A$19:$A$2018,MATCH(M183,$A$19:INDEX($A$19:$A$2018,$E$12),1))))))</f>
        <v/>
      </c>
      <c r="Y183">
        <f>IF(X183="","",X183*1000/$B$4)</f>
        <v/>
      </c>
    </row>
    <row r="184">
      <c r="A184" s="10" t="n"/>
      <c r="B184" s="10" t="n"/>
      <c r="C184" s="11">
        <f>IF(A184="","",$B$5*TAN(RADIANS(A184)))</f>
        <v/>
      </c>
      <c r="D184" s="11">
        <f>IF(C184="","",C184*(1+B184/100))</f>
        <v/>
      </c>
      <c r="E184" s="11">
        <f>IF(A184="","",$B$6*TAN(RADIANS(A184)))</f>
        <v/>
      </c>
      <c r="G184" s="12">
        <f>IF(U184="","",T184)</f>
        <v/>
      </c>
      <c r="H184" s="12">
        <f>IF(U184="","",$E$4+V184*COS(RADIANS($E$8))-W184*SIN(RADIANS($E$8)))</f>
        <v/>
      </c>
      <c r="I184" s="12">
        <f>IF(U184="","",$E$5+V184*SIN(RADIANS($E$8))+W184*COS(RADIANS($E$8)))</f>
        <v/>
      </c>
      <c r="J184" s="12">
        <f>IF(H184="","",H184-$B$7)</f>
        <v/>
      </c>
      <c r="K184" s="12">
        <f>IF(I184="","",I184-$B$8)</f>
        <v/>
      </c>
      <c r="L184" s="12">
        <f>IFERROR(SQRT(J184^2+K184^2)*$B$4/1000,"")</f>
        <v/>
      </c>
      <c r="M184" s="12">
        <f>IF(OR($E$13&lt;&gt;"OK",L184=""),"",IF(L184&lt;=$D$19,$A$19,IF(L184&gt;=INDEX($D$19:$D$2018,$E$12),INDEX($A$19:$A$2018,$E$12),INDEX($A$19:$A$2018,MATCH(L184,$D$19:INDEX($D$19:$D$2018,$E$12),1))+(L184-INDEX($D$19:$D$2018,MATCH(L184,$D$19:INDEX($D$19:$D$2018,$E$12),1)))*(INDEX($A$19:$A$2018,MATCH(L184,$D$19:INDEX($D$19:$D$2018,$E$12),1)+1)-INDEX($A$19:$A$2018,MATCH(L184,$D$19:INDEX($D$19:$D$2018,$E$12),1)))/(INDEX($D$19:$D$2018,MATCH(L184,$D$19:INDEX($D$19:$D$2018,$E$12),1)+1)-INDEX($D$19:$D$2018,MATCH(L184,$D$19:INDEX($D$19:$D$2018,$E$12),1))))))</f>
        <v/>
      </c>
      <c r="N184" s="12">
        <f>IF(M184="","",$B$6*TAN(RADIANS(M184)))</f>
        <v/>
      </c>
      <c r="O184" s="12">
        <f>IF(N184="","",IF(L184=0,0,-N184*J184/SQRT(J184^2+K184^2)))</f>
        <v/>
      </c>
      <c r="P184" s="12">
        <f>IF(N184="","",IF(L184=0,0,N184*K184/SQRT(J184^2+K184^2)))</f>
        <v/>
      </c>
      <c r="Q184" s="12">
        <f>IF(N184="","",IF(N184=0,$B$7,$B$7-Y184*O184/N184))</f>
        <v/>
      </c>
      <c r="R184" s="12">
        <f>IF(N184="","",IF(N184=0,$B$8,$B$8+Y184*P184/N184))</f>
        <v/>
      </c>
      <c r="S184" s="12">
        <f>IFERROR(SQRT((Q184-H184)^2+(R184-I184)^2),"")</f>
        <v/>
      </c>
      <c r="T184">
        <f>157</f>
        <v/>
      </c>
      <c r="U184">
        <f>IF(T184&gt;4*$E$9,"",MIN(INT(T184/$E$9)+1,4))</f>
        <v/>
      </c>
      <c r="V184">
        <f>IF(T184=4*$E$9,-$E$6/2,IF(U184="","",CHOOSE(U184,-$E$6/2+MOD(T184,$E$9)/$E$9*$E$6,$E$6/2,$E$6/2-MOD(T184,$E$9)/$E$9*$E$6,-$E$6/2)))</f>
        <v/>
      </c>
      <c r="W184">
        <f>IF(T184=4*$E$9,-$E$7/2,IF(U184="","",CHOOSE(U184,-$E$7/2,-$E$7/2+MOD(T184,$E$9)/$E$9*$E$7,$E$7/2,$E$7/2-MOD(T184,$E$9)/$E$9*$E$7)))</f>
        <v/>
      </c>
      <c r="X184">
        <f>IF(OR($E$13&lt;&gt;"OK",M184=""),"",IF(M184&lt;=$A$19,$D$19,IF(M184&gt;=INDEX($A$19:$A$2018,$E$12),INDEX($D$19:$D$2018,$E$12),INDEX($D$19:$D$2018,MATCH(M184,$A$19:INDEX($A$19:$A$2018,$E$12),1))+(M184-INDEX($A$19:$A$2018,MATCH(M184,$A$19:INDEX($A$19:$A$2018,$E$12),1)))*(INDEX($D$19:$D$2018,MATCH(M184,$A$19:INDEX($A$19:$A$2018,$E$12),1)+1)-INDEX($D$19:$D$2018,MATCH(M184,$A$19:INDEX($A$19:$A$2018,$E$12),1)))/(INDEX($A$19:$A$2018,MATCH(M184,$A$19:INDEX($A$19:$A$2018,$E$12),1)+1)-INDEX($A$19:$A$2018,MATCH(M184,$A$19:INDEX($A$19:$A$2018,$E$12),1))))))</f>
        <v/>
      </c>
      <c r="Y184">
        <f>IF(X184="","",X184*1000/$B$4)</f>
        <v/>
      </c>
    </row>
    <row r="185">
      <c r="A185" s="10" t="n"/>
      <c r="B185" s="10" t="n"/>
      <c r="C185" s="11">
        <f>IF(A185="","",$B$5*TAN(RADIANS(A185)))</f>
        <v/>
      </c>
      <c r="D185" s="11">
        <f>IF(C185="","",C185*(1+B185/100))</f>
        <v/>
      </c>
      <c r="E185" s="11">
        <f>IF(A185="","",$B$6*TAN(RADIANS(A185)))</f>
        <v/>
      </c>
      <c r="G185" s="12">
        <f>IF(U185="","",T185)</f>
        <v/>
      </c>
      <c r="H185" s="12">
        <f>IF(U185="","",$E$4+V185*COS(RADIANS($E$8))-W185*SIN(RADIANS($E$8)))</f>
        <v/>
      </c>
      <c r="I185" s="12">
        <f>IF(U185="","",$E$5+V185*SIN(RADIANS($E$8))+W185*COS(RADIANS($E$8)))</f>
        <v/>
      </c>
      <c r="J185" s="12">
        <f>IF(H185="","",H185-$B$7)</f>
        <v/>
      </c>
      <c r="K185" s="12">
        <f>IF(I185="","",I185-$B$8)</f>
        <v/>
      </c>
      <c r="L185" s="12">
        <f>IFERROR(SQRT(J185^2+K185^2)*$B$4/1000,"")</f>
        <v/>
      </c>
      <c r="M185" s="12">
        <f>IF(OR($E$13&lt;&gt;"OK",L185=""),"",IF(L185&lt;=$D$19,$A$19,IF(L185&gt;=INDEX($D$19:$D$2018,$E$12),INDEX($A$19:$A$2018,$E$12),INDEX($A$19:$A$2018,MATCH(L185,$D$19:INDEX($D$19:$D$2018,$E$12),1))+(L185-INDEX($D$19:$D$2018,MATCH(L185,$D$19:INDEX($D$19:$D$2018,$E$12),1)))*(INDEX($A$19:$A$2018,MATCH(L185,$D$19:INDEX($D$19:$D$2018,$E$12),1)+1)-INDEX($A$19:$A$2018,MATCH(L185,$D$19:INDEX($D$19:$D$2018,$E$12),1)))/(INDEX($D$19:$D$2018,MATCH(L185,$D$19:INDEX($D$19:$D$2018,$E$12),1)+1)-INDEX($D$19:$D$2018,MATCH(L185,$D$19:INDEX($D$19:$D$2018,$E$12),1))))))</f>
        <v/>
      </c>
      <c r="N185" s="12">
        <f>IF(M185="","",$B$6*TAN(RADIANS(M185)))</f>
        <v/>
      </c>
      <c r="O185" s="12">
        <f>IF(N185="","",IF(L185=0,0,-N185*J185/SQRT(J185^2+K185^2)))</f>
        <v/>
      </c>
      <c r="P185" s="12">
        <f>IF(N185="","",IF(L185=0,0,N185*K185/SQRT(J185^2+K185^2)))</f>
        <v/>
      </c>
      <c r="Q185" s="12">
        <f>IF(N185="","",IF(N185=0,$B$7,$B$7-Y185*O185/N185))</f>
        <v/>
      </c>
      <c r="R185" s="12">
        <f>IF(N185="","",IF(N185=0,$B$8,$B$8+Y185*P185/N185))</f>
        <v/>
      </c>
      <c r="S185" s="12">
        <f>IFERROR(SQRT((Q185-H185)^2+(R185-I185)^2),"")</f>
        <v/>
      </c>
      <c r="T185">
        <f>158</f>
        <v/>
      </c>
      <c r="U185">
        <f>IF(T185&gt;4*$E$9,"",MIN(INT(T185/$E$9)+1,4))</f>
        <v/>
      </c>
      <c r="V185">
        <f>IF(T185=4*$E$9,-$E$6/2,IF(U185="","",CHOOSE(U185,-$E$6/2+MOD(T185,$E$9)/$E$9*$E$6,$E$6/2,$E$6/2-MOD(T185,$E$9)/$E$9*$E$6,-$E$6/2)))</f>
        <v/>
      </c>
      <c r="W185">
        <f>IF(T185=4*$E$9,-$E$7/2,IF(U185="","",CHOOSE(U185,-$E$7/2,-$E$7/2+MOD(T185,$E$9)/$E$9*$E$7,$E$7/2,$E$7/2-MOD(T185,$E$9)/$E$9*$E$7)))</f>
        <v/>
      </c>
      <c r="X185">
        <f>IF(OR($E$13&lt;&gt;"OK",M185=""),"",IF(M185&lt;=$A$19,$D$19,IF(M185&gt;=INDEX($A$19:$A$2018,$E$12),INDEX($D$19:$D$2018,$E$12),INDEX($D$19:$D$2018,MATCH(M185,$A$19:INDEX($A$19:$A$2018,$E$12),1))+(M185-INDEX($A$19:$A$2018,MATCH(M185,$A$19:INDEX($A$19:$A$2018,$E$12),1)))*(INDEX($D$19:$D$2018,MATCH(M185,$A$19:INDEX($A$19:$A$2018,$E$12),1)+1)-INDEX($D$19:$D$2018,MATCH(M185,$A$19:INDEX($A$19:$A$2018,$E$12),1)))/(INDEX($A$19:$A$2018,MATCH(M185,$A$19:INDEX($A$19:$A$2018,$E$12),1)+1)-INDEX($A$19:$A$2018,MATCH(M185,$A$19:INDEX($A$19:$A$2018,$E$12),1))))))</f>
        <v/>
      </c>
      <c r="Y185">
        <f>IF(X185="","",X185*1000/$B$4)</f>
        <v/>
      </c>
    </row>
    <row r="186">
      <c r="A186" s="10" t="n"/>
      <c r="B186" s="10" t="n"/>
      <c r="C186" s="11">
        <f>IF(A186="","",$B$5*TAN(RADIANS(A186)))</f>
        <v/>
      </c>
      <c r="D186" s="11">
        <f>IF(C186="","",C186*(1+B186/100))</f>
        <v/>
      </c>
      <c r="E186" s="11">
        <f>IF(A186="","",$B$6*TAN(RADIANS(A186)))</f>
        <v/>
      </c>
      <c r="G186" s="12">
        <f>IF(U186="","",T186)</f>
        <v/>
      </c>
      <c r="H186" s="12">
        <f>IF(U186="","",$E$4+V186*COS(RADIANS($E$8))-W186*SIN(RADIANS($E$8)))</f>
        <v/>
      </c>
      <c r="I186" s="12">
        <f>IF(U186="","",$E$5+V186*SIN(RADIANS($E$8))+W186*COS(RADIANS($E$8)))</f>
        <v/>
      </c>
      <c r="J186" s="12">
        <f>IF(H186="","",H186-$B$7)</f>
        <v/>
      </c>
      <c r="K186" s="12">
        <f>IF(I186="","",I186-$B$8)</f>
        <v/>
      </c>
      <c r="L186" s="12">
        <f>IFERROR(SQRT(J186^2+K186^2)*$B$4/1000,"")</f>
        <v/>
      </c>
      <c r="M186" s="12">
        <f>IF(OR($E$13&lt;&gt;"OK",L186=""),"",IF(L186&lt;=$D$19,$A$19,IF(L186&gt;=INDEX($D$19:$D$2018,$E$12),INDEX($A$19:$A$2018,$E$12),INDEX($A$19:$A$2018,MATCH(L186,$D$19:INDEX($D$19:$D$2018,$E$12),1))+(L186-INDEX($D$19:$D$2018,MATCH(L186,$D$19:INDEX($D$19:$D$2018,$E$12),1)))*(INDEX($A$19:$A$2018,MATCH(L186,$D$19:INDEX($D$19:$D$2018,$E$12),1)+1)-INDEX($A$19:$A$2018,MATCH(L186,$D$19:INDEX($D$19:$D$2018,$E$12),1)))/(INDEX($D$19:$D$2018,MATCH(L186,$D$19:INDEX($D$19:$D$2018,$E$12),1)+1)-INDEX($D$19:$D$2018,MATCH(L186,$D$19:INDEX($D$19:$D$2018,$E$12),1))))))</f>
        <v/>
      </c>
      <c r="N186" s="12">
        <f>IF(M186="","",$B$6*TAN(RADIANS(M186)))</f>
        <v/>
      </c>
      <c r="O186" s="12">
        <f>IF(N186="","",IF(L186=0,0,-N186*J186/SQRT(J186^2+K186^2)))</f>
        <v/>
      </c>
      <c r="P186" s="12">
        <f>IF(N186="","",IF(L186=0,0,N186*K186/SQRT(J186^2+K186^2)))</f>
        <v/>
      </c>
      <c r="Q186" s="12">
        <f>IF(N186="","",IF(N186=0,$B$7,$B$7-Y186*O186/N186))</f>
        <v/>
      </c>
      <c r="R186" s="12">
        <f>IF(N186="","",IF(N186=0,$B$8,$B$8+Y186*P186/N186))</f>
        <v/>
      </c>
      <c r="S186" s="12">
        <f>IFERROR(SQRT((Q186-H186)^2+(R186-I186)^2),"")</f>
        <v/>
      </c>
      <c r="T186">
        <f>159</f>
        <v/>
      </c>
      <c r="U186">
        <f>IF(T186&gt;4*$E$9,"",MIN(INT(T186/$E$9)+1,4))</f>
        <v/>
      </c>
      <c r="V186">
        <f>IF(T186=4*$E$9,-$E$6/2,IF(U186="","",CHOOSE(U186,-$E$6/2+MOD(T186,$E$9)/$E$9*$E$6,$E$6/2,$E$6/2-MOD(T186,$E$9)/$E$9*$E$6,-$E$6/2)))</f>
        <v/>
      </c>
      <c r="W186">
        <f>IF(T186=4*$E$9,-$E$7/2,IF(U186="","",CHOOSE(U186,-$E$7/2,-$E$7/2+MOD(T186,$E$9)/$E$9*$E$7,$E$7/2,$E$7/2-MOD(T186,$E$9)/$E$9*$E$7)))</f>
        <v/>
      </c>
      <c r="X186">
        <f>IF(OR($E$13&lt;&gt;"OK",M186=""),"",IF(M186&lt;=$A$19,$D$19,IF(M186&gt;=INDEX($A$19:$A$2018,$E$12),INDEX($D$19:$D$2018,$E$12),INDEX($D$19:$D$2018,MATCH(M186,$A$19:INDEX($A$19:$A$2018,$E$12),1))+(M186-INDEX($A$19:$A$2018,MATCH(M186,$A$19:INDEX($A$19:$A$2018,$E$12),1)))*(INDEX($D$19:$D$2018,MATCH(M186,$A$19:INDEX($A$19:$A$2018,$E$12),1)+1)-INDEX($D$19:$D$2018,MATCH(M186,$A$19:INDEX($A$19:$A$2018,$E$12),1)))/(INDEX($A$19:$A$2018,MATCH(M186,$A$19:INDEX($A$19:$A$2018,$E$12),1)+1)-INDEX($A$19:$A$2018,MATCH(M186,$A$19:INDEX($A$19:$A$2018,$E$12),1))))))</f>
        <v/>
      </c>
      <c r="Y186">
        <f>IF(X186="","",X186*1000/$B$4)</f>
        <v/>
      </c>
    </row>
    <row r="187">
      <c r="A187" s="10" t="n"/>
      <c r="B187" s="10" t="n"/>
      <c r="C187" s="11">
        <f>IF(A187="","",$B$5*TAN(RADIANS(A187)))</f>
        <v/>
      </c>
      <c r="D187" s="11">
        <f>IF(C187="","",C187*(1+B187/100))</f>
        <v/>
      </c>
      <c r="E187" s="11">
        <f>IF(A187="","",$B$6*TAN(RADIANS(A187)))</f>
        <v/>
      </c>
      <c r="G187" s="12">
        <f>IF(U187="","",T187)</f>
        <v/>
      </c>
      <c r="H187" s="12">
        <f>IF(U187="","",$E$4+V187*COS(RADIANS($E$8))-W187*SIN(RADIANS($E$8)))</f>
        <v/>
      </c>
      <c r="I187" s="12">
        <f>IF(U187="","",$E$5+V187*SIN(RADIANS($E$8))+W187*COS(RADIANS($E$8)))</f>
        <v/>
      </c>
      <c r="J187" s="12">
        <f>IF(H187="","",H187-$B$7)</f>
        <v/>
      </c>
      <c r="K187" s="12">
        <f>IF(I187="","",I187-$B$8)</f>
        <v/>
      </c>
      <c r="L187" s="12">
        <f>IFERROR(SQRT(J187^2+K187^2)*$B$4/1000,"")</f>
        <v/>
      </c>
      <c r="M187" s="12">
        <f>IF(OR($E$13&lt;&gt;"OK",L187=""),"",IF(L187&lt;=$D$19,$A$19,IF(L187&gt;=INDEX($D$19:$D$2018,$E$12),INDEX($A$19:$A$2018,$E$12),INDEX($A$19:$A$2018,MATCH(L187,$D$19:INDEX($D$19:$D$2018,$E$12),1))+(L187-INDEX($D$19:$D$2018,MATCH(L187,$D$19:INDEX($D$19:$D$2018,$E$12),1)))*(INDEX($A$19:$A$2018,MATCH(L187,$D$19:INDEX($D$19:$D$2018,$E$12),1)+1)-INDEX($A$19:$A$2018,MATCH(L187,$D$19:INDEX($D$19:$D$2018,$E$12),1)))/(INDEX($D$19:$D$2018,MATCH(L187,$D$19:INDEX($D$19:$D$2018,$E$12),1)+1)-INDEX($D$19:$D$2018,MATCH(L187,$D$19:INDEX($D$19:$D$2018,$E$12),1))))))</f>
        <v/>
      </c>
      <c r="N187" s="12">
        <f>IF(M187="","",$B$6*TAN(RADIANS(M187)))</f>
        <v/>
      </c>
      <c r="O187" s="12">
        <f>IF(N187="","",IF(L187=0,0,-N187*J187/SQRT(J187^2+K187^2)))</f>
        <v/>
      </c>
      <c r="P187" s="12">
        <f>IF(N187="","",IF(L187=0,0,N187*K187/SQRT(J187^2+K187^2)))</f>
        <v/>
      </c>
      <c r="Q187" s="12">
        <f>IF(N187="","",IF(N187=0,$B$7,$B$7-Y187*O187/N187))</f>
        <v/>
      </c>
      <c r="R187" s="12">
        <f>IF(N187="","",IF(N187=0,$B$8,$B$8+Y187*P187/N187))</f>
        <v/>
      </c>
      <c r="S187" s="12">
        <f>IFERROR(SQRT((Q187-H187)^2+(R187-I187)^2),"")</f>
        <v/>
      </c>
      <c r="T187">
        <f>160</f>
        <v/>
      </c>
      <c r="U187">
        <f>IF(T187&gt;4*$E$9,"",MIN(INT(T187/$E$9)+1,4))</f>
        <v/>
      </c>
      <c r="V187">
        <f>IF(T187=4*$E$9,-$E$6/2,IF(U187="","",CHOOSE(U187,-$E$6/2+MOD(T187,$E$9)/$E$9*$E$6,$E$6/2,$E$6/2-MOD(T187,$E$9)/$E$9*$E$6,-$E$6/2)))</f>
        <v/>
      </c>
      <c r="W187">
        <f>IF(T187=4*$E$9,-$E$7/2,IF(U187="","",CHOOSE(U187,-$E$7/2,-$E$7/2+MOD(T187,$E$9)/$E$9*$E$7,$E$7/2,$E$7/2-MOD(T187,$E$9)/$E$9*$E$7)))</f>
        <v/>
      </c>
      <c r="X187">
        <f>IF(OR($E$13&lt;&gt;"OK",M187=""),"",IF(M187&lt;=$A$19,$D$19,IF(M187&gt;=INDEX($A$19:$A$2018,$E$12),INDEX($D$19:$D$2018,$E$12),INDEX($D$19:$D$2018,MATCH(M187,$A$19:INDEX($A$19:$A$2018,$E$12),1))+(M187-INDEX($A$19:$A$2018,MATCH(M187,$A$19:INDEX($A$19:$A$2018,$E$12),1)))*(INDEX($D$19:$D$2018,MATCH(M187,$A$19:INDEX($A$19:$A$2018,$E$12),1)+1)-INDEX($D$19:$D$2018,MATCH(M187,$A$19:INDEX($A$19:$A$2018,$E$12),1)))/(INDEX($A$19:$A$2018,MATCH(M187,$A$19:INDEX($A$19:$A$2018,$E$12),1)+1)-INDEX($A$19:$A$2018,MATCH(M187,$A$19:INDEX($A$19:$A$2018,$E$12),1))))))</f>
        <v/>
      </c>
      <c r="Y187">
        <f>IF(X187="","",X187*1000/$B$4)</f>
        <v/>
      </c>
    </row>
    <row r="188">
      <c r="A188" s="10" t="n"/>
      <c r="B188" s="10" t="n"/>
      <c r="C188" s="11">
        <f>IF(A188="","",$B$5*TAN(RADIANS(A188)))</f>
        <v/>
      </c>
      <c r="D188" s="11">
        <f>IF(C188="","",C188*(1+B188/100))</f>
        <v/>
      </c>
      <c r="E188" s="11">
        <f>IF(A188="","",$B$6*TAN(RADIANS(A188)))</f>
        <v/>
      </c>
      <c r="G188" s="12">
        <f>IF(U188="","",T188)</f>
        <v/>
      </c>
      <c r="H188" s="12">
        <f>IF(U188="","",$E$4+V188*COS(RADIANS($E$8))-W188*SIN(RADIANS($E$8)))</f>
        <v/>
      </c>
      <c r="I188" s="12">
        <f>IF(U188="","",$E$5+V188*SIN(RADIANS($E$8))+W188*COS(RADIANS($E$8)))</f>
        <v/>
      </c>
      <c r="J188" s="12">
        <f>IF(H188="","",H188-$B$7)</f>
        <v/>
      </c>
      <c r="K188" s="12">
        <f>IF(I188="","",I188-$B$8)</f>
        <v/>
      </c>
      <c r="L188" s="12">
        <f>IFERROR(SQRT(J188^2+K188^2)*$B$4/1000,"")</f>
        <v/>
      </c>
      <c r="M188" s="12">
        <f>IF(OR($E$13&lt;&gt;"OK",L188=""),"",IF(L188&lt;=$D$19,$A$19,IF(L188&gt;=INDEX($D$19:$D$2018,$E$12),INDEX($A$19:$A$2018,$E$12),INDEX($A$19:$A$2018,MATCH(L188,$D$19:INDEX($D$19:$D$2018,$E$12),1))+(L188-INDEX($D$19:$D$2018,MATCH(L188,$D$19:INDEX($D$19:$D$2018,$E$12),1)))*(INDEX($A$19:$A$2018,MATCH(L188,$D$19:INDEX($D$19:$D$2018,$E$12),1)+1)-INDEX($A$19:$A$2018,MATCH(L188,$D$19:INDEX($D$19:$D$2018,$E$12),1)))/(INDEX($D$19:$D$2018,MATCH(L188,$D$19:INDEX($D$19:$D$2018,$E$12),1)+1)-INDEX($D$19:$D$2018,MATCH(L188,$D$19:INDEX($D$19:$D$2018,$E$12),1))))))</f>
        <v/>
      </c>
      <c r="N188" s="12">
        <f>IF(M188="","",$B$6*TAN(RADIANS(M188)))</f>
        <v/>
      </c>
      <c r="O188" s="12">
        <f>IF(N188="","",IF(L188=0,0,-N188*J188/SQRT(J188^2+K188^2)))</f>
        <v/>
      </c>
      <c r="P188" s="12">
        <f>IF(N188="","",IF(L188=0,0,N188*K188/SQRT(J188^2+K188^2)))</f>
        <v/>
      </c>
      <c r="Q188" s="12">
        <f>IF(N188="","",IF(N188=0,$B$7,$B$7-Y188*O188/N188))</f>
        <v/>
      </c>
      <c r="R188" s="12">
        <f>IF(N188="","",IF(N188=0,$B$8,$B$8+Y188*P188/N188))</f>
        <v/>
      </c>
      <c r="S188" s="12">
        <f>IFERROR(SQRT((Q188-H188)^2+(R188-I188)^2),"")</f>
        <v/>
      </c>
      <c r="T188">
        <f>161</f>
        <v/>
      </c>
      <c r="U188">
        <f>IF(T188&gt;4*$E$9,"",MIN(INT(T188/$E$9)+1,4))</f>
        <v/>
      </c>
      <c r="V188">
        <f>IF(T188=4*$E$9,-$E$6/2,IF(U188="","",CHOOSE(U188,-$E$6/2+MOD(T188,$E$9)/$E$9*$E$6,$E$6/2,$E$6/2-MOD(T188,$E$9)/$E$9*$E$6,-$E$6/2)))</f>
        <v/>
      </c>
      <c r="W188">
        <f>IF(T188=4*$E$9,-$E$7/2,IF(U188="","",CHOOSE(U188,-$E$7/2,-$E$7/2+MOD(T188,$E$9)/$E$9*$E$7,$E$7/2,$E$7/2-MOD(T188,$E$9)/$E$9*$E$7)))</f>
        <v/>
      </c>
      <c r="X188">
        <f>IF(OR($E$13&lt;&gt;"OK",M188=""),"",IF(M188&lt;=$A$19,$D$19,IF(M188&gt;=INDEX($A$19:$A$2018,$E$12),INDEX($D$19:$D$2018,$E$12),INDEX($D$19:$D$2018,MATCH(M188,$A$19:INDEX($A$19:$A$2018,$E$12),1))+(M188-INDEX($A$19:$A$2018,MATCH(M188,$A$19:INDEX($A$19:$A$2018,$E$12),1)))*(INDEX($D$19:$D$2018,MATCH(M188,$A$19:INDEX($A$19:$A$2018,$E$12),1)+1)-INDEX($D$19:$D$2018,MATCH(M188,$A$19:INDEX($A$19:$A$2018,$E$12),1)))/(INDEX($A$19:$A$2018,MATCH(M188,$A$19:INDEX($A$19:$A$2018,$E$12),1)+1)-INDEX($A$19:$A$2018,MATCH(M188,$A$19:INDEX($A$19:$A$2018,$E$12),1))))))</f>
        <v/>
      </c>
      <c r="Y188">
        <f>IF(X188="","",X188*1000/$B$4)</f>
        <v/>
      </c>
    </row>
    <row r="189">
      <c r="A189" s="10" t="n"/>
      <c r="B189" s="10" t="n"/>
      <c r="C189" s="11">
        <f>IF(A189="","",$B$5*TAN(RADIANS(A189)))</f>
        <v/>
      </c>
      <c r="D189" s="11">
        <f>IF(C189="","",C189*(1+B189/100))</f>
        <v/>
      </c>
      <c r="E189" s="11">
        <f>IF(A189="","",$B$6*TAN(RADIANS(A189)))</f>
        <v/>
      </c>
      <c r="G189" s="12">
        <f>IF(U189="","",T189)</f>
        <v/>
      </c>
      <c r="H189" s="12">
        <f>IF(U189="","",$E$4+V189*COS(RADIANS($E$8))-W189*SIN(RADIANS($E$8)))</f>
        <v/>
      </c>
      <c r="I189" s="12">
        <f>IF(U189="","",$E$5+V189*SIN(RADIANS($E$8))+W189*COS(RADIANS($E$8)))</f>
        <v/>
      </c>
      <c r="J189" s="12">
        <f>IF(H189="","",H189-$B$7)</f>
        <v/>
      </c>
      <c r="K189" s="12">
        <f>IF(I189="","",I189-$B$8)</f>
        <v/>
      </c>
      <c r="L189" s="12">
        <f>IFERROR(SQRT(J189^2+K189^2)*$B$4/1000,"")</f>
        <v/>
      </c>
      <c r="M189" s="12">
        <f>IF(OR($E$13&lt;&gt;"OK",L189=""),"",IF(L189&lt;=$D$19,$A$19,IF(L189&gt;=INDEX($D$19:$D$2018,$E$12),INDEX($A$19:$A$2018,$E$12),INDEX($A$19:$A$2018,MATCH(L189,$D$19:INDEX($D$19:$D$2018,$E$12),1))+(L189-INDEX($D$19:$D$2018,MATCH(L189,$D$19:INDEX($D$19:$D$2018,$E$12),1)))*(INDEX($A$19:$A$2018,MATCH(L189,$D$19:INDEX($D$19:$D$2018,$E$12),1)+1)-INDEX($A$19:$A$2018,MATCH(L189,$D$19:INDEX($D$19:$D$2018,$E$12),1)))/(INDEX($D$19:$D$2018,MATCH(L189,$D$19:INDEX($D$19:$D$2018,$E$12),1)+1)-INDEX($D$19:$D$2018,MATCH(L189,$D$19:INDEX($D$19:$D$2018,$E$12),1))))))</f>
        <v/>
      </c>
      <c r="N189" s="12">
        <f>IF(M189="","",$B$6*TAN(RADIANS(M189)))</f>
        <v/>
      </c>
      <c r="O189" s="12">
        <f>IF(N189="","",IF(L189=0,0,-N189*J189/SQRT(J189^2+K189^2)))</f>
        <v/>
      </c>
      <c r="P189" s="12">
        <f>IF(N189="","",IF(L189=0,0,N189*K189/SQRT(J189^2+K189^2)))</f>
        <v/>
      </c>
      <c r="Q189" s="12">
        <f>IF(N189="","",IF(N189=0,$B$7,$B$7-Y189*O189/N189))</f>
        <v/>
      </c>
      <c r="R189" s="12">
        <f>IF(N189="","",IF(N189=0,$B$8,$B$8+Y189*P189/N189))</f>
        <v/>
      </c>
      <c r="S189" s="12">
        <f>IFERROR(SQRT((Q189-H189)^2+(R189-I189)^2),"")</f>
        <v/>
      </c>
      <c r="T189">
        <f>162</f>
        <v/>
      </c>
      <c r="U189">
        <f>IF(T189&gt;4*$E$9,"",MIN(INT(T189/$E$9)+1,4))</f>
        <v/>
      </c>
      <c r="V189">
        <f>IF(T189=4*$E$9,-$E$6/2,IF(U189="","",CHOOSE(U189,-$E$6/2+MOD(T189,$E$9)/$E$9*$E$6,$E$6/2,$E$6/2-MOD(T189,$E$9)/$E$9*$E$6,-$E$6/2)))</f>
        <v/>
      </c>
      <c r="W189">
        <f>IF(T189=4*$E$9,-$E$7/2,IF(U189="","",CHOOSE(U189,-$E$7/2,-$E$7/2+MOD(T189,$E$9)/$E$9*$E$7,$E$7/2,$E$7/2-MOD(T189,$E$9)/$E$9*$E$7)))</f>
        <v/>
      </c>
      <c r="X189">
        <f>IF(OR($E$13&lt;&gt;"OK",M189=""),"",IF(M189&lt;=$A$19,$D$19,IF(M189&gt;=INDEX($A$19:$A$2018,$E$12),INDEX($D$19:$D$2018,$E$12),INDEX($D$19:$D$2018,MATCH(M189,$A$19:INDEX($A$19:$A$2018,$E$12),1))+(M189-INDEX($A$19:$A$2018,MATCH(M189,$A$19:INDEX($A$19:$A$2018,$E$12),1)))*(INDEX($D$19:$D$2018,MATCH(M189,$A$19:INDEX($A$19:$A$2018,$E$12),1)+1)-INDEX($D$19:$D$2018,MATCH(M189,$A$19:INDEX($A$19:$A$2018,$E$12),1)))/(INDEX($A$19:$A$2018,MATCH(M189,$A$19:INDEX($A$19:$A$2018,$E$12),1)+1)-INDEX($A$19:$A$2018,MATCH(M189,$A$19:INDEX($A$19:$A$2018,$E$12),1))))))</f>
        <v/>
      </c>
      <c r="Y189">
        <f>IF(X189="","",X189*1000/$B$4)</f>
        <v/>
      </c>
    </row>
    <row r="190">
      <c r="A190" s="10" t="n"/>
      <c r="B190" s="10" t="n"/>
      <c r="C190" s="11">
        <f>IF(A190="","",$B$5*TAN(RADIANS(A190)))</f>
        <v/>
      </c>
      <c r="D190" s="11">
        <f>IF(C190="","",C190*(1+B190/100))</f>
        <v/>
      </c>
      <c r="E190" s="11">
        <f>IF(A190="","",$B$6*TAN(RADIANS(A190)))</f>
        <v/>
      </c>
      <c r="G190" s="12">
        <f>IF(U190="","",T190)</f>
        <v/>
      </c>
      <c r="H190" s="12">
        <f>IF(U190="","",$E$4+V190*COS(RADIANS($E$8))-W190*SIN(RADIANS($E$8)))</f>
        <v/>
      </c>
      <c r="I190" s="12">
        <f>IF(U190="","",$E$5+V190*SIN(RADIANS($E$8))+W190*COS(RADIANS($E$8)))</f>
        <v/>
      </c>
      <c r="J190" s="12">
        <f>IF(H190="","",H190-$B$7)</f>
        <v/>
      </c>
      <c r="K190" s="12">
        <f>IF(I190="","",I190-$B$8)</f>
        <v/>
      </c>
      <c r="L190" s="12">
        <f>IFERROR(SQRT(J190^2+K190^2)*$B$4/1000,"")</f>
        <v/>
      </c>
      <c r="M190" s="12">
        <f>IF(OR($E$13&lt;&gt;"OK",L190=""),"",IF(L190&lt;=$D$19,$A$19,IF(L190&gt;=INDEX($D$19:$D$2018,$E$12),INDEX($A$19:$A$2018,$E$12),INDEX($A$19:$A$2018,MATCH(L190,$D$19:INDEX($D$19:$D$2018,$E$12),1))+(L190-INDEX($D$19:$D$2018,MATCH(L190,$D$19:INDEX($D$19:$D$2018,$E$12),1)))*(INDEX($A$19:$A$2018,MATCH(L190,$D$19:INDEX($D$19:$D$2018,$E$12),1)+1)-INDEX($A$19:$A$2018,MATCH(L190,$D$19:INDEX($D$19:$D$2018,$E$12),1)))/(INDEX($D$19:$D$2018,MATCH(L190,$D$19:INDEX($D$19:$D$2018,$E$12),1)+1)-INDEX($D$19:$D$2018,MATCH(L190,$D$19:INDEX($D$19:$D$2018,$E$12),1))))))</f>
        <v/>
      </c>
      <c r="N190" s="12">
        <f>IF(M190="","",$B$6*TAN(RADIANS(M190)))</f>
        <v/>
      </c>
      <c r="O190" s="12">
        <f>IF(N190="","",IF(L190=0,0,-N190*J190/SQRT(J190^2+K190^2)))</f>
        <v/>
      </c>
      <c r="P190" s="12">
        <f>IF(N190="","",IF(L190=0,0,N190*K190/SQRT(J190^2+K190^2)))</f>
        <v/>
      </c>
      <c r="Q190" s="12">
        <f>IF(N190="","",IF(N190=0,$B$7,$B$7-Y190*O190/N190))</f>
        <v/>
      </c>
      <c r="R190" s="12">
        <f>IF(N190="","",IF(N190=0,$B$8,$B$8+Y190*P190/N190))</f>
        <v/>
      </c>
      <c r="S190" s="12">
        <f>IFERROR(SQRT((Q190-H190)^2+(R190-I190)^2),"")</f>
        <v/>
      </c>
      <c r="T190">
        <f>163</f>
        <v/>
      </c>
      <c r="U190">
        <f>IF(T190&gt;4*$E$9,"",MIN(INT(T190/$E$9)+1,4))</f>
        <v/>
      </c>
      <c r="V190">
        <f>IF(T190=4*$E$9,-$E$6/2,IF(U190="","",CHOOSE(U190,-$E$6/2+MOD(T190,$E$9)/$E$9*$E$6,$E$6/2,$E$6/2-MOD(T190,$E$9)/$E$9*$E$6,-$E$6/2)))</f>
        <v/>
      </c>
      <c r="W190">
        <f>IF(T190=4*$E$9,-$E$7/2,IF(U190="","",CHOOSE(U190,-$E$7/2,-$E$7/2+MOD(T190,$E$9)/$E$9*$E$7,$E$7/2,$E$7/2-MOD(T190,$E$9)/$E$9*$E$7)))</f>
        <v/>
      </c>
      <c r="X190">
        <f>IF(OR($E$13&lt;&gt;"OK",M190=""),"",IF(M190&lt;=$A$19,$D$19,IF(M190&gt;=INDEX($A$19:$A$2018,$E$12),INDEX($D$19:$D$2018,$E$12),INDEX($D$19:$D$2018,MATCH(M190,$A$19:INDEX($A$19:$A$2018,$E$12),1))+(M190-INDEX($A$19:$A$2018,MATCH(M190,$A$19:INDEX($A$19:$A$2018,$E$12),1)))*(INDEX($D$19:$D$2018,MATCH(M190,$A$19:INDEX($A$19:$A$2018,$E$12),1)+1)-INDEX($D$19:$D$2018,MATCH(M190,$A$19:INDEX($A$19:$A$2018,$E$12),1)))/(INDEX($A$19:$A$2018,MATCH(M190,$A$19:INDEX($A$19:$A$2018,$E$12),1)+1)-INDEX($A$19:$A$2018,MATCH(M190,$A$19:INDEX($A$19:$A$2018,$E$12),1))))))</f>
        <v/>
      </c>
      <c r="Y190">
        <f>IF(X190="","",X190*1000/$B$4)</f>
        <v/>
      </c>
    </row>
    <row r="191">
      <c r="A191" s="10" t="n"/>
      <c r="B191" s="10" t="n"/>
      <c r="C191" s="11">
        <f>IF(A191="","",$B$5*TAN(RADIANS(A191)))</f>
        <v/>
      </c>
      <c r="D191" s="11">
        <f>IF(C191="","",C191*(1+B191/100))</f>
        <v/>
      </c>
      <c r="E191" s="11">
        <f>IF(A191="","",$B$6*TAN(RADIANS(A191)))</f>
        <v/>
      </c>
      <c r="G191" s="12">
        <f>IF(U191="","",T191)</f>
        <v/>
      </c>
      <c r="H191" s="12">
        <f>IF(U191="","",$E$4+V191*COS(RADIANS($E$8))-W191*SIN(RADIANS($E$8)))</f>
        <v/>
      </c>
      <c r="I191" s="12">
        <f>IF(U191="","",$E$5+V191*SIN(RADIANS($E$8))+W191*COS(RADIANS($E$8)))</f>
        <v/>
      </c>
      <c r="J191" s="12">
        <f>IF(H191="","",H191-$B$7)</f>
        <v/>
      </c>
      <c r="K191" s="12">
        <f>IF(I191="","",I191-$B$8)</f>
        <v/>
      </c>
      <c r="L191" s="12">
        <f>IFERROR(SQRT(J191^2+K191^2)*$B$4/1000,"")</f>
        <v/>
      </c>
      <c r="M191" s="12">
        <f>IF(OR($E$13&lt;&gt;"OK",L191=""),"",IF(L191&lt;=$D$19,$A$19,IF(L191&gt;=INDEX($D$19:$D$2018,$E$12),INDEX($A$19:$A$2018,$E$12),INDEX($A$19:$A$2018,MATCH(L191,$D$19:INDEX($D$19:$D$2018,$E$12),1))+(L191-INDEX($D$19:$D$2018,MATCH(L191,$D$19:INDEX($D$19:$D$2018,$E$12),1)))*(INDEX($A$19:$A$2018,MATCH(L191,$D$19:INDEX($D$19:$D$2018,$E$12),1)+1)-INDEX($A$19:$A$2018,MATCH(L191,$D$19:INDEX($D$19:$D$2018,$E$12),1)))/(INDEX($D$19:$D$2018,MATCH(L191,$D$19:INDEX($D$19:$D$2018,$E$12),1)+1)-INDEX($D$19:$D$2018,MATCH(L191,$D$19:INDEX($D$19:$D$2018,$E$12),1))))))</f>
        <v/>
      </c>
      <c r="N191" s="12">
        <f>IF(M191="","",$B$6*TAN(RADIANS(M191)))</f>
        <v/>
      </c>
      <c r="O191" s="12">
        <f>IF(N191="","",IF(L191=0,0,-N191*J191/SQRT(J191^2+K191^2)))</f>
        <v/>
      </c>
      <c r="P191" s="12">
        <f>IF(N191="","",IF(L191=0,0,N191*K191/SQRT(J191^2+K191^2)))</f>
        <v/>
      </c>
      <c r="Q191" s="12">
        <f>IF(N191="","",IF(N191=0,$B$7,$B$7-Y191*O191/N191))</f>
        <v/>
      </c>
      <c r="R191" s="12">
        <f>IF(N191="","",IF(N191=0,$B$8,$B$8+Y191*P191/N191))</f>
        <v/>
      </c>
      <c r="S191" s="12">
        <f>IFERROR(SQRT((Q191-H191)^2+(R191-I191)^2),"")</f>
        <v/>
      </c>
      <c r="T191">
        <f>164</f>
        <v/>
      </c>
      <c r="U191">
        <f>IF(T191&gt;4*$E$9,"",MIN(INT(T191/$E$9)+1,4))</f>
        <v/>
      </c>
      <c r="V191">
        <f>IF(T191=4*$E$9,-$E$6/2,IF(U191="","",CHOOSE(U191,-$E$6/2+MOD(T191,$E$9)/$E$9*$E$6,$E$6/2,$E$6/2-MOD(T191,$E$9)/$E$9*$E$6,-$E$6/2)))</f>
        <v/>
      </c>
      <c r="W191">
        <f>IF(T191=4*$E$9,-$E$7/2,IF(U191="","",CHOOSE(U191,-$E$7/2,-$E$7/2+MOD(T191,$E$9)/$E$9*$E$7,$E$7/2,$E$7/2-MOD(T191,$E$9)/$E$9*$E$7)))</f>
        <v/>
      </c>
      <c r="X191">
        <f>IF(OR($E$13&lt;&gt;"OK",M191=""),"",IF(M191&lt;=$A$19,$D$19,IF(M191&gt;=INDEX($A$19:$A$2018,$E$12),INDEX($D$19:$D$2018,$E$12),INDEX($D$19:$D$2018,MATCH(M191,$A$19:INDEX($A$19:$A$2018,$E$12),1))+(M191-INDEX($A$19:$A$2018,MATCH(M191,$A$19:INDEX($A$19:$A$2018,$E$12),1)))*(INDEX($D$19:$D$2018,MATCH(M191,$A$19:INDEX($A$19:$A$2018,$E$12),1)+1)-INDEX($D$19:$D$2018,MATCH(M191,$A$19:INDEX($A$19:$A$2018,$E$12),1)))/(INDEX($A$19:$A$2018,MATCH(M191,$A$19:INDEX($A$19:$A$2018,$E$12),1)+1)-INDEX($A$19:$A$2018,MATCH(M191,$A$19:INDEX($A$19:$A$2018,$E$12),1))))))</f>
        <v/>
      </c>
      <c r="Y191">
        <f>IF(X191="","",X191*1000/$B$4)</f>
        <v/>
      </c>
    </row>
    <row r="192">
      <c r="A192" s="10" t="n"/>
      <c r="B192" s="10" t="n"/>
      <c r="C192" s="11">
        <f>IF(A192="","",$B$5*TAN(RADIANS(A192)))</f>
        <v/>
      </c>
      <c r="D192" s="11">
        <f>IF(C192="","",C192*(1+B192/100))</f>
        <v/>
      </c>
      <c r="E192" s="11">
        <f>IF(A192="","",$B$6*TAN(RADIANS(A192)))</f>
        <v/>
      </c>
      <c r="G192" s="12">
        <f>IF(U192="","",T192)</f>
        <v/>
      </c>
      <c r="H192" s="12">
        <f>IF(U192="","",$E$4+V192*COS(RADIANS($E$8))-W192*SIN(RADIANS($E$8)))</f>
        <v/>
      </c>
      <c r="I192" s="12">
        <f>IF(U192="","",$E$5+V192*SIN(RADIANS($E$8))+W192*COS(RADIANS($E$8)))</f>
        <v/>
      </c>
      <c r="J192" s="12">
        <f>IF(H192="","",H192-$B$7)</f>
        <v/>
      </c>
      <c r="K192" s="12">
        <f>IF(I192="","",I192-$B$8)</f>
        <v/>
      </c>
      <c r="L192" s="12">
        <f>IFERROR(SQRT(J192^2+K192^2)*$B$4/1000,"")</f>
        <v/>
      </c>
      <c r="M192" s="12">
        <f>IF(OR($E$13&lt;&gt;"OK",L192=""),"",IF(L192&lt;=$D$19,$A$19,IF(L192&gt;=INDEX($D$19:$D$2018,$E$12),INDEX($A$19:$A$2018,$E$12),INDEX($A$19:$A$2018,MATCH(L192,$D$19:INDEX($D$19:$D$2018,$E$12),1))+(L192-INDEX($D$19:$D$2018,MATCH(L192,$D$19:INDEX($D$19:$D$2018,$E$12),1)))*(INDEX($A$19:$A$2018,MATCH(L192,$D$19:INDEX($D$19:$D$2018,$E$12),1)+1)-INDEX($A$19:$A$2018,MATCH(L192,$D$19:INDEX($D$19:$D$2018,$E$12),1)))/(INDEX($D$19:$D$2018,MATCH(L192,$D$19:INDEX($D$19:$D$2018,$E$12),1)+1)-INDEX($D$19:$D$2018,MATCH(L192,$D$19:INDEX($D$19:$D$2018,$E$12),1))))))</f>
        <v/>
      </c>
      <c r="N192" s="12">
        <f>IF(M192="","",$B$6*TAN(RADIANS(M192)))</f>
        <v/>
      </c>
      <c r="O192" s="12">
        <f>IF(N192="","",IF(L192=0,0,-N192*J192/SQRT(J192^2+K192^2)))</f>
        <v/>
      </c>
      <c r="P192" s="12">
        <f>IF(N192="","",IF(L192=0,0,N192*K192/SQRT(J192^2+K192^2)))</f>
        <v/>
      </c>
      <c r="Q192" s="12">
        <f>IF(N192="","",IF(N192=0,$B$7,$B$7-Y192*O192/N192))</f>
        <v/>
      </c>
      <c r="R192" s="12">
        <f>IF(N192="","",IF(N192=0,$B$8,$B$8+Y192*P192/N192))</f>
        <v/>
      </c>
      <c r="S192" s="12">
        <f>IFERROR(SQRT((Q192-H192)^2+(R192-I192)^2),"")</f>
        <v/>
      </c>
      <c r="T192">
        <f>165</f>
        <v/>
      </c>
      <c r="U192">
        <f>IF(T192&gt;4*$E$9,"",MIN(INT(T192/$E$9)+1,4))</f>
        <v/>
      </c>
      <c r="V192">
        <f>IF(T192=4*$E$9,-$E$6/2,IF(U192="","",CHOOSE(U192,-$E$6/2+MOD(T192,$E$9)/$E$9*$E$6,$E$6/2,$E$6/2-MOD(T192,$E$9)/$E$9*$E$6,-$E$6/2)))</f>
        <v/>
      </c>
      <c r="W192">
        <f>IF(T192=4*$E$9,-$E$7/2,IF(U192="","",CHOOSE(U192,-$E$7/2,-$E$7/2+MOD(T192,$E$9)/$E$9*$E$7,$E$7/2,$E$7/2-MOD(T192,$E$9)/$E$9*$E$7)))</f>
        <v/>
      </c>
      <c r="X192">
        <f>IF(OR($E$13&lt;&gt;"OK",M192=""),"",IF(M192&lt;=$A$19,$D$19,IF(M192&gt;=INDEX($A$19:$A$2018,$E$12),INDEX($D$19:$D$2018,$E$12),INDEX($D$19:$D$2018,MATCH(M192,$A$19:INDEX($A$19:$A$2018,$E$12),1))+(M192-INDEX($A$19:$A$2018,MATCH(M192,$A$19:INDEX($A$19:$A$2018,$E$12),1)))*(INDEX($D$19:$D$2018,MATCH(M192,$A$19:INDEX($A$19:$A$2018,$E$12),1)+1)-INDEX($D$19:$D$2018,MATCH(M192,$A$19:INDEX($A$19:$A$2018,$E$12),1)))/(INDEX($A$19:$A$2018,MATCH(M192,$A$19:INDEX($A$19:$A$2018,$E$12),1)+1)-INDEX($A$19:$A$2018,MATCH(M192,$A$19:INDEX($A$19:$A$2018,$E$12),1))))))</f>
        <v/>
      </c>
      <c r="Y192">
        <f>IF(X192="","",X192*1000/$B$4)</f>
        <v/>
      </c>
    </row>
    <row r="193">
      <c r="A193" s="10" t="n"/>
      <c r="B193" s="10" t="n"/>
      <c r="C193" s="11">
        <f>IF(A193="","",$B$5*TAN(RADIANS(A193)))</f>
        <v/>
      </c>
      <c r="D193" s="11">
        <f>IF(C193="","",C193*(1+B193/100))</f>
        <v/>
      </c>
      <c r="E193" s="11">
        <f>IF(A193="","",$B$6*TAN(RADIANS(A193)))</f>
        <v/>
      </c>
      <c r="G193" s="12">
        <f>IF(U193="","",T193)</f>
        <v/>
      </c>
      <c r="H193" s="12">
        <f>IF(U193="","",$E$4+V193*COS(RADIANS($E$8))-W193*SIN(RADIANS($E$8)))</f>
        <v/>
      </c>
      <c r="I193" s="12">
        <f>IF(U193="","",$E$5+V193*SIN(RADIANS($E$8))+W193*COS(RADIANS($E$8)))</f>
        <v/>
      </c>
      <c r="J193" s="12">
        <f>IF(H193="","",H193-$B$7)</f>
        <v/>
      </c>
      <c r="K193" s="12">
        <f>IF(I193="","",I193-$B$8)</f>
        <v/>
      </c>
      <c r="L193" s="12">
        <f>IFERROR(SQRT(J193^2+K193^2)*$B$4/1000,"")</f>
        <v/>
      </c>
      <c r="M193" s="12">
        <f>IF(OR($E$13&lt;&gt;"OK",L193=""),"",IF(L193&lt;=$D$19,$A$19,IF(L193&gt;=INDEX($D$19:$D$2018,$E$12),INDEX($A$19:$A$2018,$E$12),INDEX($A$19:$A$2018,MATCH(L193,$D$19:INDEX($D$19:$D$2018,$E$12),1))+(L193-INDEX($D$19:$D$2018,MATCH(L193,$D$19:INDEX($D$19:$D$2018,$E$12),1)))*(INDEX($A$19:$A$2018,MATCH(L193,$D$19:INDEX($D$19:$D$2018,$E$12),1)+1)-INDEX($A$19:$A$2018,MATCH(L193,$D$19:INDEX($D$19:$D$2018,$E$12),1)))/(INDEX($D$19:$D$2018,MATCH(L193,$D$19:INDEX($D$19:$D$2018,$E$12),1)+1)-INDEX($D$19:$D$2018,MATCH(L193,$D$19:INDEX($D$19:$D$2018,$E$12),1))))))</f>
        <v/>
      </c>
      <c r="N193" s="12">
        <f>IF(M193="","",$B$6*TAN(RADIANS(M193)))</f>
        <v/>
      </c>
      <c r="O193" s="12">
        <f>IF(N193="","",IF(L193=0,0,-N193*J193/SQRT(J193^2+K193^2)))</f>
        <v/>
      </c>
      <c r="P193" s="12">
        <f>IF(N193="","",IF(L193=0,0,N193*K193/SQRT(J193^2+K193^2)))</f>
        <v/>
      </c>
      <c r="Q193" s="12">
        <f>IF(N193="","",IF(N193=0,$B$7,$B$7-Y193*O193/N193))</f>
        <v/>
      </c>
      <c r="R193" s="12">
        <f>IF(N193="","",IF(N193=0,$B$8,$B$8+Y193*P193/N193))</f>
        <v/>
      </c>
      <c r="S193" s="12">
        <f>IFERROR(SQRT((Q193-H193)^2+(R193-I193)^2),"")</f>
        <v/>
      </c>
      <c r="T193">
        <f>166</f>
        <v/>
      </c>
      <c r="U193">
        <f>IF(T193&gt;4*$E$9,"",MIN(INT(T193/$E$9)+1,4))</f>
        <v/>
      </c>
      <c r="V193">
        <f>IF(T193=4*$E$9,-$E$6/2,IF(U193="","",CHOOSE(U193,-$E$6/2+MOD(T193,$E$9)/$E$9*$E$6,$E$6/2,$E$6/2-MOD(T193,$E$9)/$E$9*$E$6,-$E$6/2)))</f>
        <v/>
      </c>
      <c r="W193">
        <f>IF(T193=4*$E$9,-$E$7/2,IF(U193="","",CHOOSE(U193,-$E$7/2,-$E$7/2+MOD(T193,$E$9)/$E$9*$E$7,$E$7/2,$E$7/2-MOD(T193,$E$9)/$E$9*$E$7)))</f>
        <v/>
      </c>
      <c r="X193">
        <f>IF(OR($E$13&lt;&gt;"OK",M193=""),"",IF(M193&lt;=$A$19,$D$19,IF(M193&gt;=INDEX($A$19:$A$2018,$E$12),INDEX($D$19:$D$2018,$E$12),INDEX($D$19:$D$2018,MATCH(M193,$A$19:INDEX($A$19:$A$2018,$E$12),1))+(M193-INDEX($A$19:$A$2018,MATCH(M193,$A$19:INDEX($A$19:$A$2018,$E$12),1)))*(INDEX($D$19:$D$2018,MATCH(M193,$A$19:INDEX($A$19:$A$2018,$E$12),1)+1)-INDEX($D$19:$D$2018,MATCH(M193,$A$19:INDEX($A$19:$A$2018,$E$12),1)))/(INDEX($A$19:$A$2018,MATCH(M193,$A$19:INDEX($A$19:$A$2018,$E$12),1)+1)-INDEX($A$19:$A$2018,MATCH(M193,$A$19:INDEX($A$19:$A$2018,$E$12),1))))))</f>
        <v/>
      </c>
      <c r="Y193">
        <f>IF(X193="","",X193*1000/$B$4)</f>
        <v/>
      </c>
    </row>
    <row r="194">
      <c r="A194" s="10" t="n"/>
      <c r="B194" s="10" t="n"/>
      <c r="C194" s="11">
        <f>IF(A194="","",$B$5*TAN(RADIANS(A194)))</f>
        <v/>
      </c>
      <c r="D194" s="11">
        <f>IF(C194="","",C194*(1+B194/100))</f>
        <v/>
      </c>
      <c r="E194" s="11">
        <f>IF(A194="","",$B$6*TAN(RADIANS(A194)))</f>
        <v/>
      </c>
      <c r="G194" s="12">
        <f>IF(U194="","",T194)</f>
        <v/>
      </c>
      <c r="H194" s="12">
        <f>IF(U194="","",$E$4+V194*COS(RADIANS($E$8))-W194*SIN(RADIANS($E$8)))</f>
        <v/>
      </c>
      <c r="I194" s="12">
        <f>IF(U194="","",$E$5+V194*SIN(RADIANS($E$8))+W194*COS(RADIANS($E$8)))</f>
        <v/>
      </c>
      <c r="J194" s="12">
        <f>IF(H194="","",H194-$B$7)</f>
        <v/>
      </c>
      <c r="K194" s="12">
        <f>IF(I194="","",I194-$B$8)</f>
        <v/>
      </c>
      <c r="L194" s="12">
        <f>IFERROR(SQRT(J194^2+K194^2)*$B$4/1000,"")</f>
        <v/>
      </c>
      <c r="M194" s="12">
        <f>IF(OR($E$13&lt;&gt;"OK",L194=""),"",IF(L194&lt;=$D$19,$A$19,IF(L194&gt;=INDEX($D$19:$D$2018,$E$12),INDEX($A$19:$A$2018,$E$12),INDEX($A$19:$A$2018,MATCH(L194,$D$19:INDEX($D$19:$D$2018,$E$12),1))+(L194-INDEX($D$19:$D$2018,MATCH(L194,$D$19:INDEX($D$19:$D$2018,$E$12),1)))*(INDEX($A$19:$A$2018,MATCH(L194,$D$19:INDEX($D$19:$D$2018,$E$12),1)+1)-INDEX($A$19:$A$2018,MATCH(L194,$D$19:INDEX($D$19:$D$2018,$E$12),1)))/(INDEX($D$19:$D$2018,MATCH(L194,$D$19:INDEX($D$19:$D$2018,$E$12),1)+1)-INDEX($D$19:$D$2018,MATCH(L194,$D$19:INDEX($D$19:$D$2018,$E$12),1))))))</f>
        <v/>
      </c>
      <c r="N194" s="12">
        <f>IF(M194="","",$B$6*TAN(RADIANS(M194)))</f>
        <v/>
      </c>
      <c r="O194" s="12">
        <f>IF(N194="","",IF(L194=0,0,-N194*J194/SQRT(J194^2+K194^2)))</f>
        <v/>
      </c>
      <c r="P194" s="12">
        <f>IF(N194="","",IF(L194=0,0,N194*K194/SQRT(J194^2+K194^2)))</f>
        <v/>
      </c>
      <c r="Q194" s="12">
        <f>IF(N194="","",IF(N194=0,$B$7,$B$7-Y194*O194/N194))</f>
        <v/>
      </c>
      <c r="R194" s="12">
        <f>IF(N194="","",IF(N194=0,$B$8,$B$8+Y194*P194/N194))</f>
        <v/>
      </c>
      <c r="S194" s="12">
        <f>IFERROR(SQRT((Q194-H194)^2+(R194-I194)^2),"")</f>
        <v/>
      </c>
      <c r="T194">
        <f>167</f>
        <v/>
      </c>
      <c r="U194">
        <f>IF(T194&gt;4*$E$9,"",MIN(INT(T194/$E$9)+1,4))</f>
        <v/>
      </c>
      <c r="V194">
        <f>IF(T194=4*$E$9,-$E$6/2,IF(U194="","",CHOOSE(U194,-$E$6/2+MOD(T194,$E$9)/$E$9*$E$6,$E$6/2,$E$6/2-MOD(T194,$E$9)/$E$9*$E$6,-$E$6/2)))</f>
        <v/>
      </c>
      <c r="W194">
        <f>IF(T194=4*$E$9,-$E$7/2,IF(U194="","",CHOOSE(U194,-$E$7/2,-$E$7/2+MOD(T194,$E$9)/$E$9*$E$7,$E$7/2,$E$7/2-MOD(T194,$E$9)/$E$9*$E$7)))</f>
        <v/>
      </c>
      <c r="X194">
        <f>IF(OR($E$13&lt;&gt;"OK",M194=""),"",IF(M194&lt;=$A$19,$D$19,IF(M194&gt;=INDEX($A$19:$A$2018,$E$12),INDEX($D$19:$D$2018,$E$12),INDEX($D$19:$D$2018,MATCH(M194,$A$19:INDEX($A$19:$A$2018,$E$12),1))+(M194-INDEX($A$19:$A$2018,MATCH(M194,$A$19:INDEX($A$19:$A$2018,$E$12),1)))*(INDEX($D$19:$D$2018,MATCH(M194,$A$19:INDEX($A$19:$A$2018,$E$12),1)+1)-INDEX($D$19:$D$2018,MATCH(M194,$A$19:INDEX($A$19:$A$2018,$E$12),1)))/(INDEX($A$19:$A$2018,MATCH(M194,$A$19:INDEX($A$19:$A$2018,$E$12),1)+1)-INDEX($A$19:$A$2018,MATCH(M194,$A$19:INDEX($A$19:$A$2018,$E$12),1))))))</f>
        <v/>
      </c>
      <c r="Y194">
        <f>IF(X194="","",X194*1000/$B$4)</f>
        <v/>
      </c>
    </row>
    <row r="195">
      <c r="A195" s="10" t="n"/>
      <c r="B195" s="10" t="n"/>
      <c r="C195" s="11">
        <f>IF(A195="","",$B$5*TAN(RADIANS(A195)))</f>
        <v/>
      </c>
      <c r="D195" s="11">
        <f>IF(C195="","",C195*(1+B195/100))</f>
        <v/>
      </c>
      <c r="E195" s="11">
        <f>IF(A195="","",$B$6*TAN(RADIANS(A195)))</f>
        <v/>
      </c>
      <c r="G195" s="12">
        <f>IF(U195="","",T195)</f>
        <v/>
      </c>
      <c r="H195" s="12">
        <f>IF(U195="","",$E$4+V195*COS(RADIANS($E$8))-W195*SIN(RADIANS($E$8)))</f>
        <v/>
      </c>
      <c r="I195" s="12">
        <f>IF(U195="","",$E$5+V195*SIN(RADIANS($E$8))+W195*COS(RADIANS($E$8)))</f>
        <v/>
      </c>
      <c r="J195" s="12">
        <f>IF(H195="","",H195-$B$7)</f>
        <v/>
      </c>
      <c r="K195" s="12">
        <f>IF(I195="","",I195-$B$8)</f>
        <v/>
      </c>
      <c r="L195" s="12">
        <f>IFERROR(SQRT(J195^2+K195^2)*$B$4/1000,"")</f>
        <v/>
      </c>
      <c r="M195" s="12">
        <f>IF(OR($E$13&lt;&gt;"OK",L195=""),"",IF(L195&lt;=$D$19,$A$19,IF(L195&gt;=INDEX($D$19:$D$2018,$E$12),INDEX($A$19:$A$2018,$E$12),INDEX($A$19:$A$2018,MATCH(L195,$D$19:INDEX($D$19:$D$2018,$E$12),1))+(L195-INDEX($D$19:$D$2018,MATCH(L195,$D$19:INDEX($D$19:$D$2018,$E$12),1)))*(INDEX($A$19:$A$2018,MATCH(L195,$D$19:INDEX($D$19:$D$2018,$E$12),1)+1)-INDEX($A$19:$A$2018,MATCH(L195,$D$19:INDEX($D$19:$D$2018,$E$12),1)))/(INDEX($D$19:$D$2018,MATCH(L195,$D$19:INDEX($D$19:$D$2018,$E$12),1)+1)-INDEX($D$19:$D$2018,MATCH(L195,$D$19:INDEX($D$19:$D$2018,$E$12),1))))))</f>
        <v/>
      </c>
      <c r="N195" s="12">
        <f>IF(M195="","",$B$6*TAN(RADIANS(M195)))</f>
        <v/>
      </c>
      <c r="O195" s="12">
        <f>IF(N195="","",IF(L195=0,0,-N195*J195/SQRT(J195^2+K195^2)))</f>
        <v/>
      </c>
      <c r="P195" s="12">
        <f>IF(N195="","",IF(L195=0,0,N195*K195/SQRT(J195^2+K195^2)))</f>
        <v/>
      </c>
      <c r="Q195" s="12">
        <f>IF(N195="","",IF(N195=0,$B$7,$B$7-Y195*O195/N195))</f>
        <v/>
      </c>
      <c r="R195" s="12">
        <f>IF(N195="","",IF(N195=0,$B$8,$B$8+Y195*P195/N195))</f>
        <v/>
      </c>
      <c r="S195" s="12">
        <f>IFERROR(SQRT((Q195-H195)^2+(R195-I195)^2),"")</f>
        <v/>
      </c>
      <c r="T195">
        <f>168</f>
        <v/>
      </c>
      <c r="U195">
        <f>IF(T195&gt;4*$E$9,"",MIN(INT(T195/$E$9)+1,4))</f>
        <v/>
      </c>
      <c r="V195">
        <f>IF(T195=4*$E$9,-$E$6/2,IF(U195="","",CHOOSE(U195,-$E$6/2+MOD(T195,$E$9)/$E$9*$E$6,$E$6/2,$E$6/2-MOD(T195,$E$9)/$E$9*$E$6,-$E$6/2)))</f>
        <v/>
      </c>
      <c r="W195">
        <f>IF(T195=4*$E$9,-$E$7/2,IF(U195="","",CHOOSE(U195,-$E$7/2,-$E$7/2+MOD(T195,$E$9)/$E$9*$E$7,$E$7/2,$E$7/2-MOD(T195,$E$9)/$E$9*$E$7)))</f>
        <v/>
      </c>
      <c r="X195">
        <f>IF(OR($E$13&lt;&gt;"OK",M195=""),"",IF(M195&lt;=$A$19,$D$19,IF(M195&gt;=INDEX($A$19:$A$2018,$E$12),INDEX($D$19:$D$2018,$E$12),INDEX($D$19:$D$2018,MATCH(M195,$A$19:INDEX($A$19:$A$2018,$E$12),1))+(M195-INDEX($A$19:$A$2018,MATCH(M195,$A$19:INDEX($A$19:$A$2018,$E$12),1)))*(INDEX($D$19:$D$2018,MATCH(M195,$A$19:INDEX($A$19:$A$2018,$E$12),1)+1)-INDEX($D$19:$D$2018,MATCH(M195,$A$19:INDEX($A$19:$A$2018,$E$12),1)))/(INDEX($A$19:$A$2018,MATCH(M195,$A$19:INDEX($A$19:$A$2018,$E$12),1)+1)-INDEX($A$19:$A$2018,MATCH(M195,$A$19:INDEX($A$19:$A$2018,$E$12),1))))))</f>
        <v/>
      </c>
      <c r="Y195">
        <f>IF(X195="","",X195*1000/$B$4)</f>
        <v/>
      </c>
    </row>
    <row r="196">
      <c r="A196" s="10" t="n"/>
      <c r="B196" s="10" t="n"/>
      <c r="C196" s="11">
        <f>IF(A196="","",$B$5*TAN(RADIANS(A196)))</f>
        <v/>
      </c>
      <c r="D196" s="11">
        <f>IF(C196="","",C196*(1+B196/100))</f>
        <v/>
      </c>
      <c r="E196" s="11">
        <f>IF(A196="","",$B$6*TAN(RADIANS(A196)))</f>
        <v/>
      </c>
      <c r="G196" s="12">
        <f>IF(U196="","",T196)</f>
        <v/>
      </c>
      <c r="H196" s="12">
        <f>IF(U196="","",$E$4+V196*COS(RADIANS($E$8))-W196*SIN(RADIANS($E$8)))</f>
        <v/>
      </c>
      <c r="I196" s="12">
        <f>IF(U196="","",$E$5+V196*SIN(RADIANS($E$8))+W196*COS(RADIANS($E$8)))</f>
        <v/>
      </c>
      <c r="J196" s="12">
        <f>IF(H196="","",H196-$B$7)</f>
        <v/>
      </c>
      <c r="K196" s="12">
        <f>IF(I196="","",I196-$B$8)</f>
        <v/>
      </c>
      <c r="L196" s="12">
        <f>IFERROR(SQRT(J196^2+K196^2)*$B$4/1000,"")</f>
        <v/>
      </c>
      <c r="M196" s="12">
        <f>IF(OR($E$13&lt;&gt;"OK",L196=""),"",IF(L196&lt;=$D$19,$A$19,IF(L196&gt;=INDEX($D$19:$D$2018,$E$12),INDEX($A$19:$A$2018,$E$12),INDEX($A$19:$A$2018,MATCH(L196,$D$19:INDEX($D$19:$D$2018,$E$12),1))+(L196-INDEX($D$19:$D$2018,MATCH(L196,$D$19:INDEX($D$19:$D$2018,$E$12),1)))*(INDEX($A$19:$A$2018,MATCH(L196,$D$19:INDEX($D$19:$D$2018,$E$12),1)+1)-INDEX($A$19:$A$2018,MATCH(L196,$D$19:INDEX($D$19:$D$2018,$E$12),1)))/(INDEX($D$19:$D$2018,MATCH(L196,$D$19:INDEX($D$19:$D$2018,$E$12),1)+1)-INDEX($D$19:$D$2018,MATCH(L196,$D$19:INDEX($D$19:$D$2018,$E$12),1))))))</f>
        <v/>
      </c>
      <c r="N196" s="12">
        <f>IF(M196="","",$B$6*TAN(RADIANS(M196)))</f>
        <v/>
      </c>
      <c r="O196" s="12">
        <f>IF(N196="","",IF(L196=0,0,-N196*J196/SQRT(J196^2+K196^2)))</f>
        <v/>
      </c>
      <c r="P196" s="12">
        <f>IF(N196="","",IF(L196=0,0,N196*K196/SQRT(J196^2+K196^2)))</f>
        <v/>
      </c>
      <c r="Q196" s="12">
        <f>IF(N196="","",IF(N196=0,$B$7,$B$7-Y196*O196/N196))</f>
        <v/>
      </c>
      <c r="R196" s="12">
        <f>IF(N196="","",IF(N196=0,$B$8,$B$8+Y196*P196/N196))</f>
        <v/>
      </c>
      <c r="S196" s="12">
        <f>IFERROR(SQRT((Q196-H196)^2+(R196-I196)^2),"")</f>
        <v/>
      </c>
      <c r="T196">
        <f>169</f>
        <v/>
      </c>
      <c r="U196">
        <f>IF(T196&gt;4*$E$9,"",MIN(INT(T196/$E$9)+1,4))</f>
        <v/>
      </c>
      <c r="V196">
        <f>IF(T196=4*$E$9,-$E$6/2,IF(U196="","",CHOOSE(U196,-$E$6/2+MOD(T196,$E$9)/$E$9*$E$6,$E$6/2,$E$6/2-MOD(T196,$E$9)/$E$9*$E$6,-$E$6/2)))</f>
        <v/>
      </c>
      <c r="W196">
        <f>IF(T196=4*$E$9,-$E$7/2,IF(U196="","",CHOOSE(U196,-$E$7/2,-$E$7/2+MOD(T196,$E$9)/$E$9*$E$7,$E$7/2,$E$7/2-MOD(T196,$E$9)/$E$9*$E$7)))</f>
        <v/>
      </c>
      <c r="X196">
        <f>IF(OR($E$13&lt;&gt;"OK",M196=""),"",IF(M196&lt;=$A$19,$D$19,IF(M196&gt;=INDEX($A$19:$A$2018,$E$12),INDEX($D$19:$D$2018,$E$12),INDEX($D$19:$D$2018,MATCH(M196,$A$19:INDEX($A$19:$A$2018,$E$12),1))+(M196-INDEX($A$19:$A$2018,MATCH(M196,$A$19:INDEX($A$19:$A$2018,$E$12),1)))*(INDEX($D$19:$D$2018,MATCH(M196,$A$19:INDEX($A$19:$A$2018,$E$12),1)+1)-INDEX($D$19:$D$2018,MATCH(M196,$A$19:INDEX($A$19:$A$2018,$E$12),1)))/(INDEX($A$19:$A$2018,MATCH(M196,$A$19:INDEX($A$19:$A$2018,$E$12),1)+1)-INDEX($A$19:$A$2018,MATCH(M196,$A$19:INDEX($A$19:$A$2018,$E$12),1))))))</f>
        <v/>
      </c>
      <c r="Y196">
        <f>IF(X196="","",X196*1000/$B$4)</f>
        <v/>
      </c>
    </row>
    <row r="197">
      <c r="A197" s="10" t="n"/>
      <c r="B197" s="10" t="n"/>
      <c r="C197" s="11">
        <f>IF(A197="","",$B$5*TAN(RADIANS(A197)))</f>
        <v/>
      </c>
      <c r="D197" s="11">
        <f>IF(C197="","",C197*(1+B197/100))</f>
        <v/>
      </c>
      <c r="E197" s="11">
        <f>IF(A197="","",$B$6*TAN(RADIANS(A197)))</f>
        <v/>
      </c>
      <c r="G197" s="12">
        <f>IF(U197="","",T197)</f>
        <v/>
      </c>
      <c r="H197" s="12">
        <f>IF(U197="","",$E$4+V197*COS(RADIANS($E$8))-W197*SIN(RADIANS($E$8)))</f>
        <v/>
      </c>
      <c r="I197" s="12">
        <f>IF(U197="","",$E$5+V197*SIN(RADIANS($E$8))+W197*COS(RADIANS($E$8)))</f>
        <v/>
      </c>
      <c r="J197" s="12">
        <f>IF(H197="","",H197-$B$7)</f>
        <v/>
      </c>
      <c r="K197" s="12">
        <f>IF(I197="","",I197-$B$8)</f>
        <v/>
      </c>
      <c r="L197" s="12">
        <f>IFERROR(SQRT(J197^2+K197^2)*$B$4/1000,"")</f>
        <v/>
      </c>
      <c r="M197" s="12">
        <f>IF(OR($E$13&lt;&gt;"OK",L197=""),"",IF(L197&lt;=$D$19,$A$19,IF(L197&gt;=INDEX($D$19:$D$2018,$E$12),INDEX($A$19:$A$2018,$E$12),INDEX($A$19:$A$2018,MATCH(L197,$D$19:INDEX($D$19:$D$2018,$E$12),1))+(L197-INDEX($D$19:$D$2018,MATCH(L197,$D$19:INDEX($D$19:$D$2018,$E$12),1)))*(INDEX($A$19:$A$2018,MATCH(L197,$D$19:INDEX($D$19:$D$2018,$E$12),1)+1)-INDEX($A$19:$A$2018,MATCH(L197,$D$19:INDEX($D$19:$D$2018,$E$12),1)))/(INDEX($D$19:$D$2018,MATCH(L197,$D$19:INDEX($D$19:$D$2018,$E$12),1)+1)-INDEX($D$19:$D$2018,MATCH(L197,$D$19:INDEX($D$19:$D$2018,$E$12),1))))))</f>
        <v/>
      </c>
      <c r="N197" s="12">
        <f>IF(M197="","",$B$6*TAN(RADIANS(M197)))</f>
        <v/>
      </c>
      <c r="O197" s="12">
        <f>IF(N197="","",IF(L197=0,0,-N197*J197/SQRT(J197^2+K197^2)))</f>
        <v/>
      </c>
      <c r="P197" s="12">
        <f>IF(N197="","",IF(L197=0,0,N197*K197/SQRT(J197^2+K197^2)))</f>
        <v/>
      </c>
      <c r="Q197" s="12">
        <f>IF(N197="","",IF(N197=0,$B$7,$B$7-Y197*O197/N197))</f>
        <v/>
      </c>
      <c r="R197" s="12">
        <f>IF(N197="","",IF(N197=0,$B$8,$B$8+Y197*P197/N197))</f>
        <v/>
      </c>
      <c r="S197" s="12">
        <f>IFERROR(SQRT((Q197-H197)^2+(R197-I197)^2),"")</f>
        <v/>
      </c>
      <c r="T197">
        <f>170</f>
        <v/>
      </c>
      <c r="U197">
        <f>IF(T197&gt;4*$E$9,"",MIN(INT(T197/$E$9)+1,4))</f>
        <v/>
      </c>
      <c r="V197">
        <f>IF(T197=4*$E$9,-$E$6/2,IF(U197="","",CHOOSE(U197,-$E$6/2+MOD(T197,$E$9)/$E$9*$E$6,$E$6/2,$E$6/2-MOD(T197,$E$9)/$E$9*$E$6,-$E$6/2)))</f>
        <v/>
      </c>
      <c r="W197">
        <f>IF(T197=4*$E$9,-$E$7/2,IF(U197="","",CHOOSE(U197,-$E$7/2,-$E$7/2+MOD(T197,$E$9)/$E$9*$E$7,$E$7/2,$E$7/2-MOD(T197,$E$9)/$E$9*$E$7)))</f>
        <v/>
      </c>
      <c r="X197">
        <f>IF(OR($E$13&lt;&gt;"OK",M197=""),"",IF(M197&lt;=$A$19,$D$19,IF(M197&gt;=INDEX($A$19:$A$2018,$E$12),INDEX($D$19:$D$2018,$E$12),INDEX($D$19:$D$2018,MATCH(M197,$A$19:INDEX($A$19:$A$2018,$E$12),1))+(M197-INDEX($A$19:$A$2018,MATCH(M197,$A$19:INDEX($A$19:$A$2018,$E$12),1)))*(INDEX($D$19:$D$2018,MATCH(M197,$A$19:INDEX($A$19:$A$2018,$E$12),1)+1)-INDEX($D$19:$D$2018,MATCH(M197,$A$19:INDEX($A$19:$A$2018,$E$12),1)))/(INDEX($A$19:$A$2018,MATCH(M197,$A$19:INDEX($A$19:$A$2018,$E$12),1)+1)-INDEX($A$19:$A$2018,MATCH(M197,$A$19:INDEX($A$19:$A$2018,$E$12),1))))))</f>
        <v/>
      </c>
      <c r="Y197">
        <f>IF(X197="","",X197*1000/$B$4)</f>
        <v/>
      </c>
    </row>
    <row r="198">
      <c r="A198" s="10" t="n"/>
      <c r="B198" s="10" t="n"/>
      <c r="C198" s="11">
        <f>IF(A198="","",$B$5*TAN(RADIANS(A198)))</f>
        <v/>
      </c>
      <c r="D198" s="11">
        <f>IF(C198="","",C198*(1+B198/100))</f>
        <v/>
      </c>
      <c r="E198" s="11">
        <f>IF(A198="","",$B$6*TAN(RADIANS(A198)))</f>
        <v/>
      </c>
      <c r="G198" s="12">
        <f>IF(U198="","",T198)</f>
        <v/>
      </c>
      <c r="H198" s="12">
        <f>IF(U198="","",$E$4+V198*COS(RADIANS($E$8))-W198*SIN(RADIANS($E$8)))</f>
        <v/>
      </c>
      <c r="I198" s="12">
        <f>IF(U198="","",$E$5+V198*SIN(RADIANS($E$8))+W198*COS(RADIANS($E$8)))</f>
        <v/>
      </c>
      <c r="J198" s="12">
        <f>IF(H198="","",H198-$B$7)</f>
        <v/>
      </c>
      <c r="K198" s="12">
        <f>IF(I198="","",I198-$B$8)</f>
        <v/>
      </c>
      <c r="L198" s="12">
        <f>IFERROR(SQRT(J198^2+K198^2)*$B$4/1000,"")</f>
        <v/>
      </c>
      <c r="M198" s="12">
        <f>IF(OR($E$13&lt;&gt;"OK",L198=""),"",IF(L198&lt;=$D$19,$A$19,IF(L198&gt;=INDEX($D$19:$D$2018,$E$12),INDEX($A$19:$A$2018,$E$12),INDEX($A$19:$A$2018,MATCH(L198,$D$19:INDEX($D$19:$D$2018,$E$12),1))+(L198-INDEX($D$19:$D$2018,MATCH(L198,$D$19:INDEX($D$19:$D$2018,$E$12),1)))*(INDEX($A$19:$A$2018,MATCH(L198,$D$19:INDEX($D$19:$D$2018,$E$12),1)+1)-INDEX($A$19:$A$2018,MATCH(L198,$D$19:INDEX($D$19:$D$2018,$E$12),1)))/(INDEX($D$19:$D$2018,MATCH(L198,$D$19:INDEX($D$19:$D$2018,$E$12),1)+1)-INDEX($D$19:$D$2018,MATCH(L198,$D$19:INDEX($D$19:$D$2018,$E$12),1))))))</f>
        <v/>
      </c>
      <c r="N198" s="12">
        <f>IF(M198="","",$B$6*TAN(RADIANS(M198)))</f>
        <v/>
      </c>
      <c r="O198" s="12">
        <f>IF(N198="","",IF(L198=0,0,-N198*J198/SQRT(J198^2+K198^2)))</f>
        <v/>
      </c>
      <c r="P198" s="12">
        <f>IF(N198="","",IF(L198=0,0,N198*K198/SQRT(J198^2+K198^2)))</f>
        <v/>
      </c>
      <c r="Q198" s="12">
        <f>IF(N198="","",IF(N198=0,$B$7,$B$7-Y198*O198/N198))</f>
        <v/>
      </c>
      <c r="R198" s="12">
        <f>IF(N198="","",IF(N198=0,$B$8,$B$8+Y198*P198/N198))</f>
        <v/>
      </c>
      <c r="S198" s="12">
        <f>IFERROR(SQRT((Q198-H198)^2+(R198-I198)^2),"")</f>
        <v/>
      </c>
      <c r="T198">
        <f>171</f>
        <v/>
      </c>
      <c r="U198">
        <f>IF(T198&gt;4*$E$9,"",MIN(INT(T198/$E$9)+1,4))</f>
        <v/>
      </c>
      <c r="V198">
        <f>IF(T198=4*$E$9,-$E$6/2,IF(U198="","",CHOOSE(U198,-$E$6/2+MOD(T198,$E$9)/$E$9*$E$6,$E$6/2,$E$6/2-MOD(T198,$E$9)/$E$9*$E$6,-$E$6/2)))</f>
        <v/>
      </c>
      <c r="W198">
        <f>IF(T198=4*$E$9,-$E$7/2,IF(U198="","",CHOOSE(U198,-$E$7/2,-$E$7/2+MOD(T198,$E$9)/$E$9*$E$7,$E$7/2,$E$7/2-MOD(T198,$E$9)/$E$9*$E$7)))</f>
        <v/>
      </c>
      <c r="X198">
        <f>IF(OR($E$13&lt;&gt;"OK",M198=""),"",IF(M198&lt;=$A$19,$D$19,IF(M198&gt;=INDEX($A$19:$A$2018,$E$12),INDEX($D$19:$D$2018,$E$12),INDEX($D$19:$D$2018,MATCH(M198,$A$19:INDEX($A$19:$A$2018,$E$12),1))+(M198-INDEX($A$19:$A$2018,MATCH(M198,$A$19:INDEX($A$19:$A$2018,$E$12),1)))*(INDEX($D$19:$D$2018,MATCH(M198,$A$19:INDEX($A$19:$A$2018,$E$12),1)+1)-INDEX($D$19:$D$2018,MATCH(M198,$A$19:INDEX($A$19:$A$2018,$E$12),1)))/(INDEX($A$19:$A$2018,MATCH(M198,$A$19:INDEX($A$19:$A$2018,$E$12),1)+1)-INDEX($A$19:$A$2018,MATCH(M198,$A$19:INDEX($A$19:$A$2018,$E$12),1))))))</f>
        <v/>
      </c>
      <c r="Y198">
        <f>IF(X198="","",X198*1000/$B$4)</f>
        <v/>
      </c>
    </row>
    <row r="199">
      <c r="A199" s="10" t="n"/>
      <c r="B199" s="10" t="n"/>
      <c r="C199" s="11">
        <f>IF(A199="","",$B$5*TAN(RADIANS(A199)))</f>
        <v/>
      </c>
      <c r="D199" s="11">
        <f>IF(C199="","",C199*(1+B199/100))</f>
        <v/>
      </c>
      <c r="E199" s="11">
        <f>IF(A199="","",$B$6*TAN(RADIANS(A199)))</f>
        <v/>
      </c>
      <c r="G199" s="12">
        <f>IF(U199="","",T199)</f>
        <v/>
      </c>
      <c r="H199" s="12">
        <f>IF(U199="","",$E$4+V199*COS(RADIANS($E$8))-W199*SIN(RADIANS($E$8)))</f>
        <v/>
      </c>
      <c r="I199" s="12">
        <f>IF(U199="","",$E$5+V199*SIN(RADIANS($E$8))+W199*COS(RADIANS($E$8)))</f>
        <v/>
      </c>
      <c r="J199" s="12">
        <f>IF(H199="","",H199-$B$7)</f>
        <v/>
      </c>
      <c r="K199" s="12">
        <f>IF(I199="","",I199-$B$8)</f>
        <v/>
      </c>
      <c r="L199" s="12">
        <f>IFERROR(SQRT(J199^2+K199^2)*$B$4/1000,"")</f>
        <v/>
      </c>
      <c r="M199" s="12">
        <f>IF(OR($E$13&lt;&gt;"OK",L199=""),"",IF(L199&lt;=$D$19,$A$19,IF(L199&gt;=INDEX($D$19:$D$2018,$E$12),INDEX($A$19:$A$2018,$E$12),INDEX($A$19:$A$2018,MATCH(L199,$D$19:INDEX($D$19:$D$2018,$E$12),1))+(L199-INDEX($D$19:$D$2018,MATCH(L199,$D$19:INDEX($D$19:$D$2018,$E$12),1)))*(INDEX($A$19:$A$2018,MATCH(L199,$D$19:INDEX($D$19:$D$2018,$E$12),1)+1)-INDEX($A$19:$A$2018,MATCH(L199,$D$19:INDEX($D$19:$D$2018,$E$12),1)))/(INDEX($D$19:$D$2018,MATCH(L199,$D$19:INDEX($D$19:$D$2018,$E$12),1)+1)-INDEX($D$19:$D$2018,MATCH(L199,$D$19:INDEX($D$19:$D$2018,$E$12),1))))))</f>
        <v/>
      </c>
      <c r="N199" s="12">
        <f>IF(M199="","",$B$6*TAN(RADIANS(M199)))</f>
        <v/>
      </c>
      <c r="O199" s="12">
        <f>IF(N199="","",IF(L199=0,0,-N199*J199/SQRT(J199^2+K199^2)))</f>
        <v/>
      </c>
      <c r="P199" s="12">
        <f>IF(N199="","",IF(L199=0,0,N199*K199/SQRT(J199^2+K199^2)))</f>
        <v/>
      </c>
      <c r="Q199" s="12">
        <f>IF(N199="","",IF(N199=0,$B$7,$B$7-Y199*O199/N199))</f>
        <v/>
      </c>
      <c r="R199" s="12">
        <f>IF(N199="","",IF(N199=0,$B$8,$B$8+Y199*P199/N199))</f>
        <v/>
      </c>
      <c r="S199" s="12">
        <f>IFERROR(SQRT((Q199-H199)^2+(R199-I199)^2),"")</f>
        <v/>
      </c>
      <c r="T199">
        <f>172</f>
        <v/>
      </c>
      <c r="U199">
        <f>IF(T199&gt;4*$E$9,"",MIN(INT(T199/$E$9)+1,4))</f>
        <v/>
      </c>
      <c r="V199">
        <f>IF(T199=4*$E$9,-$E$6/2,IF(U199="","",CHOOSE(U199,-$E$6/2+MOD(T199,$E$9)/$E$9*$E$6,$E$6/2,$E$6/2-MOD(T199,$E$9)/$E$9*$E$6,-$E$6/2)))</f>
        <v/>
      </c>
      <c r="W199">
        <f>IF(T199=4*$E$9,-$E$7/2,IF(U199="","",CHOOSE(U199,-$E$7/2,-$E$7/2+MOD(T199,$E$9)/$E$9*$E$7,$E$7/2,$E$7/2-MOD(T199,$E$9)/$E$9*$E$7)))</f>
        <v/>
      </c>
      <c r="X199">
        <f>IF(OR($E$13&lt;&gt;"OK",M199=""),"",IF(M199&lt;=$A$19,$D$19,IF(M199&gt;=INDEX($A$19:$A$2018,$E$12),INDEX($D$19:$D$2018,$E$12),INDEX($D$19:$D$2018,MATCH(M199,$A$19:INDEX($A$19:$A$2018,$E$12),1))+(M199-INDEX($A$19:$A$2018,MATCH(M199,$A$19:INDEX($A$19:$A$2018,$E$12),1)))*(INDEX($D$19:$D$2018,MATCH(M199,$A$19:INDEX($A$19:$A$2018,$E$12),1)+1)-INDEX($D$19:$D$2018,MATCH(M199,$A$19:INDEX($A$19:$A$2018,$E$12),1)))/(INDEX($A$19:$A$2018,MATCH(M199,$A$19:INDEX($A$19:$A$2018,$E$12),1)+1)-INDEX($A$19:$A$2018,MATCH(M199,$A$19:INDEX($A$19:$A$2018,$E$12),1))))))</f>
        <v/>
      </c>
      <c r="Y199">
        <f>IF(X199="","",X199*1000/$B$4)</f>
        <v/>
      </c>
    </row>
    <row r="200">
      <c r="A200" s="10" t="n"/>
      <c r="B200" s="10" t="n"/>
      <c r="C200" s="11">
        <f>IF(A200="","",$B$5*TAN(RADIANS(A200)))</f>
        <v/>
      </c>
      <c r="D200" s="11">
        <f>IF(C200="","",C200*(1+B200/100))</f>
        <v/>
      </c>
      <c r="E200" s="11">
        <f>IF(A200="","",$B$6*TAN(RADIANS(A200)))</f>
        <v/>
      </c>
      <c r="G200" s="12">
        <f>IF(U200="","",T200)</f>
        <v/>
      </c>
      <c r="H200" s="12">
        <f>IF(U200="","",$E$4+V200*COS(RADIANS($E$8))-W200*SIN(RADIANS($E$8)))</f>
        <v/>
      </c>
      <c r="I200" s="12">
        <f>IF(U200="","",$E$5+V200*SIN(RADIANS($E$8))+W200*COS(RADIANS($E$8)))</f>
        <v/>
      </c>
      <c r="J200" s="12">
        <f>IF(H200="","",H200-$B$7)</f>
        <v/>
      </c>
      <c r="K200" s="12">
        <f>IF(I200="","",I200-$B$8)</f>
        <v/>
      </c>
      <c r="L200" s="12">
        <f>IFERROR(SQRT(J200^2+K200^2)*$B$4/1000,"")</f>
        <v/>
      </c>
      <c r="M200" s="12">
        <f>IF(OR($E$13&lt;&gt;"OK",L200=""),"",IF(L200&lt;=$D$19,$A$19,IF(L200&gt;=INDEX($D$19:$D$2018,$E$12),INDEX($A$19:$A$2018,$E$12),INDEX($A$19:$A$2018,MATCH(L200,$D$19:INDEX($D$19:$D$2018,$E$12),1))+(L200-INDEX($D$19:$D$2018,MATCH(L200,$D$19:INDEX($D$19:$D$2018,$E$12),1)))*(INDEX($A$19:$A$2018,MATCH(L200,$D$19:INDEX($D$19:$D$2018,$E$12),1)+1)-INDEX($A$19:$A$2018,MATCH(L200,$D$19:INDEX($D$19:$D$2018,$E$12),1)))/(INDEX($D$19:$D$2018,MATCH(L200,$D$19:INDEX($D$19:$D$2018,$E$12),1)+1)-INDEX($D$19:$D$2018,MATCH(L200,$D$19:INDEX($D$19:$D$2018,$E$12),1))))))</f>
        <v/>
      </c>
      <c r="N200" s="12">
        <f>IF(M200="","",$B$6*TAN(RADIANS(M200)))</f>
        <v/>
      </c>
      <c r="O200" s="12">
        <f>IF(N200="","",IF(L200=0,0,-N200*J200/SQRT(J200^2+K200^2)))</f>
        <v/>
      </c>
      <c r="P200" s="12">
        <f>IF(N200="","",IF(L200=0,0,N200*K200/SQRT(J200^2+K200^2)))</f>
        <v/>
      </c>
      <c r="Q200" s="12">
        <f>IF(N200="","",IF(N200=0,$B$7,$B$7-Y200*O200/N200))</f>
        <v/>
      </c>
      <c r="R200" s="12">
        <f>IF(N200="","",IF(N200=0,$B$8,$B$8+Y200*P200/N200))</f>
        <v/>
      </c>
      <c r="S200" s="12">
        <f>IFERROR(SQRT((Q200-H200)^2+(R200-I200)^2),"")</f>
        <v/>
      </c>
      <c r="T200">
        <f>173</f>
        <v/>
      </c>
      <c r="U200">
        <f>IF(T200&gt;4*$E$9,"",MIN(INT(T200/$E$9)+1,4))</f>
        <v/>
      </c>
      <c r="V200">
        <f>IF(T200=4*$E$9,-$E$6/2,IF(U200="","",CHOOSE(U200,-$E$6/2+MOD(T200,$E$9)/$E$9*$E$6,$E$6/2,$E$6/2-MOD(T200,$E$9)/$E$9*$E$6,-$E$6/2)))</f>
        <v/>
      </c>
      <c r="W200">
        <f>IF(T200=4*$E$9,-$E$7/2,IF(U200="","",CHOOSE(U200,-$E$7/2,-$E$7/2+MOD(T200,$E$9)/$E$9*$E$7,$E$7/2,$E$7/2-MOD(T200,$E$9)/$E$9*$E$7)))</f>
        <v/>
      </c>
      <c r="X200">
        <f>IF(OR($E$13&lt;&gt;"OK",M200=""),"",IF(M200&lt;=$A$19,$D$19,IF(M200&gt;=INDEX($A$19:$A$2018,$E$12),INDEX($D$19:$D$2018,$E$12),INDEX($D$19:$D$2018,MATCH(M200,$A$19:INDEX($A$19:$A$2018,$E$12),1))+(M200-INDEX($A$19:$A$2018,MATCH(M200,$A$19:INDEX($A$19:$A$2018,$E$12),1)))*(INDEX($D$19:$D$2018,MATCH(M200,$A$19:INDEX($A$19:$A$2018,$E$12),1)+1)-INDEX($D$19:$D$2018,MATCH(M200,$A$19:INDEX($A$19:$A$2018,$E$12),1)))/(INDEX($A$19:$A$2018,MATCH(M200,$A$19:INDEX($A$19:$A$2018,$E$12),1)+1)-INDEX($A$19:$A$2018,MATCH(M200,$A$19:INDEX($A$19:$A$2018,$E$12),1))))))</f>
        <v/>
      </c>
      <c r="Y200">
        <f>IF(X200="","",X200*1000/$B$4)</f>
        <v/>
      </c>
    </row>
    <row r="201">
      <c r="A201" s="10" t="n"/>
      <c r="B201" s="10" t="n"/>
      <c r="C201" s="11">
        <f>IF(A201="","",$B$5*TAN(RADIANS(A201)))</f>
        <v/>
      </c>
      <c r="D201" s="11">
        <f>IF(C201="","",C201*(1+B201/100))</f>
        <v/>
      </c>
      <c r="E201" s="11">
        <f>IF(A201="","",$B$6*TAN(RADIANS(A201)))</f>
        <v/>
      </c>
      <c r="G201" s="12">
        <f>IF(U201="","",T201)</f>
        <v/>
      </c>
      <c r="H201" s="12">
        <f>IF(U201="","",$E$4+V201*COS(RADIANS($E$8))-W201*SIN(RADIANS($E$8)))</f>
        <v/>
      </c>
      <c r="I201" s="12">
        <f>IF(U201="","",$E$5+V201*SIN(RADIANS($E$8))+W201*COS(RADIANS($E$8)))</f>
        <v/>
      </c>
      <c r="J201" s="12">
        <f>IF(H201="","",H201-$B$7)</f>
        <v/>
      </c>
      <c r="K201" s="12">
        <f>IF(I201="","",I201-$B$8)</f>
        <v/>
      </c>
      <c r="L201" s="12">
        <f>IFERROR(SQRT(J201^2+K201^2)*$B$4/1000,"")</f>
        <v/>
      </c>
      <c r="M201" s="12">
        <f>IF(OR($E$13&lt;&gt;"OK",L201=""),"",IF(L201&lt;=$D$19,$A$19,IF(L201&gt;=INDEX($D$19:$D$2018,$E$12),INDEX($A$19:$A$2018,$E$12),INDEX($A$19:$A$2018,MATCH(L201,$D$19:INDEX($D$19:$D$2018,$E$12),1))+(L201-INDEX($D$19:$D$2018,MATCH(L201,$D$19:INDEX($D$19:$D$2018,$E$12),1)))*(INDEX($A$19:$A$2018,MATCH(L201,$D$19:INDEX($D$19:$D$2018,$E$12),1)+1)-INDEX($A$19:$A$2018,MATCH(L201,$D$19:INDEX($D$19:$D$2018,$E$12),1)))/(INDEX($D$19:$D$2018,MATCH(L201,$D$19:INDEX($D$19:$D$2018,$E$12),1)+1)-INDEX($D$19:$D$2018,MATCH(L201,$D$19:INDEX($D$19:$D$2018,$E$12),1))))))</f>
        <v/>
      </c>
      <c r="N201" s="12">
        <f>IF(M201="","",$B$6*TAN(RADIANS(M201)))</f>
        <v/>
      </c>
      <c r="O201" s="12">
        <f>IF(N201="","",IF(L201=0,0,-N201*J201/SQRT(J201^2+K201^2)))</f>
        <v/>
      </c>
      <c r="P201" s="12">
        <f>IF(N201="","",IF(L201=0,0,N201*K201/SQRT(J201^2+K201^2)))</f>
        <v/>
      </c>
      <c r="Q201" s="12">
        <f>IF(N201="","",IF(N201=0,$B$7,$B$7-Y201*O201/N201))</f>
        <v/>
      </c>
      <c r="R201" s="12">
        <f>IF(N201="","",IF(N201=0,$B$8,$B$8+Y201*P201/N201))</f>
        <v/>
      </c>
      <c r="S201" s="12">
        <f>IFERROR(SQRT((Q201-H201)^2+(R201-I201)^2),"")</f>
        <v/>
      </c>
      <c r="T201">
        <f>174</f>
        <v/>
      </c>
      <c r="U201">
        <f>IF(T201&gt;4*$E$9,"",MIN(INT(T201/$E$9)+1,4))</f>
        <v/>
      </c>
      <c r="V201">
        <f>IF(T201=4*$E$9,-$E$6/2,IF(U201="","",CHOOSE(U201,-$E$6/2+MOD(T201,$E$9)/$E$9*$E$6,$E$6/2,$E$6/2-MOD(T201,$E$9)/$E$9*$E$6,-$E$6/2)))</f>
        <v/>
      </c>
      <c r="W201">
        <f>IF(T201=4*$E$9,-$E$7/2,IF(U201="","",CHOOSE(U201,-$E$7/2,-$E$7/2+MOD(T201,$E$9)/$E$9*$E$7,$E$7/2,$E$7/2-MOD(T201,$E$9)/$E$9*$E$7)))</f>
        <v/>
      </c>
      <c r="X201">
        <f>IF(OR($E$13&lt;&gt;"OK",M201=""),"",IF(M201&lt;=$A$19,$D$19,IF(M201&gt;=INDEX($A$19:$A$2018,$E$12),INDEX($D$19:$D$2018,$E$12),INDEX($D$19:$D$2018,MATCH(M201,$A$19:INDEX($A$19:$A$2018,$E$12),1))+(M201-INDEX($A$19:$A$2018,MATCH(M201,$A$19:INDEX($A$19:$A$2018,$E$12),1)))*(INDEX($D$19:$D$2018,MATCH(M201,$A$19:INDEX($A$19:$A$2018,$E$12),1)+1)-INDEX($D$19:$D$2018,MATCH(M201,$A$19:INDEX($A$19:$A$2018,$E$12),1)))/(INDEX($A$19:$A$2018,MATCH(M201,$A$19:INDEX($A$19:$A$2018,$E$12),1)+1)-INDEX($A$19:$A$2018,MATCH(M201,$A$19:INDEX($A$19:$A$2018,$E$12),1))))))</f>
        <v/>
      </c>
      <c r="Y201">
        <f>IF(X201="","",X201*1000/$B$4)</f>
        <v/>
      </c>
    </row>
    <row r="202">
      <c r="A202" s="10" t="n"/>
      <c r="B202" s="10" t="n"/>
      <c r="C202" s="11">
        <f>IF(A202="","",$B$5*TAN(RADIANS(A202)))</f>
        <v/>
      </c>
      <c r="D202" s="11">
        <f>IF(C202="","",C202*(1+B202/100))</f>
        <v/>
      </c>
      <c r="E202" s="11">
        <f>IF(A202="","",$B$6*TAN(RADIANS(A202)))</f>
        <v/>
      </c>
      <c r="G202" s="12">
        <f>IF(U202="","",T202)</f>
        <v/>
      </c>
      <c r="H202" s="12">
        <f>IF(U202="","",$E$4+V202*COS(RADIANS($E$8))-W202*SIN(RADIANS($E$8)))</f>
        <v/>
      </c>
      <c r="I202" s="12">
        <f>IF(U202="","",$E$5+V202*SIN(RADIANS($E$8))+W202*COS(RADIANS($E$8)))</f>
        <v/>
      </c>
      <c r="J202" s="12">
        <f>IF(H202="","",H202-$B$7)</f>
        <v/>
      </c>
      <c r="K202" s="12">
        <f>IF(I202="","",I202-$B$8)</f>
        <v/>
      </c>
      <c r="L202" s="12">
        <f>IFERROR(SQRT(J202^2+K202^2)*$B$4/1000,"")</f>
        <v/>
      </c>
      <c r="M202" s="12">
        <f>IF(OR($E$13&lt;&gt;"OK",L202=""),"",IF(L202&lt;=$D$19,$A$19,IF(L202&gt;=INDEX($D$19:$D$2018,$E$12),INDEX($A$19:$A$2018,$E$12),INDEX($A$19:$A$2018,MATCH(L202,$D$19:INDEX($D$19:$D$2018,$E$12),1))+(L202-INDEX($D$19:$D$2018,MATCH(L202,$D$19:INDEX($D$19:$D$2018,$E$12),1)))*(INDEX($A$19:$A$2018,MATCH(L202,$D$19:INDEX($D$19:$D$2018,$E$12),1)+1)-INDEX($A$19:$A$2018,MATCH(L202,$D$19:INDEX($D$19:$D$2018,$E$12),1)))/(INDEX($D$19:$D$2018,MATCH(L202,$D$19:INDEX($D$19:$D$2018,$E$12),1)+1)-INDEX($D$19:$D$2018,MATCH(L202,$D$19:INDEX($D$19:$D$2018,$E$12),1))))))</f>
        <v/>
      </c>
      <c r="N202" s="12">
        <f>IF(M202="","",$B$6*TAN(RADIANS(M202)))</f>
        <v/>
      </c>
      <c r="O202" s="12">
        <f>IF(N202="","",IF(L202=0,0,-N202*J202/SQRT(J202^2+K202^2)))</f>
        <v/>
      </c>
      <c r="P202" s="12">
        <f>IF(N202="","",IF(L202=0,0,N202*K202/SQRT(J202^2+K202^2)))</f>
        <v/>
      </c>
      <c r="Q202" s="12">
        <f>IF(N202="","",IF(N202=0,$B$7,$B$7-Y202*O202/N202))</f>
        <v/>
      </c>
      <c r="R202" s="12">
        <f>IF(N202="","",IF(N202=0,$B$8,$B$8+Y202*P202/N202))</f>
        <v/>
      </c>
      <c r="S202" s="12">
        <f>IFERROR(SQRT((Q202-H202)^2+(R202-I202)^2),"")</f>
        <v/>
      </c>
      <c r="T202">
        <f>175</f>
        <v/>
      </c>
      <c r="U202">
        <f>IF(T202&gt;4*$E$9,"",MIN(INT(T202/$E$9)+1,4))</f>
        <v/>
      </c>
      <c r="V202">
        <f>IF(T202=4*$E$9,-$E$6/2,IF(U202="","",CHOOSE(U202,-$E$6/2+MOD(T202,$E$9)/$E$9*$E$6,$E$6/2,$E$6/2-MOD(T202,$E$9)/$E$9*$E$6,-$E$6/2)))</f>
        <v/>
      </c>
      <c r="W202">
        <f>IF(T202=4*$E$9,-$E$7/2,IF(U202="","",CHOOSE(U202,-$E$7/2,-$E$7/2+MOD(T202,$E$9)/$E$9*$E$7,$E$7/2,$E$7/2-MOD(T202,$E$9)/$E$9*$E$7)))</f>
        <v/>
      </c>
      <c r="X202">
        <f>IF(OR($E$13&lt;&gt;"OK",M202=""),"",IF(M202&lt;=$A$19,$D$19,IF(M202&gt;=INDEX($A$19:$A$2018,$E$12),INDEX($D$19:$D$2018,$E$12),INDEX($D$19:$D$2018,MATCH(M202,$A$19:INDEX($A$19:$A$2018,$E$12),1))+(M202-INDEX($A$19:$A$2018,MATCH(M202,$A$19:INDEX($A$19:$A$2018,$E$12),1)))*(INDEX($D$19:$D$2018,MATCH(M202,$A$19:INDEX($A$19:$A$2018,$E$12),1)+1)-INDEX($D$19:$D$2018,MATCH(M202,$A$19:INDEX($A$19:$A$2018,$E$12),1)))/(INDEX($A$19:$A$2018,MATCH(M202,$A$19:INDEX($A$19:$A$2018,$E$12),1)+1)-INDEX($A$19:$A$2018,MATCH(M202,$A$19:INDEX($A$19:$A$2018,$E$12),1))))))</f>
        <v/>
      </c>
      <c r="Y202">
        <f>IF(X202="","",X202*1000/$B$4)</f>
        <v/>
      </c>
    </row>
    <row r="203">
      <c r="A203" s="10" t="n"/>
      <c r="B203" s="10" t="n"/>
      <c r="C203" s="11">
        <f>IF(A203="","",$B$5*TAN(RADIANS(A203)))</f>
        <v/>
      </c>
      <c r="D203" s="11">
        <f>IF(C203="","",C203*(1+B203/100))</f>
        <v/>
      </c>
      <c r="E203" s="11">
        <f>IF(A203="","",$B$6*TAN(RADIANS(A203)))</f>
        <v/>
      </c>
      <c r="G203" s="12">
        <f>IF(U203="","",T203)</f>
        <v/>
      </c>
      <c r="H203" s="12">
        <f>IF(U203="","",$E$4+V203*COS(RADIANS($E$8))-W203*SIN(RADIANS($E$8)))</f>
        <v/>
      </c>
      <c r="I203" s="12">
        <f>IF(U203="","",$E$5+V203*SIN(RADIANS($E$8))+W203*COS(RADIANS($E$8)))</f>
        <v/>
      </c>
      <c r="J203" s="12">
        <f>IF(H203="","",H203-$B$7)</f>
        <v/>
      </c>
      <c r="K203" s="12">
        <f>IF(I203="","",I203-$B$8)</f>
        <v/>
      </c>
      <c r="L203" s="12">
        <f>IFERROR(SQRT(J203^2+K203^2)*$B$4/1000,"")</f>
        <v/>
      </c>
      <c r="M203" s="12">
        <f>IF(OR($E$13&lt;&gt;"OK",L203=""),"",IF(L203&lt;=$D$19,$A$19,IF(L203&gt;=INDEX($D$19:$D$2018,$E$12),INDEX($A$19:$A$2018,$E$12),INDEX($A$19:$A$2018,MATCH(L203,$D$19:INDEX($D$19:$D$2018,$E$12),1))+(L203-INDEX($D$19:$D$2018,MATCH(L203,$D$19:INDEX($D$19:$D$2018,$E$12),1)))*(INDEX($A$19:$A$2018,MATCH(L203,$D$19:INDEX($D$19:$D$2018,$E$12),1)+1)-INDEX($A$19:$A$2018,MATCH(L203,$D$19:INDEX($D$19:$D$2018,$E$12),1)))/(INDEX($D$19:$D$2018,MATCH(L203,$D$19:INDEX($D$19:$D$2018,$E$12),1)+1)-INDEX($D$19:$D$2018,MATCH(L203,$D$19:INDEX($D$19:$D$2018,$E$12),1))))))</f>
        <v/>
      </c>
      <c r="N203" s="12">
        <f>IF(M203="","",$B$6*TAN(RADIANS(M203)))</f>
        <v/>
      </c>
      <c r="O203" s="12">
        <f>IF(N203="","",IF(L203=0,0,-N203*J203/SQRT(J203^2+K203^2)))</f>
        <v/>
      </c>
      <c r="P203" s="12">
        <f>IF(N203="","",IF(L203=0,0,N203*K203/SQRT(J203^2+K203^2)))</f>
        <v/>
      </c>
      <c r="Q203" s="12">
        <f>IF(N203="","",IF(N203=0,$B$7,$B$7-Y203*O203/N203))</f>
        <v/>
      </c>
      <c r="R203" s="12">
        <f>IF(N203="","",IF(N203=0,$B$8,$B$8+Y203*P203/N203))</f>
        <v/>
      </c>
      <c r="S203" s="12">
        <f>IFERROR(SQRT((Q203-H203)^2+(R203-I203)^2),"")</f>
        <v/>
      </c>
      <c r="T203">
        <f>176</f>
        <v/>
      </c>
      <c r="U203">
        <f>IF(T203&gt;4*$E$9,"",MIN(INT(T203/$E$9)+1,4))</f>
        <v/>
      </c>
      <c r="V203">
        <f>IF(T203=4*$E$9,-$E$6/2,IF(U203="","",CHOOSE(U203,-$E$6/2+MOD(T203,$E$9)/$E$9*$E$6,$E$6/2,$E$6/2-MOD(T203,$E$9)/$E$9*$E$6,-$E$6/2)))</f>
        <v/>
      </c>
      <c r="W203">
        <f>IF(T203=4*$E$9,-$E$7/2,IF(U203="","",CHOOSE(U203,-$E$7/2,-$E$7/2+MOD(T203,$E$9)/$E$9*$E$7,$E$7/2,$E$7/2-MOD(T203,$E$9)/$E$9*$E$7)))</f>
        <v/>
      </c>
      <c r="X203">
        <f>IF(OR($E$13&lt;&gt;"OK",M203=""),"",IF(M203&lt;=$A$19,$D$19,IF(M203&gt;=INDEX($A$19:$A$2018,$E$12),INDEX($D$19:$D$2018,$E$12),INDEX($D$19:$D$2018,MATCH(M203,$A$19:INDEX($A$19:$A$2018,$E$12),1))+(M203-INDEX($A$19:$A$2018,MATCH(M203,$A$19:INDEX($A$19:$A$2018,$E$12),1)))*(INDEX($D$19:$D$2018,MATCH(M203,$A$19:INDEX($A$19:$A$2018,$E$12),1)+1)-INDEX($D$19:$D$2018,MATCH(M203,$A$19:INDEX($A$19:$A$2018,$E$12),1)))/(INDEX($A$19:$A$2018,MATCH(M203,$A$19:INDEX($A$19:$A$2018,$E$12),1)+1)-INDEX($A$19:$A$2018,MATCH(M203,$A$19:INDEX($A$19:$A$2018,$E$12),1))))))</f>
        <v/>
      </c>
      <c r="Y203">
        <f>IF(X203="","",X203*1000/$B$4)</f>
        <v/>
      </c>
    </row>
    <row r="204">
      <c r="A204" s="10" t="n"/>
      <c r="B204" s="10" t="n"/>
      <c r="C204" s="11">
        <f>IF(A204="","",$B$5*TAN(RADIANS(A204)))</f>
        <v/>
      </c>
      <c r="D204" s="11">
        <f>IF(C204="","",C204*(1+B204/100))</f>
        <v/>
      </c>
      <c r="E204" s="11">
        <f>IF(A204="","",$B$6*TAN(RADIANS(A204)))</f>
        <v/>
      </c>
      <c r="G204" s="12">
        <f>IF(U204="","",T204)</f>
        <v/>
      </c>
      <c r="H204" s="12">
        <f>IF(U204="","",$E$4+V204*COS(RADIANS($E$8))-W204*SIN(RADIANS($E$8)))</f>
        <v/>
      </c>
      <c r="I204" s="12">
        <f>IF(U204="","",$E$5+V204*SIN(RADIANS($E$8))+W204*COS(RADIANS($E$8)))</f>
        <v/>
      </c>
      <c r="J204" s="12">
        <f>IF(H204="","",H204-$B$7)</f>
        <v/>
      </c>
      <c r="K204" s="12">
        <f>IF(I204="","",I204-$B$8)</f>
        <v/>
      </c>
      <c r="L204" s="12">
        <f>IFERROR(SQRT(J204^2+K204^2)*$B$4/1000,"")</f>
        <v/>
      </c>
      <c r="M204" s="12">
        <f>IF(OR($E$13&lt;&gt;"OK",L204=""),"",IF(L204&lt;=$D$19,$A$19,IF(L204&gt;=INDEX($D$19:$D$2018,$E$12),INDEX($A$19:$A$2018,$E$12),INDEX($A$19:$A$2018,MATCH(L204,$D$19:INDEX($D$19:$D$2018,$E$12),1))+(L204-INDEX($D$19:$D$2018,MATCH(L204,$D$19:INDEX($D$19:$D$2018,$E$12),1)))*(INDEX($A$19:$A$2018,MATCH(L204,$D$19:INDEX($D$19:$D$2018,$E$12),1)+1)-INDEX($A$19:$A$2018,MATCH(L204,$D$19:INDEX($D$19:$D$2018,$E$12),1)))/(INDEX($D$19:$D$2018,MATCH(L204,$D$19:INDEX($D$19:$D$2018,$E$12),1)+1)-INDEX($D$19:$D$2018,MATCH(L204,$D$19:INDEX($D$19:$D$2018,$E$12),1))))))</f>
        <v/>
      </c>
      <c r="N204" s="12">
        <f>IF(M204="","",$B$6*TAN(RADIANS(M204)))</f>
        <v/>
      </c>
      <c r="O204" s="12">
        <f>IF(N204="","",IF(L204=0,0,-N204*J204/SQRT(J204^2+K204^2)))</f>
        <v/>
      </c>
      <c r="P204" s="12">
        <f>IF(N204="","",IF(L204=0,0,N204*K204/SQRT(J204^2+K204^2)))</f>
        <v/>
      </c>
      <c r="Q204" s="12">
        <f>IF(N204="","",IF(N204=0,$B$7,$B$7-Y204*O204/N204))</f>
        <v/>
      </c>
      <c r="R204" s="12">
        <f>IF(N204="","",IF(N204=0,$B$8,$B$8+Y204*P204/N204))</f>
        <v/>
      </c>
      <c r="S204" s="12">
        <f>IFERROR(SQRT((Q204-H204)^2+(R204-I204)^2),"")</f>
        <v/>
      </c>
      <c r="T204">
        <f>177</f>
        <v/>
      </c>
      <c r="U204">
        <f>IF(T204&gt;4*$E$9,"",MIN(INT(T204/$E$9)+1,4))</f>
        <v/>
      </c>
      <c r="V204">
        <f>IF(T204=4*$E$9,-$E$6/2,IF(U204="","",CHOOSE(U204,-$E$6/2+MOD(T204,$E$9)/$E$9*$E$6,$E$6/2,$E$6/2-MOD(T204,$E$9)/$E$9*$E$6,-$E$6/2)))</f>
        <v/>
      </c>
      <c r="W204">
        <f>IF(T204=4*$E$9,-$E$7/2,IF(U204="","",CHOOSE(U204,-$E$7/2,-$E$7/2+MOD(T204,$E$9)/$E$9*$E$7,$E$7/2,$E$7/2-MOD(T204,$E$9)/$E$9*$E$7)))</f>
        <v/>
      </c>
      <c r="X204">
        <f>IF(OR($E$13&lt;&gt;"OK",M204=""),"",IF(M204&lt;=$A$19,$D$19,IF(M204&gt;=INDEX($A$19:$A$2018,$E$12),INDEX($D$19:$D$2018,$E$12),INDEX($D$19:$D$2018,MATCH(M204,$A$19:INDEX($A$19:$A$2018,$E$12),1))+(M204-INDEX($A$19:$A$2018,MATCH(M204,$A$19:INDEX($A$19:$A$2018,$E$12),1)))*(INDEX($D$19:$D$2018,MATCH(M204,$A$19:INDEX($A$19:$A$2018,$E$12),1)+1)-INDEX($D$19:$D$2018,MATCH(M204,$A$19:INDEX($A$19:$A$2018,$E$12),1)))/(INDEX($A$19:$A$2018,MATCH(M204,$A$19:INDEX($A$19:$A$2018,$E$12),1)+1)-INDEX($A$19:$A$2018,MATCH(M204,$A$19:INDEX($A$19:$A$2018,$E$12),1))))))</f>
        <v/>
      </c>
      <c r="Y204">
        <f>IF(X204="","",X204*1000/$B$4)</f>
        <v/>
      </c>
    </row>
    <row r="205">
      <c r="A205" s="10" t="n"/>
      <c r="B205" s="10" t="n"/>
      <c r="C205" s="11">
        <f>IF(A205="","",$B$5*TAN(RADIANS(A205)))</f>
        <v/>
      </c>
      <c r="D205" s="11">
        <f>IF(C205="","",C205*(1+B205/100))</f>
        <v/>
      </c>
      <c r="E205" s="11">
        <f>IF(A205="","",$B$6*TAN(RADIANS(A205)))</f>
        <v/>
      </c>
      <c r="G205" s="12">
        <f>IF(U205="","",T205)</f>
        <v/>
      </c>
      <c r="H205" s="12">
        <f>IF(U205="","",$E$4+V205*COS(RADIANS($E$8))-W205*SIN(RADIANS($E$8)))</f>
        <v/>
      </c>
      <c r="I205" s="12">
        <f>IF(U205="","",$E$5+V205*SIN(RADIANS($E$8))+W205*COS(RADIANS($E$8)))</f>
        <v/>
      </c>
      <c r="J205" s="12">
        <f>IF(H205="","",H205-$B$7)</f>
        <v/>
      </c>
      <c r="K205" s="12">
        <f>IF(I205="","",I205-$B$8)</f>
        <v/>
      </c>
      <c r="L205" s="12">
        <f>IFERROR(SQRT(J205^2+K205^2)*$B$4/1000,"")</f>
        <v/>
      </c>
      <c r="M205" s="12">
        <f>IF(OR($E$13&lt;&gt;"OK",L205=""),"",IF(L205&lt;=$D$19,$A$19,IF(L205&gt;=INDEX($D$19:$D$2018,$E$12),INDEX($A$19:$A$2018,$E$12),INDEX($A$19:$A$2018,MATCH(L205,$D$19:INDEX($D$19:$D$2018,$E$12),1))+(L205-INDEX($D$19:$D$2018,MATCH(L205,$D$19:INDEX($D$19:$D$2018,$E$12),1)))*(INDEX($A$19:$A$2018,MATCH(L205,$D$19:INDEX($D$19:$D$2018,$E$12),1)+1)-INDEX($A$19:$A$2018,MATCH(L205,$D$19:INDEX($D$19:$D$2018,$E$12),1)))/(INDEX($D$19:$D$2018,MATCH(L205,$D$19:INDEX($D$19:$D$2018,$E$12),1)+1)-INDEX($D$19:$D$2018,MATCH(L205,$D$19:INDEX($D$19:$D$2018,$E$12),1))))))</f>
        <v/>
      </c>
      <c r="N205" s="12">
        <f>IF(M205="","",$B$6*TAN(RADIANS(M205)))</f>
        <v/>
      </c>
      <c r="O205" s="12">
        <f>IF(N205="","",IF(L205=0,0,-N205*J205/SQRT(J205^2+K205^2)))</f>
        <v/>
      </c>
      <c r="P205" s="12">
        <f>IF(N205="","",IF(L205=0,0,N205*K205/SQRT(J205^2+K205^2)))</f>
        <v/>
      </c>
      <c r="Q205" s="12">
        <f>IF(N205="","",IF(N205=0,$B$7,$B$7-Y205*O205/N205))</f>
        <v/>
      </c>
      <c r="R205" s="12">
        <f>IF(N205="","",IF(N205=0,$B$8,$B$8+Y205*P205/N205))</f>
        <v/>
      </c>
      <c r="S205" s="12">
        <f>IFERROR(SQRT((Q205-H205)^2+(R205-I205)^2),"")</f>
        <v/>
      </c>
      <c r="T205">
        <f>178</f>
        <v/>
      </c>
      <c r="U205">
        <f>IF(T205&gt;4*$E$9,"",MIN(INT(T205/$E$9)+1,4))</f>
        <v/>
      </c>
      <c r="V205">
        <f>IF(T205=4*$E$9,-$E$6/2,IF(U205="","",CHOOSE(U205,-$E$6/2+MOD(T205,$E$9)/$E$9*$E$6,$E$6/2,$E$6/2-MOD(T205,$E$9)/$E$9*$E$6,-$E$6/2)))</f>
        <v/>
      </c>
      <c r="W205">
        <f>IF(T205=4*$E$9,-$E$7/2,IF(U205="","",CHOOSE(U205,-$E$7/2,-$E$7/2+MOD(T205,$E$9)/$E$9*$E$7,$E$7/2,$E$7/2-MOD(T205,$E$9)/$E$9*$E$7)))</f>
        <v/>
      </c>
      <c r="X205">
        <f>IF(OR($E$13&lt;&gt;"OK",M205=""),"",IF(M205&lt;=$A$19,$D$19,IF(M205&gt;=INDEX($A$19:$A$2018,$E$12),INDEX($D$19:$D$2018,$E$12),INDEX($D$19:$D$2018,MATCH(M205,$A$19:INDEX($A$19:$A$2018,$E$12),1))+(M205-INDEX($A$19:$A$2018,MATCH(M205,$A$19:INDEX($A$19:$A$2018,$E$12),1)))*(INDEX($D$19:$D$2018,MATCH(M205,$A$19:INDEX($A$19:$A$2018,$E$12),1)+1)-INDEX($D$19:$D$2018,MATCH(M205,$A$19:INDEX($A$19:$A$2018,$E$12),1)))/(INDEX($A$19:$A$2018,MATCH(M205,$A$19:INDEX($A$19:$A$2018,$E$12),1)+1)-INDEX($A$19:$A$2018,MATCH(M205,$A$19:INDEX($A$19:$A$2018,$E$12),1))))))</f>
        <v/>
      </c>
      <c r="Y205">
        <f>IF(X205="","",X205*1000/$B$4)</f>
        <v/>
      </c>
    </row>
    <row r="206">
      <c r="A206" s="10" t="n"/>
      <c r="B206" s="10" t="n"/>
      <c r="C206" s="11">
        <f>IF(A206="","",$B$5*TAN(RADIANS(A206)))</f>
        <v/>
      </c>
      <c r="D206" s="11">
        <f>IF(C206="","",C206*(1+B206/100))</f>
        <v/>
      </c>
      <c r="E206" s="11">
        <f>IF(A206="","",$B$6*TAN(RADIANS(A206)))</f>
        <v/>
      </c>
      <c r="G206" s="12">
        <f>IF(U206="","",T206)</f>
        <v/>
      </c>
      <c r="H206" s="12">
        <f>IF(U206="","",$E$4+V206*COS(RADIANS($E$8))-W206*SIN(RADIANS($E$8)))</f>
        <v/>
      </c>
      <c r="I206" s="12">
        <f>IF(U206="","",$E$5+V206*SIN(RADIANS($E$8))+W206*COS(RADIANS($E$8)))</f>
        <v/>
      </c>
      <c r="J206" s="12">
        <f>IF(H206="","",H206-$B$7)</f>
        <v/>
      </c>
      <c r="K206" s="12">
        <f>IF(I206="","",I206-$B$8)</f>
        <v/>
      </c>
      <c r="L206" s="12">
        <f>IFERROR(SQRT(J206^2+K206^2)*$B$4/1000,"")</f>
        <v/>
      </c>
      <c r="M206" s="12">
        <f>IF(OR($E$13&lt;&gt;"OK",L206=""),"",IF(L206&lt;=$D$19,$A$19,IF(L206&gt;=INDEX($D$19:$D$2018,$E$12),INDEX($A$19:$A$2018,$E$12),INDEX($A$19:$A$2018,MATCH(L206,$D$19:INDEX($D$19:$D$2018,$E$12),1))+(L206-INDEX($D$19:$D$2018,MATCH(L206,$D$19:INDEX($D$19:$D$2018,$E$12),1)))*(INDEX($A$19:$A$2018,MATCH(L206,$D$19:INDEX($D$19:$D$2018,$E$12),1)+1)-INDEX($A$19:$A$2018,MATCH(L206,$D$19:INDEX($D$19:$D$2018,$E$12),1)))/(INDEX($D$19:$D$2018,MATCH(L206,$D$19:INDEX($D$19:$D$2018,$E$12),1)+1)-INDEX($D$19:$D$2018,MATCH(L206,$D$19:INDEX($D$19:$D$2018,$E$12),1))))))</f>
        <v/>
      </c>
      <c r="N206" s="12">
        <f>IF(M206="","",$B$6*TAN(RADIANS(M206)))</f>
        <v/>
      </c>
      <c r="O206" s="12">
        <f>IF(N206="","",IF(L206=0,0,-N206*J206/SQRT(J206^2+K206^2)))</f>
        <v/>
      </c>
      <c r="P206" s="12">
        <f>IF(N206="","",IF(L206=0,0,N206*K206/SQRT(J206^2+K206^2)))</f>
        <v/>
      </c>
      <c r="Q206" s="12">
        <f>IF(N206="","",IF(N206=0,$B$7,$B$7-Y206*O206/N206))</f>
        <v/>
      </c>
      <c r="R206" s="12">
        <f>IF(N206="","",IF(N206=0,$B$8,$B$8+Y206*P206/N206))</f>
        <v/>
      </c>
      <c r="S206" s="12">
        <f>IFERROR(SQRT((Q206-H206)^2+(R206-I206)^2),"")</f>
        <v/>
      </c>
      <c r="T206">
        <f>179</f>
        <v/>
      </c>
      <c r="U206">
        <f>IF(T206&gt;4*$E$9,"",MIN(INT(T206/$E$9)+1,4))</f>
        <v/>
      </c>
      <c r="V206">
        <f>IF(T206=4*$E$9,-$E$6/2,IF(U206="","",CHOOSE(U206,-$E$6/2+MOD(T206,$E$9)/$E$9*$E$6,$E$6/2,$E$6/2-MOD(T206,$E$9)/$E$9*$E$6,-$E$6/2)))</f>
        <v/>
      </c>
      <c r="W206">
        <f>IF(T206=4*$E$9,-$E$7/2,IF(U206="","",CHOOSE(U206,-$E$7/2,-$E$7/2+MOD(T206,$E$9)/$E$9*$E$7,$E$7/2,$E$7/2-MOD(T206,$E$9)/$E$9*$E$7)))</f>
        <v/>
      </c>
      <c r="X206">
        <f>IF(OR($E$13&lt;&gt;"OK",M206=""),"",IF(M206&lt;=$A$19,$D$19,IF(M206&gt;=INDEX($A$19:$A$2018,$E$12),INDEX($D$19:$D$2018,$E$12),INDEX($D$19:$D$2018,MATCH(M206,$A$19:INDEX($A$19:$A$2018,$E$12),1))+(M206-INDEX($A$19:$A$2018,MATCH(M206,$A$19:INDEX($A$19:$A$2018,$E$12),1)))*(INDEX($D$19:$D$2018,MATCH(M206,$A$19:INDEX($A$19:$A$2018,$E$12),1)+1)-INDEX($D$19:$D$2018,MATCH(M206,$A$19:INDEX($A$19:$A$2018,$E$12),1)))/(INDEX($A$19:$A$2018,MATCH(M206,$A$19:INDEX($A$19:$A$2018,$E$12),1)+1)-INDEX($A$19:$A$2018,MATCH(M206,$A$19:INDEX($A$19:$A$2018,$E$12),1))))))</f>
        <v/>
      </c>
      <c r="Y206">
        <f>IF(X206="","",X206*1000/$B$4)</f>
        <v/>
      </c>
    </row>
    <row r="207">
      <c r="A207" s="10" t="n"/>
      <c r="B207" s="10" t="n"/>
      <c r="C207" s="11">
        <f>IF(A207="","",$B$5*TAN(RADIANS(A207)))</f>
        <v/>
      </c>
      <c r="D207" s="11">
        <f>IF(C207="","",C207*(1+B207/100))</f>
        <v/>
      </c>
      <c r="E207" s="11">
        <f>IF(A207="","",$B$6*TAN(RADIANS(A207)))</f>
        <v/>
      </c>
      <c r="G207" s="12">
        <f>IF(U207="","",T207)</f>
        <v/>
      </c>
      <c r="H207" s="12">
        <f>IF(U207="","",$E$4+V207*COS(RADIANS($E$8))-W207*SIN(RADIANS($E$8)))</f>
        <v/>
      </c>
      <c r="I207" s="12">
        <f>IF(U207="","",$E$5+V207*SIN(RADIANS($E$8))+W207*COS(RADIANS($E$8)))</f>
        <v/>
      </c>
      <c r="J207" s="12">
        <f>IF(H207="","",H207-$B$7)</f>
        <v/>
      </c>
      <c r="K207" s="12">
        <f>IF(I207="","",I207-$B$8)</f>
        <v/>
      </c>
      <c r="L207" s="12">
        <f>IFERROR(SQRT(J207^2+K207^2)*$B$4/1000,"")</f>
        <v/>
      </c>
      <c r="M207" s="12">
        <f>IF(OR($E$13&lt;&gt;"OK",L207=""),"",IF(L207&lt;=$D$19,$A$19,IF(L207&gt;=INDEX($D$19:$D$2018,$E$12),INDEX($A$19:$A$2018,$E$12),INDEX($A$19:$A$2018,MATCH(L207,$D$19:INDEX($D$19:$D$2018,$E$12),1))+(L207-INDEX($D$19:$D$2018,MATCH(L207,$D$19:INDEX($D$19:$D$2018,$E$12),1)))*(INDEX($A$19:$A$2018,MATCH(L207,$D$19:INDEX($D$19:$D$2018,$E$12),1)+1)-INDEX($A$19:$A$2018,MATCH(L207,$D$19:INDEX($D$19:$D$2018,$E$12),1)))/(INDEX($D$19:$D$2018,MATCH(L207,$D$19:INDEX($D$19:$D$2018,$E$12),1)+1)-INDEX($D$19:$D$2018,MATCH(L207,$D$19:INDEX($D$19:$D$2018,$E$12),1))))))</f>
        <v/>
      </c>
      <c r="N207" s="12">
        <f>IF(M207="","",$B$6*TAN(RADIANS(M207)))</f>
        <v/>
      </c>
      <c r="O207" s="12">
        <f>IF(N207="","",IF(L207=0,0,-N207*J207/SQRT(J207^2+K207^2)))</f>
        <v/>
      </c>
      <c r="P207" s="12">
        <f>IF(N207="","",IF(L207=0,0,N207*K207/SQRT(J207^2+K207^2)))</f>
        <v/>
      </c>
      <c r="Q207" s="12">
        <f>IF(N207="","",IF(N207=0,$B$7,$B$7-Y207*O207/N207))</f>
        <v/>
      </c>
      <c r="R207" s="12">
        <f>IF(N207="","",IF(N207=0,$B$8,$B$8+Y207*P207/N207))</f>
        <v/>
      </c>
      <c r="S207" s="12">
        <f>IFERROR(SQRT((Q207-H207)^2+(R207-I207)^2),"")</f>
        <v/>
      </c>
      <c r="T207">
        <f>180</f>
        <v/>
      </c>
      <c r="U207">
        <f>IF(T207&gt;4*$E$9,"",MIN(INT(T207/$E$9)+1,4))</f>
        <v/>
      </c>
      <c r="V207">
        <f>IF(T207=4*$E$9,-$E$6/2,IF(U207="","",CHOOSE(U207,-$E$6/2+MOD(T207,$E$9)/$E$9*$E$6,$E$6/2,$E$6/2-MOD(T207,$E$9)/$E$9*$E$6,-$E$6/2)))</f>
        <v/>
      </c>
      <c r="W207">
        <f>IF(T207=4*$E$9,-$E$7/2,IF(U207="","",CHOOSE(U207,-$E$7/2,-$E$7/2+MOD(T207,$E$9)/$E$9*$E$7,$E$7/2,$E$7/2-MOD(T207,$E$9)/$E$9*$E$7)))</f>
        <v/>
      </c>
      <c r="X207">
        <f>IF(OR($E$13&lt;&gt;"OK",M207=""),"",IF(M207&lt;=$A$19,$D$19,IF(M207&gt;=INDEX($A$19:$A$2018,$E$12),INDEX($D$19:$D$2018,$E$12),INDEX($D$19:$D$2018,MATCH(M207,$A$19:INDEX($A$19:$A$2018,$E$12),1))+(M207-INDEX($A$19:$A$2018,MATCH(M207,$A$19:INDEX($A$19:$A$2018,$E$12),1)))*(INDEX($D$19:$D$2018,MATCH(M207,$A$19:INDEX($A$19:$A$2018,$E$12),1)+1)-INDEX($D$19:$D$2018,MATCH(M207,$A$19:INDEX($A$19:$A$2018,$E$12),1)))/(INDEX($A$19:$A$2018,MATCH(M207,$A$19:INDEX($A$19:$A$2018,$E$12),1)+1)-INDEX($A$19:$A$2018,MATCH(M207,$A$19:INDEX($A$19:$A$2018,$E$12),1))))))</f>
        <v/>
      </c>
      <c r="Y207">
        <f>IF(X207="","",X207*1000/$B$4)</f>
        <v/>
      </c>
    </row>
    <row r="208">
      <c r="A208" s="10" t="n"/>
      <c r="B208" s="10" t="n"/>
      <c r="C208" s="11">
        <f>IF(A208="","",$B$5*TAN(RADIANS(A208)))</f>
        <v/>
      </c>
      <c r="D208" s="11">
        <f>IF(C208="","",C208*(1+B208/100))</f>
        <v/>
      </c>
      <c r="E208" s="11">
        <f>IF(A208="","",$B$6*TAN(RADIANS(A208)))</f>
        <v/>
      </c>
      <c r="G208" s="12">
        <f>IF(U208="","",T208)</f>
        <v/>
      </c>
      <c r="H208" s="12">
        <f>IF(U208="","",$E$4+V208*COS(RADIANS($E$8))-W208*SIN(RADIANS($E$8)))</f>
        <v/>
      </c>
      <c r="I208" s="12">
        <f>IF(U208="","",$E$5+V208*SIN(RADIANS($E$8))+W208*COS(RADIANS($E$8)))</f>
        <v/>
      </c>
      <c r="J208" s="12">
        <f>IF(H208="","",H208-$B$7)</f>
        <v/>
      </c>
      <c r="K208" s="12">
        <f>IF(I208="","",I208-$B$8)</f>
        <v/>
      </c>
      <c r="L208" s="12">
        <f>IFERROR(SQRT(J208^2+K208^2)*$B$4/1000,"")</f>
        <v/>
      </c>
      <c r="M208" s="12">
        <f>IF(OR($E$13&lt;&gt;"OK",L208=""),"",IF(L208&lt;=$D$19,$A$19,IF(L208&gt;=INDEX($D$19:$D$2018,$E$12),INDEX($A$19:$A$2018,$E$12),INDEX($A$19:$A$2018,MATCH(L208,$D$19:INDEX($D$19:$D$2018,$E$12),1))+(L208-INDEX($D$19:$D$2018,MATCH(L208,$D$19:INDEX($D$19:$D$2018,$E$12),1)))*(INDEX($A$19:$A$2018,MATCH(L208,$D$19:INDEX($D$19:$D$2018,$E$12),1)+1)-INDEX($A$19:$A$2018,MATCH(L208,$D$19:INDEX($D$19:$D$2018,$E$12),1)))/(INDEX($D$19:$D$2018,MATCH(L208,$D$19:INDEX($D$19:$D$2018,$E$12),1)+1)-INDEX($D$19:$D$2018,MATCH(L208,$D$19:INDEX($D$19:$D$2018,$E$12),1))))))</f>
        <v/>
      </c>
      <c r="N208" s="12">
        <f>IF(M208="","",$B$6*TAN(RADIANS(M208)))</f>
        <v/>
      </c>
      <c r="O208" s="12">
        <f>IF(N208="","",IF(L208=0,0,-N208*J208/SQRT(J208^2+K208^2)))</f>
        <v/>
      </c>
      <c r="P208" s="12">
        <f>IF(N208="","",IF(L208=0,0,N208*K208/SQRT(J208^2+K208^2)))</f>
        <v/>
      </c>
      <c r="Q208" s="12">
        <f>IF(N208="","",IF(N208=0,$B$7,$B$7-Y208*O208/N208))</f>
        <v/>
      </c>
      <c r="R208" s="12">
        <f>IF(N208="","",IF(N208=0,$B$8,$B$8+Y208*P208/N208))</f>
        <v/>
      </c>
      <c r="S208" s="12">
        <f>IFERROR(SQRT((Q208-H208)^2+(R208-I208)^2),"")</f>
        <v/>
      </c>
      <c r="T208">
        <f>181</f>
        <v/>
      </c>
      <c r="U208">
        <f>IF(T208&gt;4*$E$9,"",MIN(INT(T208/$E$9)+1,4))</f>
        <v/>
      </c>
      <c r="V208">
        <f>IF(T208=4*$E$9,-$E$6/2,IF(U208="","",CHOOSE(U208,-$E$6/2+MOD(T208,$E$9)/$E$9*$E$6,$E$6/2,$E$6/2-MOD(T208,$E$9)/$E$9*$E$6,-$E$6/2)))</f>
        <v/>
      </c>
      <c r="W208">
        <f>IF(T208=4*$E$9,-$E$7/2,IF(U208="","",CHOOSE(U208,-$E$7/2,-$E$7/2+MOD(T208,$E$9)/$E$9*$E$7,$E$7/2,$E$7/2-MOD(T208,$E$9)/$E$9*$E$7)))</f>
        <v/>
      </c>
      <c r="X208">
        <f>IF(OR($E$13&lt;&gt;"OK",M208=""),"",IF(M208&lt;=$A$19,$D$19,IF(M208&gt;=INDEX($A$19:$A$2018,$E$12),INDEX($D$19:$D$2018,$E$12),INDEX($D$19:$D$2018,MATCH(M208,$A$19:INDEX($A$19:$A$2018,$E$12),1))+(M208-INDEX($A$19:$A$2018,MATCH(M208,$A$19:INDEX($A$19:$A$2018,$E$12),1)))*(INDEX($D$19:$D$2018,MATCH(M208,$A$19:INDEX($A$19:$A$2018,$E$12),1)+1)-INDEX($D$19:$D$2018,MATCH(M208,$A$19:INDEX($A$19:$A$2018,$E$12),1)))/(INDEX($A$19:$A$2018,MATCH(M208,$A$19:INDEX($A$19:$A$2018,$E$12),1)+1)-INDEX($A$19:$A$2018,MATCH(M208,$A$19:INDEX($A$19:$A$2018,$E$12),1))))))</f>
        <v/>
      </c>
      <c r="Y208">
        <f>IF(X208="","",X208*1000/$B$4)</f>
        <v/>
      </c>
    </row>
    <row r="209">
      <c r="A209" s="10" t="n"/>
      <c r="B209" s="10" t="n"/>
      <c r="C209" s="11">
        <f>IF(A209="","",$B$5*TAN(RADIANS(A209)))</f>
        <v/>
      </c>
      <c r="D209" s="11">
        <f>IF(C209="","",C209*(1+B209/100))</f>
        <v/>
      </c>
      <c r="E209" s="11">
        <f>IF(A209="","",$B$6*TAN(RADIANS(A209)))</f>
        <v/>
      </c>
      <c r="G209" s="12">
        <f>IF(U209="","",T209)</f>
        <v/>
      </c>
      <c r="H209" s="12">
        <f>IF(U209="","",$E$4+V209*COS(RADIANS($E$8))-W209*SIN(RADIANS($E$8)))</f>
        <v/>
      </c>
      <c r="I209" s="12">
        <f>IF(U209="","",$E$5+V209*SIN(RADIANS($E$8))+W209*COS(RADIANS($E$8)))</f>
        <v/>
      </c>
      <c r="J209" s="12">
        <f>IF(H209="","",H209-$B$7)</f>
        <v/>
      </c>
      <c r="K209" s="12">
        <f>IF(I209="","",I209-$B$8)</f>
        <v/>
      </c>
      <c r="L209" s="12">
        <f>IFERROR(SQRT(J209^2+K209^2)*$B$4/1000,"")</f>
        <v/>
      </c>
      <c r="M209" s="12">
        <f>IF(OR($E$13&lt;&gt;"OK",L209=""),"",IF(L209&lt;=$D$19,$A$19,IF(L209&gt;=INDEX($D$19:$D$2018,$E$12),INDEX($A$19:$A$2018,$E$12),INDEX($A$19:$A$2018,MATCH(L209,$D$19:INDEX($D$19:$D$2018,$E$12),1))+(L209-INDEX($D$19:$D$2018,MATCH(L209,$D$19:INDEX($D$19:$D$2018,$E$12),1)))*(INDEX($A$19:$A$2018,MATCH(L209,$D$19:INDEX($D$19:$D$2018,$E$12),1)+1)-INDEX($A$19:$A$2018,MATCH(L209,$D$19:INDEX($D$19:$D$2018,$E$12),1)))/(INDEX($D$19:$D$2018,MATCH(L209,$D$19:INDEX($D$19:$D$2018,$E$12),1)+1)-INDEX($D$19:$D$2018,MATCH(L209,$D$19:INDEX($D$19:$D$2018,$E$12),1))))))</f>
        <v/>
      </c>
      <c r="N209" s="12">
        <f>IF(M209="","",$B$6*TAN(RADIANS(M209)))</f>
        <v/>
      </c>
      <c r="O209" s="12">
        <f>IF(N209="","",IF(L209=0,0,-N209*J209/SQRT(J209^2+K209^2)))</f>
        <v/>
      </c>
      <c r="P209" s="12">
        <f>IF(N209="","",IF(L209=0,0,N209*K209/SQRT(J209^2+K209^2)))</f>
        <v/>
      </c>
      <c r="Q209" s="12">
        <f>IF(N209="","",IF(N209=0,$B$7,$B$7-Y209*O209/N209))</f>
        <v/>
      </c>
      <c r="R209" s="12">
        <f>IF(N209="","",IF(N209=0,$B$8,$B$8+Y209*P209/N209))</f>
        <v/>
      </c>
      <c r="S209" s="12">
        <f>IFERROR(SQRT((Q209-H209)^2+(R209-I209)^2),"")</f>
        <v/>
      </c>
      <c r="T209">
        <f>182</f>
        <v/>
      </c>
      <c r="U209">
        <f>IF(T209&gt;4*$E$9,"",MIN(INT(T209/$E$9)+1,4))</f>
        <v/>
      </c>
      <c r="V209">
        <f>IF(T209=4*$E$9,-$E$6/2,IF(U209="","",CHOOSE(U209,-$E$6/2+MOD(T209,$E$9)/$E$9*$E$6,$E$6/2,$E$6/2-MOD(T209,$E$9)/$E$9*$E$6,-$E$6/2)))</f>
        <v/>
      </c>
      <c r="W209">
        <f>IF(T209=4*$E$9,-$E$7/2,IF(U209="","",CHOOSE(U209,-$E$7/2,-$E$7/2+MOD(T209,$E$9)/$E$9*$E$7,$E$7/2,$E$7/2-MOD(T209,$E$9)/$E$9*$E$7)))</f>
        <v/>
      </c>
      <c r="X209">
        <f>IF(OR($E$13&lt;&gt;"OK",M209=""),"",IF(M209&lt;=$A$19,$D$19,IF(M209&gt;=INDEX($A$19:$A$2018,$E$12),INDEX($D$19:$D$2018,$E$12),INDEX($D$19:$D$2018,MATCH(M209,$A$19:INDEX($A$19:$A$2018,$E$12),1))+(M209-INDEX($A$19:$A$2018,MATCH(M209,$A$19:INDEX($A$19:$A$2018,$E$12),1)))*(INDEX($D$19:$D$2018,MATCH(M209,$A$19:INDEX($A$19:$A$2018,$E$12),1)+1)-INDEX($D$19:$D$2018,MATCH(M209,$A$19:INDEX($A$19:$A$2018,$E$12),1)))/(INDEX($A$19:$A$2018,MATCH(M209,$A$19:INDEX($A$19:$A$2018,$E$12),1)+1)-INDEX($A$19:$A$2018,MATCH(M209,$A$19:INDEX($A$19:$A$2018,$E$12),1))))))</f>
        <v/>
      </c>
      <c r="Y209">
        <f>IF(X209="","",X209*1000/$B$4)</f>
        <v/>
      </c>
    </row>
    <row r="210">
      <c r="A210" s="10" t="n"/>
      <c r="B210" s="10" t="n"/>
      <c r="C210" s="11">
        <f>IF(A210="","",$B$5*TAN(RADIANS(A210)))</f>
        <v/>
      </c>
      <c r="D210" s="11">
        <f>IF(C210="","",C210*(1+B210/100))</f>
        <v/>
      </c>
      <c r="E210" s="11">
        <f>IF(A210="","",$B$6*TAN(RADIANS(A210)))</f>
        <v/>
      </c>
      <c r="G210" s="12">
        <f>IF(U210="","",T210)</f>
        <v/>
      </c>
      <c r="H210" s="12">
        <f>IF(U210="","",$E$4+V210*COS(RADIANS($E$8))-W210*SIN(RADIANS($E$8)))</f>
        <v/>
      </c>
      <c r="I210" s="12">
        <f>IF(U210="","",$E$5+V210*SIN(RADIANS($E$8))+W210*COS(RADIANS($E$8)))</f>
        <v/>
      </c>
      <c r="J210" s="12">
        <f>IF(H210="","",H210-$B$7)</f>
        <v/>
      </c>
      <c r="K210" s="12">
        <f>IF(I210="","",I210-$B$8)</f>
        <v/>
      </c>
      <c r="L210" s="12">
        <f>IFERROR(SQRT(J210^2+K210^2)*$B$4/1000,"")</f>
        <v/>
      </c>
      <c r="M210" s="12">
        <f>IF(OR($E$13&lt;&gt;"OK",L210=""),"",IF(L210&lt;=$D$19,$A$19,IF(L210&gt;=INDEX($D$19:$D$2018,$E$12),INDEX($A$19:$A$2018,$E$12),INDEX($A$19:$A$2018,MATCH(L210,$D$19:INDEX($D$19:$D$2018,$E$12),1))+(L210-INDEX($D$19:$D$2018,MATCH(L210,$D$19:INDEX($D$19:$D$2018,$E$12),1)))*(INDEX($A$19:$A$2018,MATCH(L210,$D$19:INDEX($D$19:$D$2018,$E$12),1)+1)-INDEX($A$19:$A$2018,MATCH(L210,$D$19:INDEX($D$19:$D$2018,$E$12),1)))/(INDEX($D$19:$D$2018,MATCH(L210,$D$19:INDEX($D$19:$D$2018,$E$12),1)+1)-INDEX($D$19:$D$2018,MATCH(L210,$D$19:INDEX($D$19:$D$2018,$E$12),1))))))</f>
        <v/>
      </c>
      <c r="N210" s="12">
        <f>IF(M210="","",$B$6*TAN(RADIANS(M210)))</f>
        <v/>
      </c>
      <c r="O210" s="12">
        <f>IF(N210="","",IF(L210=0,0,-N210*J210/SQRT(J210^2+K210^2)))</f>
        <v/>
      </c>
      <c r="P210" s="12">
        <f>IF(N210="","",IF(L210=0,0,N210*K210/SQRT(J210^2+K210^2)))</f>
        <v/>
      </c>
      <c r="Q210" s="12">
        <f>IF(N210="","",IF(N210=0,$B$7,$B$7-Y210*O210/N210))</f>
        <v/>
      </c>
      <c r="R210" s="12">
        <f>IF(N210="","",IF(N210=0,$B$8,$B$8+Y210*P210/N210))</f>
        <v/>
      </c>
      <c r="S210" s="12">
        <f>IFERROR(SQRT((Q210-H210)^2+(R210-I210)^2),"")</f>
        <v/>
      </c>
      <c r="T210">
        <f>183</f>
        <v/>
      </c>
      <c r="U210">
        <f>IF(T210&gt;4*$E$9,"",MIN(INT(T210/$E$9)+1,4))</f>
        <v/>
      </c>
      <c r="V210">
        <f>IF(T210=4*$E$9,-$E$6/2,IF(U210="","",CHOOSE(U210,-$E$6/2+MOD(T210,$E$9)/$E$9*$E$6,$E$6/2,$E$6/2-MOD(T210,$E$9)/$E$9*$E$6,-$E$6/2)))</f>
        <v/>
      </c>
      <c r="W210">
        <f>IF(T210=4*$E$9,-$E$7/2,IF(U210="","",CHOOSE(U210,-$E$7/2,-$E$7/2+MOD(T210,$E$9)/$E$9*$E$7,$E$7/2,$E$7/2-MOD(T210,$E$9)/$E$9*$E$7)))</f>
        <v/>
      </c>
      <c r="X210">
        <f>IF(OR($E$13&lt;&gt;"OK",M210=""),"",IF(M210&lt;=$A$19,$D$19,IF(M210&gt;=INDEX($A$19:$A$2018,$E$12),INDEX($D$19:$D$2018,$E$12),INDEX($D$19:$D$2018,MATCH(M210,$A$19:INDEX($A$19:$A$2018,$E$12),1))+(M210-INDEX($A$19:$A$2018,MATCH(M210,$A$19:INDEX($A$19:$A$2018,$E$12),1)))*(INDEX($D$19:$D$2018,MATCH(M210,$A$19:INDEX($A$19:$A$2018,$E$12),1)+1)-INDEX($D$19:$D$2018,MATCH(M210,$A$19:INDEX($A$19:$A$2018,$E$12),1)))/(INDEX($A$19:$A$2018,MATCH(M210,$A$19:INDEX($A$19:$A$2018,$E$12),1)+1)-INDEX($A$19:$A$2018,MATCH(M210,$A$19:INDEX($A$19:$A$2018,$E$12),1))))))</f>
        <v/>
      </c>
      <c r="Y210">
        <f>IF(X210="","",X210*1000/$B$4)</f>
        <v/>
      </c>
    </row>
    <row r="211">
      <c r="A211" s="10" t="n"/>
      <c r="B211" s="10" t="n"/>
      <c r="C211" s="11">
        <f>IF(A211="","",$B$5*TAN(RADIANS(A211)))</f>
        <v/>
      </c>
      <c r="D211" s="11">
        <f>IF(C211="","",C211*(1+B211/100))</f>
        <v/>
      </c>
      <c r="E211" s="11">
        <f>IF(A211="","",$B$6*TAN(RADIANS(A211)))</f>
        <v/>
      </c>
      <c r="G211" s="12">
        <f>IF(U211="","",T211)</f>
        <v/>
      </c>
      <c r="H211" s="12">
        <f>IF(U211="","",$E$4+V211*COS(RADIANS($E$8))-W211*SIN(RADIANS($E$8)))</f>
        <v/>
      </c>
      <c r="I211" s="12">
        <f>IF(U211="","",$E$5+V211*SIN(RADIANS($E$8))+W211*COS(RADIANS($E$8)))</f>
        <v/>
      </c>
      <c r="J211" s="12">
        <f>IF(H211="","",H211-$B$7)</f>
        <v/>
      </c>
      <c r="K211" s="12">
        <f>IF(I211="","",I211-$B$8)</f>
        <v/>
      </c>
      <c r="L211" s="12">
        <f>IFERROR(SQRT(J211^2+K211^2)*$B$4/1000,"")</f>
        <v/>
      </c>
      <c r="M211" s="12">
        <f>IF(OR($E$13&lt;&gt;"OK",L211=""),"",IF(L211&lt;=$D$19,$A$19,IF(L211&gt;=INDEX($D$19:$D$2018,$E$12),INDEX($A$19:$A$2018,$E$12),INDEX($A$19:$A$2018,MATCH(L211,$D$19:INDEX($D$19:$D$2018,$E$12),1))+(L211-INDEX($D$19:$D$2018,MATCH(L211,$D$19:INDEX($D$19:$D$2018,$E$12),1)))*(INDEX($A$19:$A$2018,MATCH(L211,$D$19:INDEX($D$19:$D$2018,$E$12),1)+1)-INDEX($A$19:$A$2018,MATCH(L211,$D$19:INDEX($D$19:$D$2018,$E$12),1)))/(INDEX($D$19:$D$2018,MATCH(L211,$D$19:INDEX($D$19:$D$2018,$E$12),1)+1)-INDEX($D$19:$D$2018,MATCH(L211,$D$19:INDEX($D$19:$D$2018,$E$12),1))))))</f>
        <v/>
      </c>
      <c r="N211" s="12">
        <f>IF(M211="","",$B$6*TAN(RADIANS(M211)))</f>
        <v/>
      </c>
      <c r="O211" s="12">
        <f>IF(N211="","",IF(L211=0,0,-N211*J211/SQRT(J211^2+K211^2)))</f>
        <v/>
      </c>
      <c r="P211" s="12">
        <f>IF(N211="","",IF(L211=0,0,N211*K211/SQRT(J211^2+K211^2)))</f>
        <v/>
      </c>
      <c r="Q211" s="12">
        <f>IF(N211="","",IF(N211=0,$B$7,$B$7-Y211*O211/N211))</f>
        <v/>
      </c>
      <c r="R211" s="12">
        <f>IF(N211="","",IF(N211=0,$B$8,$B$8+Y211*P211/N211))</f>
        <v/>
      </c>
      <c r="S211" s="12">
        <f>IFERROR(SQRT((Q211-H211)^2+(R211-I211)^2),"")</f>
        <v/>
      </c>
      <c r="T211">
        <f>184</f>
        <v/>
      </c>
      <c r="U211">
        <f>IF(T211&gt;4*$E$9,"",MIN(INT(T211/$E$9)+1,4))</f>
        <v/>
      </c>
      <c r="V211">
        <f>IF(T211=4*$E$9,-$E$6/2,IF(U211="","",CHOOSE(U211,-$E$6/2+MOD(T211,$E$9)/$E$9*$E$6,$E$6/2,$E$6/2-MOD(T211,$E$9)/$E$9*$E$6,-$E$6/2)))</f>
        <v/>
      </c>
      <c r="W211">
        <f>IF(T211=4*$E$9,-$E$7/2,IF(U211="","",CHOOSE(U211,-$E$7/2,-$E$7/2+MOD(T211,$E$9)/$E$9*$E$7,$E$7/2,$E$7/2-MOD(T211,$E$9)/$E$9*$E$7)))</f>
        <v/>
      </c>
      <c r="X211">
        <f>IF(OR($E$13&lt;&gt;"OK",M211=""),"",IF(M211&lt;=$A$19,$D$19,IF(M211&gt;=INDEX($A$19:$A$2018,$E$12),INDEX($D$19:$D$2018,$E$12),INDEX($D$19:$D$2018,MATCH(M211,$A$19:INDEX($A$19:$A$2018,$E$12),1))+(M211-INDEX($A$19:$A$2018,MATCH(M211,$A$19:INDEX($A$19:$A$2018,$E$12),1)))*(INDEX($D$19:$D$2018,MATCH(M211,$A$19:INDEX($A$19:$A$2018,$E$12),1)+1)-INDEX($D$19:$D$2018,MATCH(M211,$A$19:INDEX($A$19:$A$2018,$E$12),1)))/(INDEX($A$19:$A$2018,MATCH(M211,$A$19:INDEX($A$19:$A$2018,$E$12),1)+1)-INDEX($A$19:$A$2018,MATCH(M211,$A$19:INDEX($A$19:$A$2018,$E$12),1))))))</f>
        <v/>
      </c>
      <c r="Y211">
        <f>IF(X211="","",X211*1000/$B$4)</f>
        <v/>
      </c>
    </row>
    <row r="212">
      <c r="A212" s="10" t="n"/>
      <c r="B212" s="10" t="n"/>
      <c r="C212" s="11">
        <f>IF(A212="","",$B$5*TAN(RADIANS(A212)))</f>
        <v/>
      </c>
      <c r="D212" s="11">
        <f>IF(C212="","",C212*(1+B212/100))</f>
        <v/>
      </c>
      <c r="E212" s="11">
        <f>IF(A212="","",$B$6*TAN(RADIANS(A212)))</f>
        <v/>
      </c>
      <c r="G212" s="12">
        <f>IF(U212="","",T212)</f>
        <v/>
      </c>
      <c r="H212" s="12">
        <f>IF(U212="","",$E$4+V212*COS(RADIANS($E$8))-W212*SIN(RADIANS($E$8)))</f>
        <v/>
      </c>
      <c r="I212" s="12">
        <f>IF(U212="","",$E$5+V212*SIN(RADIANS($E$8))+W212*COS(RADIANS($E$8)))</f>
        <v/>
      </c>
      <c r="J212" s="12">
        <f>IF(H212="","",H212-$B$7)</f>
        <v/>
      </c>
      <c r="K212" s="12">
        <f>IF(I212="","",I212-$B$8)</f>
        <v/>
      </c>
      <c r="L212" s="12">
        <f>IFERROR(SQRT(J212^2+K212^2)*$B$4/1000,"")</f>
        <v/>
      </c>
      <c r="M212" s="12">
        <f>IF(OR($E$13&lt;&gt;"OK",L212=""),"",IF(L212&lt;=$D$19,$A$19,IF(L212&gt;=INDEX($D$19:$D$2018,$E$12),INDEX($A$19:$A$2018,$E$12),INDEX($A$19:$A$2018,MATCH(L212,$D$19:INDEX($D$19:$D$2018,$E$12),1))+(L212-INDEX($D$19:$D$2018,MATCH(L212,$D$19:INDEX($D$19:$D$2018,$E$12),1)))*(INDEX($A$19:$A$2018,MATCH(L212,$D$19:INDEX($D$19:$D$2018,$E$12),1)+1)-INDEX($A$19:$A$2018,MATCH(L212,$D$19:INDEX($D$19:$D$2018,$E$12),1)))/(INDEX($D$19:$D$2018,MATCH(L212,$D$19:INDEX($D$19:$D$2018,$E$12),1)+1)-INDEX($D$19:$D$2018,MATCH(L212,$D$19:INDEX($D$19:$D$2018,$E$12),1))))))</f>
        <v/>
      </c>
      <c r="N212" s="12">
        <f>IF(M212="","",$B$6*TAN(RADIANS(M212)))</f>
        <v/>
      </c>
      <c r="O212" s="12">
        <f>IF(N212="","",IF(L212=0,0,-N212*J212/SQRT(J212^2+K212^2)))</f>
        <v/>
      </c>
      <c r="P212" s="12">
        <f>IF(N212="","",IF(L212=0,0,N212*K212/SQRT(J212^2+K212^2)))</f>
        <v/>
      </c>
      <c r="Q212" s="12">
        <f>IF(N212="","",IF(N212=0,$B$7,$B$7-Y212*O212/N212))</f>
        <v/>
      </c>
      <c r="R212" s="12">
        <f>IF(N212="","",IF(N212=0,$B$8,$B$8+Y212*P212/N212))</f>
        <v/>
      </c>
      <c r="S212" s="12">
        <f>IFERROR(SQRT((Q212-H212)^2+(R212-I212)^2),"")</f>
        <v/>
      </c>
      <c r="T212">
        <f>185</f>
        <v/>
      </c>
      <c r="U212">
        <f>IF(T212&gt;4*$E$9,"",MIN(INT(T212/$E$9)+1,4))</f>
        <v/>
      </c>
      <c r="V212">
        <f>IF(T212=4*$E$9,-$E$6/2,IF(U212="","",CHOOSE(U212,-$E$6/2+MOD(T212,$E$9)/$E$9*$E$6,$E$6/2,$E$6/2-MOD(T212,$E$9)/$E$9*$E$6,-$E$6/2)))</f>
        <v/>
      </c>
      <c r="W212">
        <f>IF(T212=4*$E$9,-$E$7/2,IF(U212="","",CHOOSE(U212,-$E$7/2,-$E$7/2+MOD(T212,$E$9)/$E$9*$E$7,$E$7/2,$E$7/2-MOD(T212,$E$9)/$E$9*$E$7)))</f>
        <v/>
      </c>
      <c r="X212">
        <f>IF(OR($E$13&lt;&gt;"OK",M212=""),"",IF(M212&lt;=$A$19,$D$19,IF(M212&gt;=INDEX($A$19:$A$2018,$E$12),INDEX($D$19:$D$2018,$E$12),INDEX($D$19:$D$2018,MATCH(M212,$A$19:INDEX($A$19:$A$2018,$E$12),1))+(M212-INDEX($A$19:$A$2018,MATCH(M212,$A$19:INDEX($A$19:$A$2018,$E$12),1)))*(INDEX($D$19:$D$2018,MATCH(M212,$A$19:INDEX($A$19:$A$2018,$E$12),1)+1)-INDEX($D$19:$D$2018,MATCH(M212,$A$19:INDEX($A$19:$A$2018,$E$12),1)))/(INDEX($A$19:$A$2018,MATCH(M212,$A$19:INDEX($A$19:$A$2018,$E$12),1)+1)-INDEX($A$19:$A$2018,MATCH(M212,$A$19:INDEX($A$19:$A$2018,$E$12),1))))))</f>
        <v/>
      </c>
      <c r="Y212">
        <f>IF(X212="","",X212*1000/$B$4)</f>
        <v/>
      </c>
    </row>
    <row r="213">
      <c r="A213" s="10" t="n"/>
      <c r="B213" s="10" t="n"/>
      <c r="C213" s="11">
        <f>IF(A213="","",$B$5*TAN(RADIANS(A213)))</f>
        <v/>
      </c>
      <c r="D213" s="11">
        <f>IF(C213="","",C213*(1+B213/100))</f>
        <v/>
      </c>
      <c r="E213" s="11">
        <f>IF(A213="","",$B$6*TAN(RADIANS(A213)))</f>
        <v/>
      </c>
      <c r="G213" s="12">
        <f>IF(U213="","",T213)</f>
        <v/>
      </c>
      <c r="H213" s="12">
        <f>IF(U213="","",$E$4+V213*COS(RADIANS($E$8))-W213*SIN(RADIANS($E$8)))</f>
        <v/>
      </c>
      <c r="I213" s="12">
        <f>IF(U213="","",$E$5+V213*SIN(RADIANS($E$8))+W213*COS(RADIANS($E$8)))</f>
        <v/>
      </c>
      <c r="J213" s="12">
        <f>IF(H213="","",H213-$B$7)</f>
        <v/>
      </c>
      <c r="K213" s="12">
        <f>IF(I213="","",I213-$B$8)</f>
        <v/>
      </c>
      <c r="L213" s="12">
        <f>IFERROR(SQRT(J213^2+K213^2)*$B$4/1000,"")</f>
        <v/>
      </c>
      <c r="M213" s="12">
        <f>IF(OR($E$13&lt;&gt;"OK",L213=""),"",IF(L213&lt;=$D$19,$A$19,IF(L213&gt;=INDEX($D$19:$D$2018,$E$12),INDEX($A$19:$A$2018,$E$12),INDEX($A$19:$A$2018,MATCH(L213,$D$19:INDEX($D$19:$D$2018,$E$12),1))+(L213-INDEX($D$19:$D$2018,MATCH(L213,$D$19:INDEX($D$19:$D$2018,$E$12),1)))*(INDEX($A$19:$A$2018,MATCH(L213,$D$19:INDEX($D$19:$D$2018,$E$12),1)+1)-INDEX($A$19:$A$2018,MATCH(L213,$D$19:INDEX($D$19:$D$2018,$E$12),1)))/(INDEX($D$19:$D$2018,MATCH(L213,$D$19:INDEX($D$19:$D$2018,$E$12),1)+1)-INDEX($D$19:$D$2018,MATCH(L213,$D$19:INDEX($D$19:$D$2018,$E$12),1))))))</f>
        <v/>
      </c>
      <c r="N213" s="12">
        <f>IF(M213="","",$B$6*TAN(RADIANS(M213)))</f>
        <v/>
      </c>
      <c r="O213" s="12">
        <f>IF(N213="","",IF(L213=0,0,-N213*J213/SQRT(J213^2+K213^2)))</f>
        <v/>
      </c>
      <c r="P213" s="12">
        <f>IF(N213="","",IF(L213=0,0,N213*K213/SQRT(J213^2+K213^2)))</f>
        <v/>
      </c>
      <c r="Q213" s="12">
        <f>IF(N213="","",IF(N213=0,$B$7,$B$7-Y213*O213/N213))</f>
        <v/>
      </c>
      <c r="R213" s="12">
        <f>IF(N213="","",IF(N213=0,$B$8,$B$8+Y213*P213/N213))</f>
        <v/>
      </c>
      <c r="S213" s="12">
        <f>IFERROR(SQRT((Q213-H213)^2+(R213-I213)^2),"")</f>
        <v/>
      </c>
      <c r="T213">
        <f>186</f>
        <v/>
      </c>
      <c r="U213">
        <f>IF(T213&gt;4*$E$9,"",MIN(INT(T213/$E$9)+1,4))</f>
        <v/>
      </c>
      <c r="V213">
        <f>IF(T213=4*$E$9,-$E$6/2,IF(U213="","",CHOOSE(U213,-$E$6/2+MOD(T213,$E$9)/$E$9*$E$6,$E$6/2,$E$6/2-MOD(T213,$E$9)/$E$9*$E$6,-$E$6/2)))</f>
        <v/>
      </c>
      <c r="W213">
        <f>IF(T213=4*$E$9,-$E$7/2,IF(U213="","",CHOOSE(U213,-$E$7/2,-$E$7/2+MOD(T213,$E$9)/$E$9*$E$7,$E$7/2,$E$7/2-MOD(T213,$E$9)/$E$9*$E$7)))</f>
        <v/>
      </c>
      <c r="X213">
        <f>IF(OR($E$13&lt;&gt;"OK",M213=""),"",IF(M213&lt;=$A$19,$D$19,IF(M213&gt;=INDEX($A$19:$A$2018,$E$12),INDEX($D$19:$D$2018,$E$12),INDEX($D$19:$D$2018,MATCH(M213,$A$19:INDEX($A$19:$A$2018,$E$12),1))+(M213-INDEX($A$19:$A$2018,MATCH(M213,$A$19:INDEX($A$19:$A$2018,$E$12),1)))*(INDEX($D$19:$D$2018,MATCH(M213,$A$19:INDEX($A$19:$A$2018,$E$12),1)+1)-INDEX($D$19:$D$2018,MATCH(M213,$A$19:INDEX($A$19:$A$2018,$E$12),1)))/(INDEX($A$19:$A$2018,MATCH(M213,$A$19:INDEX($A$19:$A$2018,$E$12),1)+1)-INDEX($A$19:$A$2018,MATCH(M213,$A$19:INDEX($A$19:$A$2018,$E$12),1))))))</f>
        <v/>
      </c>
      <c r="Y213">
        <f>IF(X213="","",X213*1000/$B$4)</f>
        <v/>
      </c>
    </row>
    <row r="214">
      <c r="A214" s="10" t="n"/>
      <c r="B214" s="10" t="n"/>
      <c r="C214" s="11">
        <f>IF(A214="","",$B$5*TAN(RADIANS(A214)))</f>
        <v/>
      </c>
      <c r="D214" s="11">
        <f>IF(C214="","",C214*(1+B214/100))</f>
        <v/>
      </c>
      <c r="E214" s="11">
        <f>IF(A214="","",$B$6*TAN(RADIANS(A214)))</f>
        <v/>
      </c>
      <c r="G214" s="12">
        <f>IF(U214="","",T214)</f>
        <v/>
      </c>
      <c r="H214" s="12">
        <f>IF(U214="","",$E$4+V214*COS(RADIANS($E$8))-W214*SIN(RADIANS($E$8)))</f>
        <v/>
      </c>
      <c r="I214" s="12">
        <f>IF(U214="","",$E$5+V214*SIN(RADIANS($E$8))+W214*COS(RADIANS($E$8)))</f>
        <v/>
      </c>
      <c r="J214" s="12">
        <f>IF(H214="","",H214-$B$7)</f>
        <v/>
      </c>
      <c r="K214" s="12">
        <f>IF(I214="","",I214-$B$8)</f>
        <v/>
      </c>
      <c r="L214" s="12">
        <f>IFERROR(SQRT(J214^2+K214^2)*$B$4/1000,"")</f>
        <v/>
      </c>
      <c r="M214" s="12">
        <f>IF(OR($E$13&lt;&gt;"OK",L214=""),"",IF(L214&lt;=$D$19,$A$19,IF(L214&gt;=INDEX($D$19:$D$2018,$E$12),INDEX($A$19:$A$2018,$E$12),INDEX($A$19:$A$2018,MATCH(L214,$D$19:INDEX($D$19:$D$2018,$E$12),1))+(L214-INDEX($D$19:$D$2018,MATCH(L214,$D$19:INDEX($D$19:$D$2018,$E$12),1)))*(INDEX($A$19:$A$2018,MATCH(L214,$D$19:INDEX($D$19:$D$2018,$E$12),1)+1)-INDEX($A$19:$A$2018,MATCH(L214,$D$19:INDEX($D$19:$D$2018,$E$12),1)))/(INDEX($D$19:$D$2018,MATCH(L214,$D$19:INDEX($D$19:$D$2018,$E$12),1)+1)-INDEX($D$19:$D$2018,MATCH(L214,$D$19:INDEX($D$19:$D$2018,$E$12),1))))))</f>
        <v/>
      </c>
      <c r="N214" s="12">
        <f>IF(M214="","",$B$6*TAN(RADIANS(M214)))</f>
        <v/>
      </c>
      <c r="O214" s="12">
        <f>IF(N214="","",IF(L214=0,0,-N214*J214/SQRT(J214^2+K214^2)))</f>
        <v/>
      </c>
      <c r="P214" s="12">
        <f>IF(N214="","",IF(L214=0,0,N214*K214/SQRT(J214^2+K214^2)))</f>
        <v/>
      </c>
      <c r="Q214" s="12">
        <f>IF(N214="","",IF(N214=0,$B$7,$B$7-Y214*O214/N214))</f>
        <v/>
      </c>
      <c r="R214" s="12">
        <f>IF(N214="","",IF(N214=0,$B$8,$B$8+Y214*P214/N214))</f>
        <v/>
      </c>
      <c r="S214" s="12">
        <f>IFERROR(SQRT((Q214-H214)^2+(R214-I214)^2),"")</f>
        <v/>
      </c>
      <c r="T214">
        <f>187</f>
        <v/>
      </c>
      <c r="U214">
        <f>IF(T214&gt;4*$E$9,"",MIN(INT(T214/$E$9)+1,4))</f>
        <v/>
      </c>
      <c r="V214">
        <f>IF(T214=4*$E$9,-$E$6/2,IF(U214="","",CHOOSE(U214,-$E$6/2+MOD(T214,$E$9)/$E$9*$E$6,$E$6/2,$E$6/2-MOD(T214,$E$9)/$E$9*$E$6,-$E$6/2)))</f>
        <v/>
      </c>
      <c r="W214">
        <f>IF(T214=4*$E$9,-$E$7/2,IF(U214="","",CHOOSE(U214,-$E$7/2,-$E$7/2+MOD(T214,$E$9)/$E$9*$E$7,$E$7/2,$E$7/2-MOD(T214,$E$9)/$E$9*$E$7)))</f>
        <v/>
      </c>
      <c r="X214">
        <f>IF(OR($E$13&lt;&gt;"OK",M214=""),"",IF(M214&lt;=$A$19,$D$19,IF(M214&gt;=INDEX($A$19:$A$2018,$E$12),INDEX($D$19:$D$2018,$E$12),INDEX($D$19:$D$2018,MATCH(M214,$A$19:INDEX($A$19:$A$2018,$E$12),1))+(M214-INDEX($A$19:$A$2018,MATCH(M214,$A$19:INDEX($A$19:$A$2018,$E$12),1)))*(INDEX($D$19:$D$2018,MATCH(M214,$A$19:INDEX($A$19:$A$2018,$E$12),1)+1)-INDEX($D$19:$D$2018,MATCH(M214,$A$19:INDEX($A$19:$A$2018,$E$12),1)))/(INDEX($A$19:$A$2018,MATCH(M214,$A$19:INDEX($A$19:$A$2018,$E$12),1)+1)-INDEX($A$19:$A$2018,MATCH(M214,$A$19:INDEX($A$19:$A$2018,$E$12),1))))))</f>
        <v/>
      </c>
      <c r="Y214">
        <f>IF(X214="","",X214*1000/$B$4)</f>
        <v/>
      </c>
    </row>
    <row r="215">
      <c r="A215" s="10" t="n"/>
      <c r="B215" s="10" t="n"/>
      <c r="C215" s="11">
        <f>IF(A215="","",$B$5*TAN(RADIANS(A215)))</f>
        <v/>
      </c>
      <c r="D215" s="11">
        <f>IF(C215="","",C215*(1+B215/100))</f>
        <v/>
      </c>
      <c r="E215" s="11">
        <f>IF(A215="","",$B$6*TAN(RADIANS(A215)))</f>
        <v/>
      </c>
      <c r="G215" s="12">
        <f>IF(U215="","",T215)</f>
        <v/>
      </c>
      <c r="H215" s="12">
        <f>IF(U215="","",$E$4+V215*COS(RADIANS($E$8))-W215*SIN(RADIANS($E$8)))</f>
        <v/>
      </c>
      <c r="I215" s="12">
        <f>IF(U215="","",$E$5+V215*SIN(RADIANS($E$8))+W215*COS(RADIANS($E$8)))</f>
        <v/>
      </c>
      <c r="J215" s="12">
        <f>IF(H215="","",H215-$B$7)</f>
        <v/>
      </c>
      <c r="K215" s="12">
        <f>IF(I215="","",I215-$B$8)</f>
        <v/>
      </c>
      <c r="L215" s="12">
        <f>IFERROR(SQRT(J215^2+K215^2)*$B$4/1000,"")</f>
        <v/>
      </c>
      <c r="M215" s="12">
        <f>IF(OR($E$13&lt;&gt;"OK",L215=""),"",IF(L215&lt;=$D$19,$A$19,IF(L215&gt;=INDEX($D$19:$D$2018,$E$12),INDEX($A$19:$A$2018,$E$12),INDEX($A$19:$A$2018,MATCH(L215,$D$19:INDEX($D$19:$D$2018,$E$12),1))+(L215-INDEX($D$19:$D$2018,MATCH(L215,$D$19:INDEX($D$19:$D$2018,$E$12),1)))*(INDEX($A$19:$A$2018,MATCH(L215,$D$19:INDEX($D$19:$D$2018,$E$12),1)+1)-INDEX($A$19:$A$2018,MATCH(L215,$D$19:INDEX($D$19:$D$2018,$E$12),1)))/(INDEX($D$19:$D$2018,MATCH(L215,$D$19:INDEX($D$19:$D$2018,$E$12),1)+1)-INDEX($D$19:$D$2018,MATCH(L215,$D$19:INDEX($D$19:$D$2018,$E$12),1))))))</f>
        <v/>
      </c>
      <c r="N215" s="12">
        <f>IF(M215="","",$B$6*TAN(RADIANS(M215)))</f>
        <v/>
      </c>
      <c r="O215" s="12">
        <f>IF(N215="","",IF(L215=0,0,-N215*J215/SQRT(J215^2+K215^2)))</f>
        <v/>
      </c>
      <c r="P215" s="12">
        <f>IF(N215="","",IF(L215=0,0,N215*K215/SQRT(J215^2+K215^2)))</f>
        <v/>
      </c>
      <c r="Q215" s="12">
        <f>IF(N215="","",IF(N215=0,$B$7,$B$7-Y215*O215/N215))</f>
        <v/>
      </c>
      <c r="R215" s="12">
        <f>IF(N215="","",IF(N215=0,$B$8,$B$8+Y215*P215/N215))</f>
        <v/>
      </c>
      <c r="S215" s="12">
        <f>IFERROR(SQRT((Q215-H215)^2+(R215-I215)^2),"")</f>
        <v/>
      </c>
      <c r="T215">
        <f>188</f>
        <v/>
      </c>
      <c r="U215">
        <f>IF(T215&gt;4*$E$9,"",MIN(INT(T215/$E$9)+1,4))</f>
        <v/>
      </c>
      <c r="V215">
        <f>IF(T215=4*$E$9,-$E$6/2,IF(U215="","",CHOOSE(U215,-$E$6/2+MOD(T215,$E$9)/$E$9*$E$6,$E$6/2,$E$6/2-MOD(T215,$E$9)/$E$9*$E$6,-$E$6/2)))</f>
        <v/>
      </c>
      <c r="W215">
        <f>IF(T215=4*$E$9,-$E$7/2,IF(U215="","",CHOOSE(U215,-$E$7/2,-$E$7/2+MOD(T215,$E$9)/$E$9*$E$7,$E$7/2,$E$7/2-MOD(T215,$E$9)/$E$9*$E$7)))</f>
        <v/>
      </c>
      <c r="X215">
        <f>IF(OR($E$13&lt;&gt;"OK",M215=""),"",IF(M215&lt;=$A$19,$D$19,IF(M215&gt;=INDEX($A$19:$A$2018,$E$12),INDEX($D$19:$D$2018,$E$12),INDEX($D$19:$D$2018,MATCH(M215,$A$19:INDEX($A$19:$A$2018,$E$12),1))+(M215-INDEX($A$19:$A$2018,MATCH(M215,$A$19:INDEX($A$19:$A$2018,$E$12),1)))*(INDEX($D$19:$D$2018,MATCH(M215,$A$19:INDEX($A$19:$A$2018,$E$12),1)+1)-INDEX($D$19:$D$2018,MATCH(M215,$A$19:INDEX($A$19:$A$2018,$E$12),1)))/(INDEX($A$19:$A$2018,MATCH(M215,$A$19:INDEX($A$19:$A$2018,$E$12),1)+1)-INDEX($A$19:$A$2018,MATCH(M215,$A$19:INDEX($A$19:$A$2018,$E$12),1))))))</f>
        <v/>
      </c>
      <c r="Y215">
        <f>IF(X215="","",X215*1000/$B$4)</f>
        <v/>
      </c>
    </row>
    <row r="216">
      <c r="A216" s="10" t="n"/>
      <c r="B216" s="10" t="n"/>
      <c r="C216" s="11">
        <f>IF(A216="","",$B$5*TAN(RADIANS(A216)))</f>
        <v/>
      </c>
      <c r="D216" s="11">
        <f>IF(C216="","",C216*(1+B216/100))</f>
        <v/>
      </c>
      <c r="E216" s="11">
        <f>IF(A216="","",$B$6*TAN(RADIANS(A216)))</f>
        <v/>
      </c>
      <c r="G216" s="12">
        <f>IF(U216="","",T216)</f>
        <v/>
      </c>
      <c r="H216" s="12">
        <f>IF(U216="","",$E$4+V216*COS(RADIANS($E$8))-W216*SIN(RADIANS($E$8)))</f>
        <v/>
      </c>
      <c r="I216" s="12">
        <f>IF(U216="","",$E$5+V216*SIN(RADIANS($E$8))+W216*COS(RADIANS($E$8)))</f>
        <v/>
      </c>
      <c r="J216" s="12">
        <f>IF(H216="","",H216-$B$7)</f>
        <v/>
      </c>
      <c r="K216" s="12">
        <f>IF(I216="","",I216-$B$8)</f>
        <v/>
      </c>
      <c r="L216" s="12">
        <f>IFERROR(SQRT(J216^2+K216^2)*$B$4/1000,"")</f>
        <v/>
      </c>
      <c r="M216" s="12">
        <f>IF(OR($E$13&lt;&gt;"OK",L216=""),"",IF(L216&lt;=$D$19,$A$19,IF(L216&gt;=INDEX($D$19:$D$2018,$E$12),INDEX($A$19:$A$2018,$E$12),INDEX($A$19:$A$2018,MATCH(L216,$D$19:INDEX($D$19:$D$2018,$E$12),1))+(L216-INDEX($D$19:$D$2018,MATCH(L216,$D$19:INDEX($D$19:$D$2018,$E$12),1)))*(INDEX($A$19:$A$2018,MATCH(L216,$D$19:INDEX($D$19:$D$2018,$E$12),1)+1)-INDEX($A$19:$A$2018,MATCH(L216,$D$19:INDEX($D$19:$D$2018,$E$12),1)))/(INDEX($D$19:$D$2018,MATCH(L216,$D$19:INDEX($D$19:$D$2018,$E$12),1)+1)-INDEX($D$19:$D$2018,MATCH(L216,$D$19:INDEX($D$19:$D$2018,$E$12),1))))))</f>
        <v/>
      </c>
      <c r="N216" s="12">
        <f>IF(M216="","",$B$6*TAN(RADIANS(M216)))</f>
        <v/>
      </c>
      <c r="O216" s="12">
        <f>IF(N216="","",IF(L216=0,0,-N216*J216/SQRT(J216^2+K216^2)))</f>
        <v/>
      </c>
      <c r="P216" s="12">
        <f>IF(N216="","",IF(L216=0,0,N216*K216/SQRT(J216^2+K216^2)))</f>
        <v/>
      </c>
      <c r="Q216" s="12">
        <f>IF(N216="","",IF(N216=0,$B$7,$B$7-Y216*O216/N216))</f>
        <v/>
      </c>
      <c r="R216" s="12">
        <f>IF(N216="","",IF(N216=0,$B$8,$B$8+Y216*P216/N216))</f>
        <v/>
      </c>
      <c r="S216" s="12">
        <f>IFERROR(SQRT((Q216-H216)^2+(R216-I216)^2),"")</f>
        <v/>
      </c>
      <c r="T216">
        <f>189</f>
        <v/>
      </c>
      <c r="U216">
        <f>IF(T216&gt;4*$E$9,"",MIN(INT(T216/$E$9)+1,4))</f>
        <v/>
      </c>
      <c r="V216">
        <f>IF(T216=4*$E$9,-$E$6/2,IF(U216="","",CHOOSE(U216,-$E$6/2+MOD(T216,$E$9)/$E$9*$E$6,$E$6/2,$E$6/2-MOD(T216,$E$9)/$E$9*$E$6,-$E$6/2)))</f>
        <v/>
      </c>
      <c r="W216">
        <f>IF(T216=4*$E$9,-$E$7/2,IF(U216="","",CHOOSE(U216,-$E$7/2,-$E$7/2+MOD(T216,$E$9)/$E$9*$E$7,$E$7/2,$E$7/2-MOD(T216,$E$9)/$E$9*$E$7)))</f>
        <v/>
      </c>
      <c r="X216">
        <f>IF(OR($E$13&lt;&gt;"OK",M216=""),"",IF(M216&lt;=$A$19,$D$19,IF(M216&gt;=INDEX($A$19:$A$2018,$E$12),INDEX($D$19:$D$2018,$E$12),INDEX($D$19:$D$2018,MATCH(M216,$A$19:INDEX($A$19:$A$2018,$E$12),1))+(M216-INDEX($A$19:$A$2018,MATCH(M216,$A$19:INDEX($A$19:$A$2018,$E$12),1)))*(INDEX($D$19:$D$2018,MATCH(M216,$A$19:INDEX($A$19:$A$2018,$E$12),1)+1)-INDEX($D$19:$D$2018,MATCH(M216,$A$19:INDEX($A$19:$A$2018,$E$12),1)))/(INDEX($A$19:$A$2018,MATCH(M216,$A$19:INDEX($A$19:$A$2018,$E$12),1)+1)-INDEX($A$19:$A$2018,MATCH(M216,$A$19:INDEX($A$19:$A$2018,$E$12),1))))))</f>
        <v/>
      </c>
      <c r="Y216">
        <f>IF(X216="","",X216*1000/$B$4)</f>
        <v/>
      </c>
    </row>
    <row r="217">
      <c r="A217" s="10" t="n"/>
      <c r="B217" s="10" t="n"/>
      <c r="C217" s="11">
        <f>IF(A217="","",$B$5*TAN(RADIANS(A217)))</f>
        <v/>
      </c>
      <c r="D217" s="11">
        <f>IF(C217="","",C217*(1+B217/100))</f>
        <v/>
      </c>
      <c r="E217" s="11">
        <f>IF(A217="","",$B$6*TAN(RADIANS(A217)))</f>
        <v/>
      </c>
      <c r="G217" s="12">
        <f>IF(U217="","",T217)</f>
        <v/>
      </c>
      <c r="H217" s="12">
        <f>IF(U217="","",$E$4+V217*COS(RADIANS($E$8))-W217*SIN(RADIANS($E$8)))</f>
        <v/>
      </c>
      <c r="I217" s="12">
        <f>IF(U217="","",$E$5+V217*SIN(RADIANS($E$8))+W217*COS(RADIANS($E$8)))</f>
        <v/>
      </c>
      <c r="J217" s="12">
        <f>IF(H217="","",H217-$B$7)</f>
        <v/>
      </c>
      <c r="K217" s="12">
        <f>IF(I217="","",I217-$B$8)</f>
        <v/>
      </c>
      <c r="L217" s="12">
        <f>IFERROR(SQRT(J217^2+K217^2)*$B$4/1000,"")</f>
        <v/>
      </c>
      <c r="M217" s="12">
        <f>IF(OR($E$13&lt;&gt;"OK",L217=""),"",IF(L217&lt;=$D$19,$A$19,IF(L217&gt;=INDEX($D$19:$D$2018,$E$12),INDEX($A$19:$A$2018,$E$12),INDEX($A$19:$A$2018,MATCH(L217,$D$19:INDEX($D$19:$D$2018,$E$12),1))+(L217-INDEX($D$19:$D$2018,MATCH(L217,$D$19:INDEX($D$19:$D$2018,$E$12),1)))*(INDEX($A$19:$A$2018,MATCH(L217,$D$19:INDEX($D$19:$D$2018,$E$12),1)+1)-INDEX($A$19:$A$2018,MATCH(L217,$D$19:INDEX($D$19:$D$2018,$E$12),1)))/(INDEX($D$19:$D$2018,MATCH(L217,$D$19:INDEX($D$19:$D$2018,$E$12),1)+1)-INDEX($D$19:$D$2018,MATCH(L217,$D$19:INDEX($D$19:$D$2018,$E$12),1))))))</f>
        <v/>
      </c>
      <c r="N217" s="12">
        <f>IF(M217="","",$B$6*TAN(RADIANS(M217)))</f>
        <v/>
      </c>
      <c r="O217" s="12">
        <f>IF(N217="","",IF(L217=0,0,-N217*J217/SQRT(J217^2+K217^2)))</f>
        <v/>
      </c>
      <c r="P217" s="12">
        <f>IF(N217="","",IF(L217=0,0,N217*K217/SQRT(J217^2+K217^2)))</f>
        <v/>
      </c>
      <c r="Q217" s="12">
        <f>IF(N217="","",IF(N217=0,$B$7,$B$7-Y217*O217/N217))</f>
        <v/>
      </c>
      <c r="R217" s="12">
        <f>IF(N217="","",IF(N217=0,$B$8,$B$8+Y217*P217/N217))</f>
        <v/>
      </c>
      <c r="S217" s="12">
        <f>IFERROR(SQRT((Q217-H217)^2+(R217-I217)^2),"")</f>
        <v/>
      </c>
      <c r="T217">
        <f>190</f>
        <v/>
      </c>
      <c r="U217">
        <f>IF(T217&gt;4*$E$9,"",MIN(INT(T217/$E$9)+1,4))</f>
        <v/>
      </c>
      <c r="V217">
        <f>IF(T217=4*$E$9,-$E$6/2,IF(U217="","",CHOOSE(U217,-$E$6/2+MOD(T217,$E$9)/$E$9*$E$6,$E$6/2,$E$6/2-MOD(T217,$E$9)/$E$9*$E$6,-$E$6/2)))</f>
        <v/>
      </c>
      <c r="W217">
        <f>IF(T217=4*$E$9,-$E$7/2,IF(U217="","",CHOOSE(U217,-$E$7/2,-$E$7/2+MOD(T217,$E$9)/$E$9*$E$7,$E$7/2,$E$7/2-MOD(T217,$E$9)/$E$9*$E$7)))</f>
        <v/>
      </c>
      <c r="X217">
        <f>IF(OR($E$13&lt;&gt;"OK",M217=""),"",IF(M217&lt;=$A$19,$D$19,IF(M217&gt;=INDEX($A$19:$A$2018,$E$12),INDEX($D$19:$D$2018,$E$12),INDEX($D$19:$D$2018,MATCH(M217,$A$19:INDEX($A$19:$A$2018,$E$12),1))+(M217-INDEX($A$19:$A$2018,MATCH(M217,$A$19:INDEX($A$19:$A$2018,$E$12),1)))*(INDEX($D$19:$D$2018,MATCH(M217,$A$19:INDEX($A$19:$A$2018,$E$12),1)+1)-INDEX($D$19:$D$2018,MATCH(M217,$A$19:INDEX($A$19:$A$2018,$E$12),1)))/(INDEX($A$19:$A$2018,MATCH(M217,$A$19:INDEX($A$19:$A$2018,$E$12),1)+1)-INDEX($A$19:$A$2018,MATCH(M217,$A$19:INDEX($A$19:$A$2018,$E$12),1))))))</f>
        <v/>
      </c>
      <c r="Y217">
        <f>IF(X217="","",X217*1000/$B$4)</f>
        <v/>
      </c>
    </row>
    <row r="218">
      <c r="A218" s="10" t="n"/>
      <c r="B218" s="10" t="n"/>
      <c r="C218" s="11">
        <f>IF(A218="","",$B$5*TAN(RADIANS(A218)))</f>
        <v/>
      </c>
      <c r="D218" s="11">
        <f>IF(C218="","",C218*(1+B218/100))</f>
        <v/>
      </c>
      <c r="E218" s="11">
        <f>IF(A218="","",$B$6*TAN(RADIANS(A218)))</f>
        <v/>
      </c>
      <c r="G218" s="12">
        <f>IF(U218="","",T218)</f>
        <v/>
      </c>
      <c r="H218" s="12">
        <f>IF(U218="","",$E$4+V218*COS(RADIANS($E$8))-W218*SIN(RADIANS($E$8)))</f>
        <v/>
      </c>
      <c r="I218" s="12">
        <f>IF(U218="","",$E$5+V218*SIN(RADIANS($E$8))+W218*COS(RADIANS($E$8)))</f>
        <v/>
      </c>
      <c r="J218" s="12">
        <f>IF(H218="","",H218-$B$7)</f>
        <v/>
      </c>
      <c r="K218" s="12">
        <f>IF(I218="","",I218-$B$8)</f>
        <v/>
      </c>
      <c r="L218" s="12">
        <f>IFERROR(SQRT(J218^2+K218^2)*$B$4/1000,"")</f>
        <v/>
      </c>
      <c r="M218" s="12">
        <f>IF(OR($E$13&lt;&gt;"OK",L218=""),"",IF(L218&lt;=$D$19,$A$19,IF(L218&gt;=INDEX($D$19:$D$2018,$E$12),INDEX($A$19:$A$2018,$E$12),INDEX($A$19:$A$2018,MATCH(L218,$D$19:INDEX($D$19:$D$2018,$E$12),1))+(L218-INDEX($D$19:$D$2018,MATCH(L218,$D$19:INDEX($D$19:$D$2018,$E$12),1)))*(INDEX($A$19:$A$2018,MATCH(L218,$D$19:INDEX($D$19:$D$2018,$E$12),1)+1)-INDEX($A$19:$A$2018,MATCH(L218,$D$19:INDEX($D$19:$D$2018,$E$12),1)))/(INDEX($D$19:$D$2018,MATCH(L218,$D$19:INDEX($D$19:$D$2018,$E$12),1)+1)-INDEX($D$19:$D$2018,MATCH(L218,$D$19:INDEX($D$19:$D$2018,$E$12),1))))))</f>
        <v/>
      </c>
      <c r="N218" s="12">
        <f>IF(M218="","",$B$6*TAN(RADIANS(M218)))</f>
        <v/>
      </c>
      <c r="O218" s="12">
        <f>IF(N218="","",IF(L218=0,0,-N218*J218/SQRT(J218^2+K218^2)))</f>
        <v/>
      </c>
      <c r="P218" s="12">
        <f>IF(N218="","",IF(L218=0,0,N218*K218/SQRT(J218^2+K218^2)))</f>
        <v/>
      </c>
      <c r="Q218" s="12">
        <f>IF(N218="","",IF(N218=0,$B$7,$B$7-Y218*O218/N218))</f>
        <v/>
      </c>
      <c r="R218" s="12">
        <f>IF(N218="","",IF(N218=0,$B$8,$B$8+Y218*P218/N218))</f>
        <v/>
      </c>
      <c r="S218" s="12">
        <f>IFERROR(SQRT((Q218-H218)^2+(R218-I218)^2),"")</f>
        <v/>
      </c>
      <c r="T218">
        <f>191</f>
        <v/>
      </c>
      <c r="U218">
        <f>IF(T218&gt;4*$E$9,"",MIN(INT(T218/$E$9)+1,4))</f>
        <v/>
      </c>
      <c r="V218">
        <f>IF(T218=4*$E$9,-$E$6/2,IF(U218="","",CHOOSE(U218,-$E$6/2+MOD(T218,$E$9)/$E$9*$E$6,$E$6/2,$E$6/2-MOD(T218,$E$9)/$E$9*$E$6,-$E$6/2)))</f>
        <v/>
      </c>
      <c r="W218">
        <f>IF(T218=4*$E$9,-$E$7/2,IF(U218="","",CHOOSE(U218,-$E$7/2,-$E$7/2+MOD(T218,$E$9)/$E$9*$E$7,$E$7/2,$E$7/2-MOD(T218,$E$9)/$E$9*$E$7)))</f>
        <v/>
      </c>
      <c r="X218">
        <f>IF(OR($E$13&lt;&gt;"OK",M218=""),"",IF(M218&lt;=$A$19,$D$19,IF(M218&gt;=INDEX($A$19:$A$2018,$E$12),INDEX($D$19:$D$2018,$E$12),INDEX($D$19:$D$2018,MATCH(M218,$A$19:INDEX($A$19:$A$2018,$E$12),1))+(M218-INDEX($A$19:$A$2018,MATCH(M218,$A$19:INDEX($A$19:$A$2018,$E$12),1)))*(INDEX($D$19:$D$2018,MATCH(M218,$A$19:INDEX($A$19:$A$2018,$E$12),1)+1)-INDEX($D$19:$D$2018,MATCH(M218,$A$19:INDEX($A$19:$A$2018,$E$12),1)))/(INDEX($A$19:$A$2018,MATCH(M218,$A$19:INDEX($A$19:$A$2018,$E$12),1)+1)-INDEX($A$19:$A$2018,MATCH(M218,$A$19:INDEX($A$19:$A$2018,$E$12),1))))))</f>
        <v/>
      </c>
      <c r="Y218">
        <f>IF(X218="","",X218*1000/$B$4)</f>
        <v/>
      </c>
    </row>
    <row r="219">
      <c r="A219" s="10" t="n"/>
      <c r="B219" s="10" t="n"/>
      <c r="C219" s="11">
        <f>IF(A219="","",$B$5*TAN(RADIANS(A219)))</f>
        <v/>
      </c>
      <c r="D219" s="11">
        <f>IF(C219="","",C219*(1+B219/100))</f>
        <v/>
      </c>
      <c r="E219" s="11">
        <f>IF(A219="","",$B$6*TAN(RADIANS(A219)))</f>
        <v/>
      </c>
      <c r="G219" s="12">
        <f>IF(U219="","",T219)</f>
        <v/>
      </c>
      <c r="H219" s="12">
        <f>IF(U219="","",$E$4+V219*COS(RADIANS($E$8))-W219*SIN(RADIANS($E$8)))</f>
        <v/>
      </c>
      <c r="I219" s="12">
        <f>IF(U219="","",$E$5+V219*SIN(RADIANS($E$8))+W219*COS(RADIANS($E$8)))</f>
        <v/>
      </c>
      <c r="J219" s="12">
        <f>IF(H219="","",H219-$B$7)</f>
        <v/>
      </c>
      <c r="K219" s="12">
        <f>IF(I219="","",I219-$B$8)</f>
        <v/>
      </c>
      <c r="L219" s="12">
        <f>IFERROR(SQRT(J219^2+K219^2)*$B$4/1000,"")</f>
        <v/>
      </c>
      <c r="M219" s="12">
        <f>IF(OR($E$13&lt;&gt;"OK",L219=""),"",IF(L219&lt;=$D$19,$A$19,IF(L219&gt;=INDEX($D$19:$D$2018,$E$12),INDEX($A$19:$A$2018,$E$12),INDEX($A$19:$A$2018,MATCH(L219,$D$19:INDEX($D$19:$D$2018,$E$12),1))+(L219-INDEX($D$19:$D$2018,MATCH(L219,$D$19:INDEX($D$19:$D$2018,$E$12),1)))*(INDEX($A$19:$A$2018,MATCH(L219,$D$19:INDEX($D$19:$D$2018,$E$12),1)+1)-INDEX($A$19:$A$2018,MATCH(L219,$D$19:INDEX($D$19:$D$2018,$E$12),1)))/(INDEX($D$19:$D$2018,MATCH(L219,$D$19:INDEX($D$19:$D$2018,$E$12),1)+1)-INDEX($D$19:$D$2018,MATCH(L219,$D$19:INDEX($D$19:$D$2018,$E$12),1))))))</f>
        <v/>
      </c>
      <c r="N219" s="12">
        <f>IF(M219="","",$B$6*TAN(RADIANS(M219)))</f>
        <v/>
      </c>
      <c r="O219" s="12">
        <f>IF(N219="","",IF(L219=0,0,-N219*J219/SQRT(J219^2+K219^2)))</f>
        <v/>
      </c>
      <c r="P219" s="12">
        <f>IF(N219="","",IF(L219=0,0,N219*K219/SQRT(J219^2+K219^2)))</f>
        <v/>
      </c>
      <c r="Q219" s="12">
        <f>IF(N219="","",IF(N219=0,$B$7,$B$7-Y219*O219/N219))</f>
        <v/>
      </c>
      <c r="R219" s="12">
        <f>IF(N219="","",IF(N219=0,$B$8,$B$8+Y219*P219/N219))</f>
        <v/>
      </c>
      <c r="S219" s="12">
        <f>IFERROR(SQRT((Q219-H219)^2+(R219-I219)^2),"")</f>
        <v/>
      </c>
      <c r="T219">
        <f>192</f>
        <v/>
      </c>
      <c r="U219">
        <f>IF(T219&gt;4*$E$9,"",MIN(INT(T219/$E$9)+1,4))</f>
        <v/>
      </c>
      <c r="V219">
        <f>IF(T219=4*$E$9,-$E$6/2,IF(U219="","",CHOOSE(U219,-$E$6/2+MOD(T219,$E$9)/$E$9*$E$6,$E$6/2,$E$6/2-MOD(T219,$E$9)/$E$9*$E$6,-$E$6/2)))</f>
        <v/>
      </c>
      <c r="W219">
        <f>IF(T219=4*$E$9,-$E$7/2,IF(U219="","",CHOOSE(U219,-$E$7/2,-$E$7/2+MOD(T219,$E$9)/$E$9*$E$7,$E$7/2,$E$7/2-MOD(T219,$E$9)/$E$9*$E$7)))</f>
        <v/>
      </c>
      <c r="X219">
        <f>IF(OR($E$13&lt;&gt;"OK",M219=""),"",IF(M219&lt;=$A$19,$D$19,IF(M219&gt;=INDEX($A$19:$A$2018,$E$12),INDEX($D$19:$D$2018,$E$12),INDEX($D$19:$D$2018,MATCH(M219,$A$19:INDEX($A$19:$A$2018,$E$12),1))+(M219-INDEX($A$19:$A$2018,MATCH(M219,$A$19:INDEX($A$19:$A$2018,$E$12),1)))*(INDEX($D$19:$D$2018,MATCH(M219,$A$19:INDEX($A$19:$A$2018,$E$12),1)+1)-INDEX($D$19:$D$2018,MATCH(M219,$A$19:INDEX($A$19:$A$2018,$E$12),1)))/(INDEX($A$19:$A$2018,MATCH(M219,$A$19:INDEX($A$19:$A$2018,$E$12),1)+1)-INDEX($A$19:$A$2018,MATCH(M219,$A$19:INDEX($A$19:$A$2018,$E$12),1))))))</f>
        <v/>
      </c>
      <c r="Y219">
        <f>IF(X219="","",X219*1000/$B$4)</f>
        <v/>
      </c>
    </row>
    <row r="220">
      <c r="A220" s="10" t="n"/>
      <c r="B220" s="10" t="n"/>
      <c r="C220" s="11">
        <f>IF(A220="","",$B$5*TAN(RADIANS(A220)))</f>
        <v/>
      </c>
      <c r="D220" s="11">
        <f>IF(C220="","",C220*(1+B220/100))</f>
        <v/>
      </c>
      <c r="E220" s="11">
        <f>IF(A220="","",$B$6*TAN(RADIANS(A220)))</f>
        <v/>
      </c>
      <c r="G220" s="12">
        <f>IF(U220="","",T220)</f>
        <v/>
      </c>
      <c r="H220" s="12">
        <f>IF(U220="","",$E$4+V220*COS(RADIANS($E$8))-W220*SIN(RADIANS($E$8)))</f>
        <v/>
      </c>
      <c r="I220" s="12">
        <f>IF(U220="","",$E$5+V220*SIN(RADIANS($E$8))+W220*COS(RADIANS($E$8)))</f>
        <v/>
      </c>
      <c r="J220" s="12">
        <f>IF(H220="","",H220-$B$7)</f>
        <v/>
      </c>
      <c r="K220" s="12">
        <f>IF(I220="","",I220-$B$8)</f>
        <v/>
      </c>
      <c r="L220" s="12">
        <f>IFERROR(SQRT(J220^2+K220^2)*$B$4/1000,"")</f>
        <v/>
      </c>
      <c r="M220" s="12">
        <f>IF(OR($E$13&lt;&gt;"OK",L220=""),"",IF(L220&lt;=$D$19,$A$19,IF(L220&gt;=INDEX($D$19:$D$2018,$E$12),INDEX($A$19:$A$2018,$E$12),INDEX($A$19:$A$2018,MATCH(L220,$D$19:INDEX($D$19:$D$2018,$E$12),1))+(L220-INDEX($D$19:$D$2018,MATCH(L220,$D$19:INDEX($D$19:$D$2018,$E$12),1)))*(INDEX($A$19:$A$2018,MATCH(L220,$D$19:INDEX($D$19:$D$2018,$E$12),1)+1)-INDEX($A$19:$A$2018,MATCH(L220,$D$19:INDEX($D$19:$D$2018,$E$12),1)))/(INDEX($D$19:$D$2018,MATCH(L220,$D$19:INDEX($D$19:$D$2018,$E$12),1)+1)-INDEX($D$19:$D$2018,MATCH(L220,$D$19:INDEX($D$19:$D$2018,$E$12),1))))))</f>
        <v/>
      </c>
      <c r="N220" s="12">
        <f>IF(M220="","",$B$6*TAN(RADIANS(M220)))</f>
        <v/>
      </c>
      <c r="O220" s="12">
        <f>IF(N220="","",IF(L220=0,0,-N220*J220/SQRT(J220^2+K220^2)))</f>
        <v/>
      </c>
      <c r="P220" s="12">
        <f>IF(N220="","",IF(L220=0,0,N220*K220/SQRT(J220^2+K220^2)))</f>
        <v/>
      </c>
      <c r="Q220" s="12">
        <f>IF(N220="","",IF(N220=0,$B$7,$B$7-Y220*O220/N220))</f>
        <v/>
      </c>
      <c r="R220" s="12">
        <f>IF(N220="","",IF(N220=0,$B$8,$B$8+Y220*P220/N220))</f>
        <v/>
      </c>
      <c r="S220" s="12">
        <f>IFERROR(SQRT((Q220-H220)^2+(R220-I220)^2),"")</f>
        <v/>
      </c>
      <c r="T220">
        <f>193</f>
        <v/>
      </c>
      <c r="U220">
        <f>IF(T220&gt;4*$E$9,"",MIN(INT(T220/$E$9)+1,4))</f>
        <v/>
      </c>
      <c r="V220">
        <f>IF(T220=4*$E$9,-$E$6/2,IF(U220="","",CHOOSE(U220,-$E$6/2+MOD(T220,$E$9)/$E$9*$E$6,$E$6/2,$E$6/2-MOD(T220,$E$9)/$E$9*$E$6,-$E$6/2)))</f>
        <v/>
      </c>
      <c r="W220">
        <f>IF(T220=4*$E$9,-$E$7/2,IF(U220="","",CHOOSE(U220,-$E$7/2,-$E$7/2+MOD(T220,$E$9)/$E$9*$E$7,$E$7/2,$E$7/2-MOD(T220,$E$9)/$E$9*$E$7)))</f>
        <v/>
      </c>
      <c r="X220">
        <f>IF(OR($E$13&lt;&gt;"OK",M220=""),"",IF(M220&lt;=$A$19,$D$19,IF(M220&gt;=INDEX($A$19:$A$2018,$E$12),INDEX($D$19:$D$2018,$E$12),INDEX($D$19:$D$2018,MATCH(M220,$A$19:INDEX($A$19:$A$2018,$E$12),1))+(M220-INDEX($A$19:$A$2018,MATCH(M220,$A$19:INDEX($A$19:$A$2018,$E$12),1)))*(INDEX($D$19:$D$2018,MATCH(M220,$A$19:INDEX($A$19:$A$2018,$E$12),1)+1)-INDEX($D$19:$D$2018,MATCH(M220,$A$19:INDEX($A$19:$A$2018,$E$12),1)))/(INDEX($A$19:$A$2018,MATCH(M220,$A$19:INDEX($A$19:$A$2018,$E$12),1)+1)-INDEX($A$19:$A$2018,MATCH(M220,$A$19:INDEX($A$19:$A$2018,$E$12),1))))))</f>
        <v/>
      </c>
      <c r="Y220">
        <f>IF(X220="","",X220*1000/$B$4)</f>
        <v/>
      </c>
    </row>
    <row r="221">
      <c r="A221" s="10" t="n"/>
      <c r="B221" s="10" t="n"/>
      <c r="C221" s="11">
        <f>IF(A221="","",$B$5*TAN(RADIANS(A221)))</f>
        <v/>
      </c>
      <c r="D221" s="11">
        <f>IF(C221="","",C221*(1+B221/100))</f>
        <v/>
      </c>
      <c r="E221" s="11">
        <f>IF(A221="","",$B$6*TAN(RADIANS(A221)))</f>
        <v/>
      </c>
      <c r="G221" s="12">
        <f>IF(U221="","",T221)</f>
        <v/>
      </c>
      <c r="H221" s="12">
        <f>IF(U221="","",$E$4+V221*COS(RADIANS($E$8))-W221*SIN(RADIANS($E$8)))</f>
        <v/>
      </c>
      <c r="I221" s="12">
        <f>IF(U221="","",$E$5+V221*SIN(RADIANS($E$8))+W221*COS(RADIANS($E$8)))</f>
        <v/>
      </c>
      <c r="J221" s="12">
        <f>IF(H221="","",H221-$B$7)</f>
        <v/>
      </c>
      <c r="K221" s="12">
        <f>IF(I221="","",I221-$B$8)</f>
        <v/>
      </c>
      <c r="L221" s="12">
        <f>IFERROR(SQRT(J221^2+K221^2)*$B$4/1000,"")</f>
        <v/>
      </c>
      <c r="M221" s="12">
        <f>IF(OR($E$13&lt;&gt;"OK",L221=""),"",IF(L221&lt;=$D$19,$A$19,IF(L221&gt;=INDEX($D$19:$D$2018,$E$12),INDEX($A$19:$A$2018,$E$12),INDEX($A$19:$A$2018,MATCH(L221,$D$19:INDEX($D$19:$D$2018,$E$12),1))+(L221-INDEX($D$19:$D$2018,MATCH(L221,$D$19:INDEX($D$19:$D$2018,$E$12),1)))*(INDEX($A$19:$A$2018,MATCH(L221,$D$19:INDEX($D$19:$D$2018,$E$12),1)+1)-INDEX($A$19:$A$2018,MATCH(L221,$D$19:INDEX($D$19:$D$2018,$E$12),1)))/(INDEX($D$19:$D$2018,MATCH(L221,$D$19:INDEX($D$19:$D$2018,$E$12),1)+1)-INDEX($D$19:$D$2018,MATCH(L221,$D$19:INDEX($D$19:$D$2018,$E$12),1))))))</f>
        <v/>
      </c>
      <c r="N221" s="12">
        <f>IF(M221="","",$B$6*TAN(RADIANS(M221)))</f>
        <v/>
      </c>
      <c r="O221" s="12">
        <f>IF(N221="","",IF(L221=0,0,-N221*J221/SQRT(J221^2+K221^2)))</f>
        <v/>
      </c>
      <c r="P221" s="12">
        <f>IF(N221="","",IF(L221=0,0,N221*K221/SQRT(J221^2+K221^2)))</f>
        <v/>
      </c>
      <c r="Q221" s="12">
        <f>IF(N221="","",IF(N221=0,$B$7,$B$7-Y221*O221/N221))</f>
        <v/>
      </c>
      <c r="R221" s="12">
        <f>IF(N221="","",IF(N221=0,$B$8,$B$8+Y221*P221/N221))</f>
        <v/>
      </c>
      <c r="S221" s="12">
        <f>IFERROR(SQRT((Q221-H221)^2+(R221-I221)^2),"")</f>
        <v/>
      </c>
      <c r="T221">
        <f>194</f>
        <v/>
      </c>
      <c r="U221">
        <f>IF(T221&gt;4*$E$9,"",MIN(INT(T221/$E$9)+1,4))</f>
        <v/>
      </c>
      <c r="V221">
        <f>IF(T221=4*$E$9,-$E$6/2,IF(U221="","",CHOOSE(U221,-$E$6/2+MOD(T221,$E$9)/$E$9*$E$6,$E$6/2,$E$6/2-MOD(T221,$E$9)/$E$9*$E$6,-$E$6/2)))</f>
        <v/>
      </c>
      <c r="W221">
        <f>IF(T221=4*$E$9,-$E$7/2,IF(U221="","",CHOOSE(U221,-$E$7/2,-$E$7/2+MOD(T221,$E$9)/$E$9*$E$7,$E$7/2,$E$7/2-MOD(T221,$E$9)/$E$9*$E$7)))</f>
        <v/>
      </c>
      <c r="X221">
        <f>IF(OR($E$13&lt;&gt;"OK",M221=""),"",IF(M221&lt;=$A$19,$D$19,IF(M221&gt;=INDEX($A$19:$A$2018,$E$12),INDEX($D$19:$D$2018,$E$12),INDEX($D$19:$D$2018,MATCH(M221,$A$19:INDEX($A$19:$A$2018,$E$12),1))+(M221-INDEX($A$19:$A$2018,MATCH(M221,$A$19:INDEX($A$19:$A$2018,$E$12),1)))*(INDEX($D$19:$D$2018,MATCH(M221,$A$19:INDEX($A$19:$A$2018,$E$12),1)+1)-INDEX($D$19:$D$2018,MATCH(M221,$A$19:INDEX($A$19:$A$2018,$E$12),1)))/(INDEX($A$19:$A$2018,MATCH(M221,$A$19:INDEX($A$19:$A$2018,$E$12),1)+1)-INDEX($A$19:$A$2018,MATCH(M221,$A$19:INDEX($A$19:$A$2018,$E$12),1))))))</f>
        <v/>
      </c>
      <c r="Y221">
        <f>IF(X221="","",X221*1000/$B$4)</f>
        <v/>
      </c>
    </row>
    <row r="222">
      <c r="A222" s="10" t="n"/>
      <c r="B222" s="10" t="n"/>
      <c r="C222" s="11">
        <f>IF(A222="","",$B$5*TAN(RADIANS(A222)))</f>
        <v/>
      </c>
      <c r="D222" s="11">
        <f>IF(C222="","",C222*(1+B222/100))</f>
        <v/>
      </c>
      <c r="E222" s="11">
        <f>IF(A222="","",$B$6*TAN(RADIANS(A222)))</f>
        <v/>
      </c>
      <c r="G222" s="12">
        <f>IF(U222="","",T222)</f>
        <v/>
      </c>
      <c r="H222" s="12">
        <f>IF(U222="","",$E$4+V222*COS(RADIANS($E$8))-W222*SIN(RADIANS($E$8)))</f>
        <v/>
      </c>
      <c r="I222" s="12">
        <f>IF(U222="","",$E$5+V222*SIN(RADIANS($E$8))+W222*COS(RADIANS($E$8)))</f>
        <v/>
      </c>
      <c r="J222" s="12">
        <f>IF(H222="","",H222-$B$7)</f>
        <v/>
      </c>
      <c r="K222" s="12">
        <f>IF(I222="","",I222-$B$8)</f>
        <v/>
      </c>
      <c r="L222" s="12">
        <f>IFERROR(SQRT(J222^2+K222^2)*$B$4/1000,"")</f>
        <v/>
      </c>
      <c r="M222" s="12">
        <f>IF(OR($E$13&lt;&gt;"OK",L222=""),"",IF(L222&lt;=$D$19,$A$19,IF(L222&gt;=INDEX($D$19:$D$2018,$E$12),INDEX($A$19:$A$2018,$E$12),INDEX($A$19:$A$2018,MATCH(L222,$D$19:INDEX($D$19:$D$2018,$E$12),1))+(L222-INDEX($D$19:$D$2018,MATCH(L222,$D$19:INDEX($D$19:$D$2018,$E$12),1)))*(INDEX($A$19:$A$2018,MATCH(L222,$D$19:INDEX($D$19:$D$2018,$E$12),1)+1)-INDEX($A$19:$A$2018,MATCH(L222,$D$19:INDEX($D$19:$D$2018,$E$12),1)))/(INDEX($D$19:$D$2018,MATCH(L222,$D$19:INDEX($D$19:$D$2018,$E$12),1)+1)-INDEX($D$19:$D$2018,MATCH(L222,$D$19:INDEX($D$19:$D$2018,$E$12),1))))))</f>
        <v/>
      </c>
      <c r="N222" s="12">
        <f>IF(M222="","",$B$6*TAN(RADIANS(M222)))</f>
        <v/>
      </c>
      <c r="O222" s="12">
        <f>IF(N222="","",IF(L222=0,0,-N222*J222/SQRT(J222^2+K222^2)))</f>
        <v/>
      </c>
      <c r="P222" s="12">
        <f>IF(N222="","",IF(L222=0,0,N222*K222/SQRT(J222^2+K222^2)))</f>
        <v/>
      </c>
      <c r="Q222" s="12">
        <f>IF(N222="","",IF(N222=0,$B$7,$B$7-Y222*O222/N222))</f>
        <v/>
      </c>
      <c r="R222" s="12">
        <f>IF(N222="","",IF(N222=0,$B$8,$B$8+Y222*P222/N222))</f>
        <v/>
      </c>
      <c r="S222" s="12">
        <f>IFERROR(SQRT((Q222-H222)^2+(R222-I222)^2),"")</f>
        <v/>
      </c>
      <c r="T222">
        <f>195</f>
        <v/>
      </c>
      <c r="U222">
        <f>IF(T222&gt;4*$E$9,"",MIN(INT(T222/$E$9)+1,4))</f>
        <v/>
      </c>
      <c r="V222">
        <f>IF(T222=4*$E$9,-$E$6/2,IF(U222="","",CHOOSE(U222,-$E$6/2+MOD(T222,$E$9)/$E$9*$E$6,$E$6/2,$E$6/2-MOD(T222,$E$9)/$E$9*$E$6,-$E$6/2)))</f>
        <v/>
      </c>
      <c r="W222">
        <f>IF(T222=4*$E$9,-$E$7/2,IF(U222="","",CHOOSE(U222,-$E$7/2,-$E$7/2+MOD(T222,$E$9)/$E$9*$E$7,$E$7/2,$E$7/2-MOD(T222,$E$9)/$E$9*$E$7)))</f>
        <v/>
      </c>
      <c r="X222">
        <f>IF(OR($E$13&lt;&gt;"OK",M222=""),"",IF(M222&lt;=$A$19,$D$19,IF(M222&gt;=INDEX($A$19:$A$2018,$E$12),INDEX($D$19:$D$2018,$E$12),INDEX($D$19:$D$2018,MATCH(M222,$A$19:INDEX($A$19:$A$2018,$E$12),1))+(M222-INDEX($A$19:$A$2018,MATCH(M222,$A$19:INDEX($A$19:$A$2018,$E$12),1)))*(INDEX($D$19:$D$2018,MATCH(M222,$A$19:INDEX($A$19:$A$2018,$E$12),1)+1)-INDEX($D$19:$D$2018,MATCH(M222,$A$19:INDEX($A$19:$A$2018,$E$12),1)))/(INDEX($A$19:$A$2018,MATCH(M222,$A$19:INDEX($A$19:$A$2018,$E$12),1)+1)-INDEX($A$19:$A$2018,MATCH(M222,$A$19:INDEX($A$19:$A$2018,$E$12),1))))))</f>
        <v/>
      </c>
      <c r="Y222">
        <f>IF(X222="","",X222*1000/$B$4)</f>
        <v/>
      </c>
    </row>
    <row r="223">
      <c r="A223" s="10" t="n"/>
      <c r="B223" s="10" t="n"/>
      <c r="C223" s="11">
        <f>IF(A223="","",$B$5*TAN(RADIANS(A223)))</f>
        <v/>
      </c>
      <c r="D223" s="11">
        <f>IF(C223="","",C223*(1+B223/100))</f>
        <v/>
      </c>
      <c r="E223" s="11">
        <f>IF(A223="","",$B$6*TAN(RADIANS(A223)))</f>
        <v/>
      </c>
      <c r="G223" s="12">
        <f>IF(U223="","",T223)</f>
        <v/>
      </c>
      <c r="H223" s="12">
        <f>IF(U223="","",$E$4+V223*COS(RADIANS($E$8))-W223*SIN(RADIANS($E$8)))</f>
        <v/>
      </c>
      <c r="I223" s="12">
        <f>IF(U223="","",$E$5+V223*SIN(RADIANS($E$8))+W223*COS(RADIANS($E$8)))</f>
        <v/>
      </c>
      <c r="J223" s="12">
        <f>IF(H223="","",H223-$B$7)</f>
        <v/>
      </c>
      <c r="K223" s="12">
        <f>IF(I223="","",I223-$B$8)</f>
        <v/>
      </c>
      <c r="L223" s="12">
        <f>IFERROR(SQRT(J223^2+K223^2)*$B$4/1000,"")</f>
        <v/>
      </c>
      <c r="M223" s="12">
        <f>IF(OR($E$13&lt;&gt;"OK",L223=""),"",IF(L223&lt;=$D$19,$A$19,IF(L223&gt;=INDEX($D$19:$D$2018,$E$12),INDEX($A$19:$A$2018,$E$12),INDEX($A$19:$A$2018,MATCH(L223,$D$19:INDEX($D$19:$D$2018,$E$12),1))+(L223-INDEX($D$19:$D$2018,MATCH(L223,$D$19:INDEX($D$19:$D$2018,$E$12),1)))*(INDEX($A$19:$A$2018,MATCH(L223,$D$19:INDEX($D$19:$D$2018,$E$12),1)+1)-INDEX($A$19:$A$2018,MATCH(L223,$D$19:INDEX($D$19:$D$2018,$E$12),1)))/(INDEX($D$19:$D$2018,MATCH(L223,$D$19:INDEX($D$19:$D$2018,$E$12),1)+1)-INDEX($D$19:$D$2018,MATCH(L223,$D$19:INDEX($D$19:$D$2018,$E$12),1))))))</f>
        <v/>
      </c>
      <c r="N223" s="12">
        <f>IF(M223="","",$B$6*TAN(RADIANS(M223)))</f>
        <v/>
      </c>
      <c r="O223" s="12">
        <f>IF(N223="","",IF(L223=0,0,-N223*J223/SQRT(J223^2+K223^2)))</f>
        <v/>
      </c>
      <c r="P223" s="12">
        <f>IF(N223="","",IF(L223=0,0,N223*K223/SQRT(J223^2+K223^2)))</f>
        <v/>
      </c>
      <c r="Q223" s="12">
        <f>IF(N223="","",IF(N223=0,$B$7,$B$7-Y223*O223/N223))</f>
        <v/>
      </c>
      <c r="R223" s="12">
        <f>IF(N223="","",IF(N223=0,$B$8,$B$8+Y223*P223/N223))</f>
        <v/>
      </c>
      <c r="S223" s="12">
        <f>IFERROR(SQRT((Q223-H223)^2+(R223-I223)^2),"")</f>
        <v/>
      </c>
      <c r="T223">
        <f>196</f>
        <v/>
      </c>
      <c r="U223">
        <f>IF(T223&gt;4*$E$9,"",MIN(INT(T223/$E$9)+1,4))</f>
        <v/>
      </c>
      <c r="V223">
        <f>IF(T223=4*$E$9,-$E$6/2,IF(U223="","",CHOOSE(U223,-$E$6/2+MOD(T223,$E$9)/$E$9*$E$6,$E$6/2,$E$6/2-MOD(T223,$E$9)/$E$9*$E$6,-$E$6/2)))</f>
        <v/>
      </c>
      <c r="W223">
        <f>IF(T223=4*$E$9,-$E$7/2,IF(U223="","",CHOOSE(U223,-$E$7/2,-$E$7/2+MOD(T223,$E$9)/$E$9*$E$7,$E$7/2,$E$7/2-MOD(T223,$E$9)/$E$9*$E$7)))</f>
        <v/>
      </c>
      <c r="X223">
        <f>IF(OR($E$13&lt;&gt;"OK",M223=""),"",IF(M223&lt;=$A$19,$D$19,IF(M223&gt;=INDEX($A$19:$A$2018,$E$12),INDEX($D$19:$D$2018,$E$12),INDEX($D$19:$D$2018,MATCH(M223,$A$19:INDEX($A$19:$A$2018,$E$12),1))+(M223-INDEX($A$19:$A$2018,MATCH(M223,$A$19:INDEX($A$19:$A$2018,$E$12),1)))*(INDEX($D$19:$D$2018,MATCH(M223,$A$19:INDEX($A$19:$A$2018,$E$12),1)+1)-INDEX($D$19:$D$2018,MATCH(M223,$A$19:INDEX($A$19:$A$2018,$E$12),1)))/(INDEX($A$19:$A$2018,MATCH(M223,$A$19:INDEX($A$19:$A$2018,$E$12),1)+1)-INDEX($A$19:$A$2018,MATCH(M223,$A$19:INDEX($A$19:$A$2018,$E$12),1))))))</f>
        <v/>
      </c>
      <c r="Y223">
        <f>IF(X223="","",X223*1000/$B$4)</f>
        <v/>
      </c>
    </row>
    <row r="224">
      <c r="A224" s="10" t="n"/>
      <c r="B224" s="10" t="n"/>
      <c r="C224" s="11">
        <f>IF(A224="","",$B$5*TAN(RADIANS(A224)))</f>
        <v/>
      </c>
      <c r="D224" s="11">
        <f>IF(C224="","",C224*(1+B224/100))</f>
        <v/>
      </c>
      <c r="E224" s="11">
        <f>IF(A224="","",$B$6*TAN(RADIANS(A224)))</f>
        <v/>
      </c>
      <c r="G224" s="12">
        <f>IF(U224="","",T224)</f>
        <v/>
      </c>
      <c r="H224" s="12">
        <f>IF(U224="","",$E$4+V224*COS(RADIANS($E$8))-W224*SIN(RADIANS($E$8)))</f>
        <v/>
      </c>
      <c r="I224" s="12">
        <f>IF(U224="","",$E$5+V224*SIN(RADIANS($E$8))+W224*COS(RADIANS($E$8)))</f>
        <v/>
      </c>
      <c r="J224" s="12">
        <f>IF(H224="","",H224-$B$7)</f>
        <v/>
      </c>
      <c r="K224" s="12">
        <f>IF(I224="","",I224-$B$8)</f>
        <v/>
      </c>
      <c r="L224" s="12">
        <f>IFERROR(SQRT(J224^2+K224^2)*$B$4/1000,"")</f>
        <v/>
      </c>
      <c r="M224" s="12">
        <f>IF(OR($E$13&lt;&gt;"OK",L224=""),"",IF(L224&lt;=$D$19,$A$19,IF(L224&gt;=INDEX($D$19:$D$2018,$E$12),INDEX($A$19:$A$2018,$E$12),INDEX($A$19:$A$2018,MATCH(L224,$D$19:INDEX($D$19:$D$2018,$E$12),1))+(L224-INDEX($D$19:$D$2018,MATCH(L224,$D$19:INDEX($D$19:$D$2018,$E$12),1)))*(INDEX($A$19:$A$2018,MATCH(L224,$D$19:INDEX($D$19:$D$2018,$E$12),1)+1)-INDEX($A$19:$A$2018,MATCH(L224,$D$19:INDEX($D$19:$D$2018,$E$12),1)))/(INDEX($D$19:$D$2018,MATCH(L224,$D$19:INDEX($D$19:$D$2018,$E$12),1)+1)-INDEX($D$19:$D$2018,MATCH(L224,$D$19:INDEX($D$19:$D$2018,$E$12),1))))))</f>
        <v/>
      </c>
      <c r="N224" s="12">
        <f>IF(M224="","",$B$6*TAN(RADIANS(M224)))</f>
        <v/>
      </c>
      <c r="O224" s="12">
        <f>IF(N224="","",IF(L224=0,0,-N224*J224/SQRT(J224^2+K224^2)))</f>
        <v/>
      </c>
      <c r="P224" s="12">
        <f>IF(N224="","",IF(L224=0,0,N224*K224/SQRT(J224^2+K224^2)))</f>
        <v/>
      </c>
      <c r="Q224" s="12">
        <f>IF(N224="","",IF(N224=0,$B$7,$B$7-Y224*O224/N224))</f>
        <v/>
      </c>
      <c r="R224" s="12">
        <f>IF(N224="","",IF(N224=0,$B$8,$B$8+Y224*P224/N224))</f>
        <v/>
      </c>
      <c r="S224" s="12">
        <f>IFERROR(SQRT((Q224-H224)^2+(R224-I224)^2),"")</f>
        <v/>
      </c>
      <c r="T224">
        <f>197</f>
        <v/>
      </c>
      <c r="U224">
        <f>IF(T224&gt;4*$E$9,"",MIN(INT(T224/$E$9)+1,4))</f>
        <v/>
      </c>
      <c r="V224">
        <f>IF(T224=4*$E$9,-$E$6/2,IF(U224="","",CHOOSE(U224,-$E$6/2+MOD(T224,$E$9)/$E$9*$E$6,$E$6/2,$E$6/2-MOD(T224,$E$9)/$E$9*$E$6,-$E$6/2)))</f>
        <v/>
      </c>
      <c r="W224">
        <f>IF(T224=4*$E$9,-$E$7/2,IF(U224="","",CHOOSE(U224,-$E$7/2,-$E$7/2+MOD(T224,$E$9)/$E$9*$E$7,$E$7/2,$E$7/2-MOD(T224,$E$9)/$E$9*$E$7)))</f>
        <v/>
      </c>
      <c r="X224">
        <f>IF(OR($E$13&lt;&gt;"OK",M224=""),"",IF(M224&lt;=$A$19,$D$19,IF(M224&gt;=INDEX($A$19:$A$2018,$E$12),INDEX($D$19:$D$2018,$E$12),INDEX($D$19:$D$2018,MATCH(M224,$A$19:INDEX($A$19:$A$2018,$E$12),1))+(M224-INDEX($A$19:$A$2018,MATCH(M224,$A$19:INDEX($A$19:$A$2018,$E$12),1)))*(INDEX($D$19:$D$2018,MATCH(M224,$A$19:INDEX($A$19:$A$2018,$E$12),1)+1)-INDEX($D$19:$D$2018,MATCH(M224,$A$19:INDEX($A$19:$A$2018,$E$12),1)))/(INDEX($A$19:$A$2018,MATCH(M224,$A$19:INDEX($A$19:$A$2018,$E$12),1)+1)-INDEX($A$19:$A$2018,MATCH(M224,$A$19:INDEX($A$19:$A$2018,$E$12),1))))))</f>
        <v/>
      </c>
      <c r="Y224">
        <f>IF(X224="","",X224*1000/$B$4)</f>
        <v/>
      </c>
    </row>
    <row r="225">
      <c r="A225" s="10" t="n"/>
      <c r="B225" s="10" t="n"/>
      <c r="C225" s="11">
        <f>IF(A225="","",$B$5*TAN(RADIANS(A225)))</f>
        <v/>
      </c>
      <c r="D225" s="11">
        <f>IF(C225="","",C225*(1+B225/100))</f>
        <v/>
      </c>
      <c r="E225" s="11">
        <f>IF(A225="","",$B$6*TAN(RADIANS(A225)))</f>
        <v/>
      </c>
      <c r="G225" s="12">
        <f>IF(U225="","",T225)</f>
        <v/>
      </c>
      <c r="H225" s="12">
        <f>IF(U225="","",$E$4+V225*COS(RADIANS($E$8))-W225*SIN(RADIANS($E$8)))</f>
        <v/>
      </c>
      <c r="I225" s="12">
        <f>IF(U225="","",$E$5+V225*SIN(RADIANS($E$8))+W225*COS(RADIANS($E$8)))</f>
        <v/>
      </c>
      <c r="J225" s="12">
        <f>IF(H225="","",H225-$B$7)</f>
        <v/>
      </c>
      <c r="K225" s="12">
        <f>IF(I225="","",I225-$B$8)</f>
        <v/>
      </c>
      <c r="L225" s="12">
        <f>IFERROR(SQRT(J225^2+K225^2)*$B$4/1000,"")</f>
        <v/>
      </c>
      <c r="M225" s="12">
        <f>IF(OR($E$13&lt;&gt;"OK",L225=""),"",IF(L225&lt;=$D$19,$A$19,IF(L225&gt;=INDEX($D$19:$D$2018,$E$12),INDEX($A$19:$A$2018,$E$12),INDEX($A$19:$A$2018,MATCH(L225,$D$19:INDEX($D$19:$D$2018,$E$12),1))+(L225-INDEX($D$19:$D$2018,MATCH(L225,$D$19:INDEX($D$19:$D$2018,$E$12),1)))*(INDEX($A$19:$A$2018,MATCH(L225,$D$19:INDEX($D$19:$D$2018,$E$12),1)+1)-INDEX($A$19:$A$2018,MATCH(L225,$D$19:INDEX($D$19:$D$2018,$E$12),1)))/(INDEX($D$19:$D$2018,MATCH(L225,$D$19:INDEX($D$19:$D$2018,$E$12),1)+1)-INDEX($D$19:$D$2018,MATCH(L225,$D$19:INDEX($D$19:$D$2018,$E$12),1))))))</f>
        <v/>
      </c>
      <c r="N225" s="12">
        <f>IF(M225="","",$B$6*TAN(RADIANS(M225)))</f>
        <v/>
      </c>
      <c r="O225" s="12">
        <f>IF(N225="","",IF(L225=0,0,-N225*J225/SQRT(J225^2+K225^2)))</f>
        <v/>
      </c>
      <c r="P225" s="12">
        <f>IF(N225="","",IF(L225=0,0,N225*K225/SQRT(J225^2+K225^2)))</f>
        <v/>
      </c>
      <c r="Q225" s="12">
        <f>IF(N225="","",IF(N225=0,$B$7,$B$7-Y225*O225/N225))</f>
        <v/>
      </c>
      <c r="R225" s="12">
        <f>IF(N225="","",IF(N225=0,$B$8,$B$8+Y225*P225/N225))</f>
        <v/>
      </c>
      <c r="S225" s="12">
        <f>IFERROR(SQRT((Q225-H225)^2+(R225-I225)^2),"")</f>
        <v/>
      </c>
      <c r="T225">
        <f>198</f>
        <v/>
      </c>
      <c r="U225">
        <f>IF(T225&gt;4*$E$9,"",MIN(INT(T225/$E$9)+1,4))</f>
        <v/>
      </c>
      <c r="V225">
        <f>IF(T225=4*$E$9,-$E$6/2,IF(U225="","",CHOOSE(U225,-$E$6/2+MOD(T225,$E$9)/$E$9*$E$6,$E$6/2,$E$6/2-MOD(T225,$E$9)/$E$9*$E$6,-$E$6/2)))</f>
        <v/>
      </c>
      <c r="W225">
        <f>IF(T225=4*$E$9,-$E$7/2,IF(U225="","",CHOOSE(U225,-$E$7/2,-$E$7/2+MOD(T225,$E$9)/$E$9*$E$7,$E$7/2,$E$7/2-MOD(T225,$E$9)/$E$9*$E$7)))</f>
        <v/>
      </c>
      <c r="X225">
        <f>IF(OR($E$13&lt;&gt;"OK",M225=""),"",IF(M225&lt;=$A$19,$D$19,IF(M225&gt;=INDEX($A$19:$A$2018,$E$12),INDEX($D$19:$D$2018,$E$12),INDEX($D$19:$D$2018,MATCH(M225,$A$19:INDEX($A$19:$A$2018,$E$12),1))+(M225-INDEX($A$19:$A$2018,MATCH(M225,$A$19:INDEX($A$19:$A$2018,$E$12),1)))*(INDEX($D$19:$D$2018,MATCH(M225,$A$19:INDEX($A$19:$A$2018,$E$12),1)+1)-INDEX($D$19:$D$2018,MATCH(M225,$A$19:INDEX($A$19:$A$2018,$E$12),1)))/(INDEX($A$19:$A$2018,MATCH(M225,$A$19:INDEX($A$19:$A$2018,$E$12),1)+1)-INDEX($A$19:$A$2018,MATCH(M225,$A$19:INDEX($A$19:$A$2018,$E$12),1))))))</f>
        <v/>
      </c>
      <c r="Y225">
        <f>IF(X225="","",X225*1000/$B$4)</f>
        <v/>
      </c>
    </row>
    <row r="226">
      <c r="A226" s="10" t="n"/>
      <c r="B226" s="10" t="n"/>
      <c r="C226" s="11">
        <f>IF(A226="","",$B$5*TAN(RADIANS(A226)))</f>
        <v/>
      </c>
      <c r="D226" s="11">
        <f>IF(C226="","",C226*(1+B226/100))</f>
        <v/>
      </c>
      <c r="E226" s="11">
        <f>IF(A226="","",$B$6*TAN(RADIANS(A226)))</f>
        <v/>
      </c>
      <c r="G226" s="12">
        <f>IF(U226="","",T226)</f>
        <v/>
      </c>
      <c r="H226" s="12">
        <f>IF(U226="","",$E$4+V226*COS(RADIANS($E$8))-W226*SIN(RADIANS($E$8)))</f>
        <v/>
      </c>
      <c r="I226" s="12">
        <f>IF(U226="","",$E$5+V226*SIN(RADIANS($E$8))+W226*COS(RADIANS($E$8)))</f>
        <v/>
      </c>
      <c r="J226" s="12">
        <f>IF(H226="","",H226-$B$7)</f>
        <v/>
      </c>
      <c r="K226" s="12">
        <f>IF(I226="","",I226-$B$8)</f>
        <v/>
      </c>
      <c r="L226" s="12">
        <f>IFERROR(SQRT(J226^2+K226^2)*$B$4/1000,"")</f>
        <v/>
      </c>
      <c r="M226" s="12">
        <f>IF(OR($E$13&lt;&gt;"OK",L226=""),"",IF(L226&lt;=$D$19,$A$19,IF(L226&gt;=INDEX($D$19:$D$2018,$E$12),INDEX($A$19:$A$2018,$E$12),INDEX($A$19:$A$2018,MATCH(L226,$D$19:INDEX($D$19:$D$2018,$E$12),1))+(L226-INDEX($D$19:$D$2018,MATCH(L226,$D$19:INDEX($D$19:$D$2018,$E$12),1)))*(INDEX($A$19:$A$2018,MATCH(L226,$D$19:INDEX($D$19:$D$2018,$E$12),1)+1)-INDEX($A$19:$A$2018,MATCH(L226,$D$19:INDEX($D$19:$D$2018,$E$12),1)))/(INDEX($D$19:$D$2018,MATCH(L226,$D$19:INDEX($D$19:$D$2018,$E$12),1)+1)-INDEX($D$19:$D$2018,MATCH(L226,$D$19:INDEX($D$19:$D$2018,$E$12),1))))))</f>
        <v/>
      </c>
      <c r="N226" s="12">
        <f>IF(M226="","",$B$6*TAN(RADIANS(M226)))</f>
        <v/>
      </c>
      <c r="O226" s="12">
        <f>IF(N226="","",IF(L226=0,0,-N226*J226/SQRT(J226^2+K226^2)))</f>
        <v/>
      </c>
      <c r="P226" s="12">
        <f>IF(N226="","",IF(L226=0,0,N226*K226/SQRT(J226^2+K226^2)))</f>
        <v/>
      </c>
      <c r="Q226" s="12">
        <f>IF(N226="","",IF(N226=0,$B$7,$B$7-Y226*O226/N226))</f>
        <v/>
      </c>
      <c r="R226" s="12">
        <f>IF(N226="","",IF(N226=0,$B$8,$B$8+Y226*P226/N226))</f>
        <v/>
      </c>
      <c r="S226" s="12">
        <f>IFERROR(SQRT((Q226-H226)^2+(R226-I226)^2),"")</f>
        <v/>
      </c>
      <c r="T226">
        <f>199</f>
        <v/>
      </c>
      <c r="U226">
        <f>IF(T226&gt;4*$E$9,"",MIN(INT(T226/$E$9)+1,4))</f>
        <v/>
      </c>
      <c r="V226">
        <f>IF(T226=4*$E$9,-$E$6/2,IF(U226="","",CHOOSE(U226,-$E$6/2+MOD(T226,$E$9)/$E$9*$E$6,$E$6/2,$E$6/2-MOD(T226,$E$9)/$E$9*$E$6,-$E$6/2)))</f>
        <v/>
      </c>
      <c r="W226">
        <f>IF(T226=4*$E$9,-$E$7/2,IF(U226="","",CHOOSE(U226,-$E$7/2,-$E$7/2+MOD(T226,$E$9)/$E$9*$E$7,$E$7/2,$E$7/2-MOD(T226,$E$9)/$E$9*$E$7)))</f>
        <v/>
      </c>
      <c r="X226">
        <f>IF(OR($E$13&lt;&gt;"OK",M226=""),"",IF(M226&lt;=$A$19,$D$19,IF(M226&gt;=INDEX($A$19:$A$2018,$E$12),INDEX($D$19:$D$2018,$E$12),INDEX($D$19:$D$2018,MATCH(M226,$A$19:INDEX($A$19:$A$2018,$E$12),1))+(M226-INDEX($A$19:$A$2018,MATCH(M226,$A$19:INDEX($A$19:$A$2018,$E$12),1)))*(INDEX($D$19:$D$2018,MATCH(M226,$A$19:INDEX($A$19:$A$2018,$E$12),1)+1)-INDEX($D$19:$D$2018,MATCH(M226,$A$19:INDEX($A$19:$A$2018,$E$12),1)))/(INDEX($A$19:$A$2018,MATCH(M226,$A$19:INDEX($A$19:$A$2018,$E$12),1)+1)-INDEX($A$19:$A$2018,MATCH(M226,$A$19:INDEX($A$19:$A$2018,$E$12),1))))))</f>
        <v/>
      </c>
      <c r="Y226">
        <f>IF(X226="","",X226*1000/$B$4)</f>
        <v/>
      </c>
    </row>
    <row r="227">
      <c r="A227" s="10" t="n"/>
      <c r="B227" s="10" t="n"/>
      <c r="C227" s="11">
        <f>IF(A227="","",$B$5*TAN(RADIANS(A227)))</f>
        <v/>
      </c>
      <c r="D227" s="11">
        <f>IF(C227="","",C227*(1+B227/100))</f>
        <v/>
      </c>
      <c r="E227" s="11">
        <f>IF(A227="","",$B$6*TAN(RADIANS(A227)))</f>
        <v/>
      </c>
      <c r="G227" s="12">
        <f>IF(U227="","",T227)</f>
        <v/>
      </c>
      <c r="H227" s="12">
        <f>IF(U227="","",$E$4+V227*COS(RADIANS($E$8))-W227*SIN(RADIANS($E$8)))</f>
        <v/>
      </c>
      <c r="I227" s="12">
        <f>IF(U227="","",$E$5+V227*SIN(RADIANS($E$8))+W227*COS(RADIANS($E$8)))</f>
        <v/>
      </c>
      <c r="J227" s="12">
        <f>IF(H227="","",H227-$B$7)</f>
        <v/>
      </c>
      <c r="K227" s="12">
        <f>IF(I227="","",I227-$B$8)</f>
        <v/>
      </c>
      <c r="L227" s="12">
        <f>IFERROR(SQRT(J227^2+K227^2)*$B$4/1000,"")</f>
        <v/>
      </c>
      <c r="M227" s="12">
        <f>IF(OR($E$13&lt;&gt;"OK",L227=""),"",IF(L227&lt;=$D$19,$A$19,IF(L227&gt;=INDEX($D$19:$D$2018,$E$12),INDEX($A$19:$A$2018,$E$12),INDEX($A$19:$A$2018,MATCH(L227,$D$19:INDEX($D$19:$D$2018,$E$12),1))+(L227-INDEX($D$19:$D$2018,MATCH(L227,$D$19:INDEX($D$19:$D$2018,$E$12),1)))*(INDEX($A$19:$A$2018,MATCH(L227,$D$19:INDEX($D$19:$D$2018,$E$12),1)+1)-INDEX($A$19:$A$2018,MATCH(L227,$D$19:INDEX($D$19:$D$2018,$E$12),1)))/(INDEX($D$19:$D$2018,MATCH(L227,$D$19:INDEX($D$19:$D$2018,$E$12),1)+1)-INDEX($D$19:$D$2018,MATCH(L227,$D$19:INDEX($D$19:$D$2018,$E$12),1))))))</f>
        <v/>
      </c>
      <c r="N227" s="12">
        <f>IF(M227="","",$B$6*TAN(RADIANS(M227)))</f>
        <v/>
      </c>
      <c r="O227" s="12">
        <f>IF(N227="","",IF(L227=0,0,-N227*J227/SQRT(J227^2+K227^2)))</f>
        <v/>
      </c>
      <c r="P227" s="12">
        <f>IF(N227="","",IF(L227=0,0,N227*K227/SQRT(J227^2+K227^2)))</f>
        <v/>
      </c>
      <c r="Q227" s="12">
        <f>IF(N227="","",IF(N227=0,$B$7,$B$7-Y227*O227/N227))</f>
        <v/>
      </c>
      <c r="R227" s="12">
        <f>IF(N227="","",IF(N227=0,$B$8,$B$8+Y227*P227/N227))</f>
        <v/>
      </c>
      <c r="S227" s="12">
        <f>IFERROR(SQRT((Q227-H227)^2+(R227-I227)^2),"")</f>
        <v/>
      </c>
      <c r="T227">
        <f>200</f>
        <v/>
      </c>
      <c r="U227">
        <f>IF(T227&gt;4*$E$9,"",MIN(INT(T227/$E$9)+1,4))</f>
        <v/>
      </c>
      <c r="V227">
        <f>IF(T227=4*$E$9,-$E$6/2,IF(U227="","",CHOOSE(U227,-$E$6/2+MOD(T227,$E$9)/$E$9*$E$6,$E$6/2,$E$6/2-MOD(T227,$E$9)/$E$9*$E$6,-$E$6/2)))</f>
        <v/>
      </c>
      <c r="W227">
        <f>IF(T227=4*$E$9,-$E$7/2,IF(U227="","",CHOOSE(U227,-$E$7/2,-$E$7/2+MOD(T227,$E$9)/$E$9*$E$7,$E$7/2,$E$7/2-MOD(T227,$E$9)/$E$9*$E$7)))</f>
        <v/>
      </c>
      <c r="X227">
        <f>IF(OR($E$13&lt;&gt;"OK",M227=""),"",IF(M227&lt;=$A$19,$D$19,IF(M227&gt;=INDEX($A$19:$A$2018,$E$12),INDEX($D$19:$D$2018,$E$12),INDEX($D$19:$D$2018,MATCH(M227,$A$19:INDEX($A$19:$A$2018,$E$12),1))+(M227-INDEX($A$19:$A$2018,MATCH(M227,$A$19:INDEX($A$19:$A$2018,$E$12),1)))*(INDEX($D$19:$D$2018,MATCH(M227,$A$19:INDEX($A$19:$A$2018,$E$12),1)+1)-INDEX($D$19:$D$2018,MATCH(M227,$A$19:INDEX($A$19:$A$2018,$E$12),1)))/(INDEX($A$19:$A$2018,MATCH(M227,$A$19:INDEX($A$19:$A$2018,$E$12),1)+1)-INDEX($A$19:$A$2018,MATCH(M227,$A$19:INDEX($A$19:$A$2018,$E$12),1))))))</f>
        <v/>
      </c>
      <c r="Y227">
        <f>IF(X227="","",X227*1000/$B$4)</f>
        <v/>
      </c>
    </row>
    <row r="228">
      <c r="A228" s="10" t="n"/>
      <c r="B228" s="10" t="n"/>
      <c r="C228" s="11">
        <f>IF(A228="","",$B$5*TAN(RADIANS(A228)))</f>
        <v/>
      </c>
      <c r="D228" s="11">
        <f>IF(C228="","",C228*(1+B228/100))</f>
        <v/>
      </c>
      <c r="E228" s="11">
        <f>IF(A228="","",$B$6*TAN(RADIANS(A228)))</f>
        <v/>
      </c>
    </row>
    <row r="229">
      <c r="A229" s="10" t="n"/>
      <c r="B229" s="10" t="n"/>
      <c r="C229" s="11">
        <f>IF(A229="","",$B$5*TAN(RADIANS(A229)))</f>
        <v/>
      </c>
      <c r="D229" s="11">
        <f>IF(C229="","",C229*(1+B229/100))</f>
        <v/>
      </c>
      <c r="E229" s="11">
        <f>IF(A229="","",$B$6*TAN(RADIANS(A229)))</f>
        <v/>
      </c>
    </row>
    <row r="230">
      <c r="A230" s="10" t="n"/>
      <c r="B230" s="10" t="n"/>
      <c r="C230" s="11">
        <f>IF(A230="","",$B$5*TAN(RADIANS(A230)))</f>
        <v/>
      </c>
      <c r="D230" s="11">
        <f>IF(C230="","",C230*(1+B230/100))</f>
        <v/>
      </c>
      <c r="E230" s="11">
        <f>IF(A230="","",$B$6*TAN(RADIANS(A230)))</f>
        <v/>
      </c>
    </row>
    <row r="231">
      <c r="A231" s="10" t="n"/>
      <c r="B231" s="10" t="n"/>
      <c r="C231" s="11">
        <f>IF(A231="","",$B$5*TAN(RADIANS(A231)))</f>
        <v/>
      </c>
      <c r="D231" s="11">
        <f>IF(C231="","",C231*(1+B231/100))</f>
        <v/>
      </c>
      <c r="E231" s="11">
        <f>IF(A231="","",$B$6*TAN(RADIANS(A231)))</f>
        <v/>
      </c>
    </row>
    <row r="232">
      <c r="A232" s="10" t="n"/>
      <c r="B232" s="10" t="n"/>
      <c r="C232" s="11">
        <f>IF(A232="","",$B$5*TAN(RADIANS(A232)))</f>
        <v/>
      </c>
      <c r="D232" s="11">
        <f>IF(C232="","",C232*(1+B232/100))</f>
        <v/>
      </c>
      <c r="E232" s="11">
        <f>IF(A232="","",$B$6*TAN(RADIANS(A232)))</f>
        <v/>
      </c>
    </row>
    <row r="233">
      <c r="A233" s="10" t="n"/>
      <c r="B233" s="10" t="n"/>
      <c r="C233" s="11">
        <f>IF(A233="","",$B$5*TAN(RADIANS(A233)))</f>
        <v/>
      </c>
      <c r="D233" s="11">
        <f>IF(C233="","",C233*(1+B233/100))</f>
        <v/>
      </c>
      <c r="E233" s="11">
        <f>IF(A233="","",$B$6*TAN(RADIANS(A233)))</f>
        <v/>
      </c>
    </row>
    <row r="234">
      <c r="A234" s="10" t="n"/>
      <c r="B234" s="10" t="n"/>
      <c r="C234" s="11">
        <f>IF(A234="","",$B$5*TAN(RADIANS(A234)))</f>
        <v/>
      </c>
      <c r="D234" s="11">
        <f>IF(C234="","",C234*(1+B234/100))</f>
        <v/>
      </c>
      <c r="E234" s="11">
        <f>IF(A234="","",$B$6*TAN(RADIANS(A234)))</f>
        <v/>
      </c>
    </row>
    <row r="235">
      <c r="A235" s="10" t="n"/>
      <c r="B235" s="10" t="n"/>
      <c r="C235" s="11">
        <f>IF(A235="","",$B$5*TAN(RADIANS(A235)))</f>
        <v/>
      </c>
      <c r="D235" s="11">
        <f>IF(C235="","",C235*(1+B235/100))</f>
        <v/>
      </c>
      <c r="E235" s="11">
        <f>IF(A235="","",$B$6*TAN(RADIANS(A235)))</f>
        <v/>
      </c>
    </row>
    <row r="236">
      <c r="A236" s="10" t="n"/>
      <c r="B236" s="10" t="n"/>
      <c r="C236" s="11">
        <f>IF(A236="","",$B$5*TAN(RADIANS(A236)))</f>
        <v/>
      </c>
      <c r="D236" s="11">
        <f>IF(C236="","",C236*(1+B236/100))</f>
        <v/>
      </c>
      <c r="E236" s="11">
        <f>IF(A236="","",$B$6*TAN(RADIANS(A236)))</f>
        <v/>
      </c>
    </row>
    <row r="237">
      <c r="A237" s="10" t="n"/>
      <c r="B237" s="10" t="n"/>
      <c r="C237" s="11">
        <f>IF(A237="","",$B$5*TAN(RADIANS(A237)))</f>
        <v/>
      </c>
      <c r="D237" s="11">
        <f>IF(C237="","",C237*(1+B237/100))</f>
        <v/>
      </c>
      <c r="E237" s="11">
        <f>IF(A237="","",$B$6*TAN(RADIANS(A237)))</f>
        <v/>
      </c>
    </row>
    <row r="238">
      <c r="A238" s="10" t="n"/>
      <c r="B238" s="10" t="n"/>
      <c r="C238" s="11">
        <f>IF(A238="","",$B$5*TAN(RADIANS(A238)))</f>
        <v/>
      </c>
      <c r="D238" s="11">
        <f>IF(C238="","",C238*(1+B238/100))</f>
        <v/>
      </c>
      <c r="E238" s="11">
        <f>IF(A238="","",$B$6*TAN(RADIANS(A238)))</f>
        <v/>
      </c>
    </row>
    <row r="239">
      <c r="A239" s="10" t="n"/>
      <c r="B239" s="10" t="n"/>
      <c r="C239" s="11">
        <f>IF(A239="","",$B$5*TAN(RADIANS(A239)))</f>
        <v/>
      </c>
      <c r="D239" s="11">
        <f>IF(C239="","",C239*(1+B239/100))</f>
        <v/>
      </c>
      <c r="E239" s="11">
        <f>IF(A239="","",$B$6*TAN(RADIANS(A239)))</f>
        <v/>
      </c>
    </row>
    <row r="240">
      <c r="A240" s="10" t="n"/>
      <c r="B240" s="10" t="n"/>
      <c r="C240" s="11">
        <f>IF(A240="","",$B$5*TAN(RADIANS(A240)))</f>
        <v/>
      </c>
      <c r="D240" s="11">
        <f>IF(C240="","",C240*(1+B240/100))</f>
        <v/>
      </c>
      <c r="E240" s="11">
        <f>IF(A240="","",$B$6*TAN(RADIANS(A240)))</f>
        <v/>
      </c>
    </row>
    <row r="241">
      <c r="A241" s="10" t="n"/>
      <c r="B241" s="10" t="n"/>
      <c r="C241" s="11">
        <f>IF(A241="","",$B$5*TAN(RADIANS(A241)))</f>
        <v/>
      </c>
      <c r="D241" s="11">
        <f>IF(C241="","",C241*(1+B241/100))</f>
        <v/>
      </c>
      <c r="E241" s="11">
        <f>IF(A241="","",$B$6*TAN(RADIANS(A241)))</f>
        <v/>
      </c>
    </row>
    <row r="242">
      <c r="A242" s="10" t="n"/>
      <c r="B242" s="10" t="n"/>
      <c r="C242" s="11">
        <f>IF(A242="","",$B$5*TAN(RADIANS(A242)))</f>
        <v/>
      </c>
      <c r="D242" s="11">
        <f>IF(C242="","",C242*(1+B242/100))</f>
        <v/>
      </c>
      <c r="E242" s="11">
        <f>IF(A242="","",$B$6*TAN(RADIANS(A242)))</f>
        <v/>
      </c>
    </row>
    <row r="243">
      <c r="A243" s="10" t="n"/>
      <c r="B243" s="10" t="n"/>
      <c r="C243" s="11">
        <f>IF(A243="","",$B$5*TAN(RADIANS(A243)))</f>
        <v/>
      </c>
      <c r="D243" s="11">
        <f>IF(C243="","",C243*(1+B243/100))</f>
        <v/>
      </c>
      <c r="E243" s="11">
        <f>IF(A243="","",$B$6*TAN(RADIANS(A243)))</f>
        <v/>
      </c>
    </row>
    <row r="244">
      <c r="A244" s="10" t="n"/>
      <c r="B244" s="10" t="n"/>
      <c r="C244" s="11">
        <f>IF(A244="","",$B$5*TAN(RADIANS(A244)))</f>
        <v/>
      </c>
      <c r="D244" s="11">
        <f>IF(C244="","",C244*(1+B244/100))</f>
        <v/>
      </c>
      <c r="E244" s="11">
        <f>IF(A244="","",$B$6*TAN(RADIANS(A244)))</f>
        <v/>
      </c>
    </row>
    <row r="245">
      <c r="A245" s="10" t="n"/>
      <c r="B245" s="10" t="n"/>
      <c r="C245" s="11">
        <f>IF(A245="","",$B$5*TAN(RADIANS(A245)))</f>
        <v/>
      </c>
      <c r="D245" s="11">
        <f>IF(C245="","",C245*(1+B245/100))</f>
        <v/>
      </c>
      <c r="E245" s="11">
        <f>IF(A245="","",$B$6*TAN(RADIANS(A245)))</f>
        <v/>
      </c>
    </row>
    <row r="246">
      <c r="A246" s="10" t="n"/>
      <c r="B246" s="10" t="n"/>
      <c r="C246" s="11">
        <f>IF(A246="","",$B$5*TAN(RADIANS(A246)))</f>
        <v/>
      </c>
      <c r="D246" s="11">
        <f>IF(C246="","",C246*(1+B246/100))</f>
        <v/>
      </c>
      <c r="E246" s="11">
        <f>IF(A246="","",$B$6*TAN(RADIANS(A246)))</f>
        <v/>
      </c>
    </row>
    <row r="247">
      <c r="A247" s="10" t="n"/>
      <c r="B247" s="10" t="n"/>
      <c r="C247" s="11">
        <f>IF(A247="","",$B$5*TAN(RADIANS(A247)))</f>
        <v/>
      </c>
      <c r="D247" s="11">
        <f>IF(C247="","",C247*(1+B247/100))</f>
        <v/>
      </c>
      <c r="E247" s="11">
        <f>IF(A247="","",$B$6*TAN(RADIANS(A247)))</f>
        <v/>
      </c>
    </row>
    <row r="248">
      <c r="A248" s="10" t="n"/>
      <c r="B248" s="10" t="n"/>
      <c r="C248" s="11">
        <f>IF(A248="","",$B$5*TAN(RADIANS(A248)))</f>
        <v/>
      </c>
      <c r="D248" s="11">
        <f>IF(C248="","",C248*(1+B248/100))</f>
        <v/>
      </c>
      <c r="E248" s="11">
        <f>IF(A248="","",$B$6*TAN(RADIANS(A248)))</f>
        <v/>
      </c>
    </row>
    <row r="249">
      <c r="A249" s="10" t="n"/>
      <c r="B249" s="10" t="n"/>
      <c r="C249" s="11">
        <f>IF(A249="","",$B$5*TAN(RADIANS(A249)))</f>
        <v/>
      </c>
      <c r="D249" s="11">
        <f>IF(C249="","",C249*(1+B249/100))</f>
        <v/>
      </c>
      <c r="E249" s="11">
        <f>IF(A249="","",$B$6*TAN(RADIANS(A249)))</f>
        <v/>
      </c>
    </row>
    <row r="250">
      <c r="A250" s="10" t="n"/>
      <c r="B250" s="10" t="n"/>
      <c r="C250" s="11">
        <f>IF(A250="","",$B$5*TAN(RADIANS(A250)))</f>
        <v/>
      </c>
      <c r="D250" s="11">
        <f>IF(C250="","",C250*(1+B250/100))</f>
        <v/>
      </c>
      <c r="E250" s="11">
        <f>IF(A250="","",$B$6*TAN(RADIANS(A250)))</f>
        <v/>
      </c>
    </row>
    <row r="251">
      <c r="A251" s="10" t="n"/>
      <c r="B251" s="10" t="n"/>
      <c r="C251" s="11">
        <f>IF(A251="","",$B$5*TAN(RADIANS(A251)))</f>
        <v/>
      </c>
      <c r="D251" s="11">
        <f>IF(C251="","",C251*(1+B251/100))</f>
        <v/>
      </c>
      <c r="E251" s="11">
        <f>IF(A251="","",$B$6*TAN(RADIANS(A251)))</f>
        <v/>
      </c>
    </row>
    <row r="252">
      <c r="A252" s="10" t="n"/>
      <c r="B252" s="10" t="n"/>
      <c r="C252" s="11">
        <f>IF(A252="","",$B$5*TAN(RADIANS(A252)))</f>
        <v/>
      </c>
      <c r="D252" s="11">
        <f>IF(C252="","",C252*(1+B252/100))</f>
        <v/>
      </c>
      <c r="E252" s="11">
        <f>IF(A252="","",$B$6*TAN(RADIANS(A252)))</f>
        <v/>
      </c>
    </row>
    <row r="253">
      <c r="A253" s="10" t="n"/>
      <c r="B253" s="10" t="n"/>
      <c r="C253" s="11">
        <f>IF(A253="","",$B$5*TAN(RADIANS(A253)))</f>
        <v/>
      </c>
      <c r="D253" s="11">
        <f>IF(C253="","",C253*(1+B253/100))</f>
        <v/>
      </c>
      <c r="E253" s="11">
        <f>IF(A253="","",$B$6*TAN(RADIANS(A253)))</f>
        <v/>
      </c>
    </row>
    <row r="254">
      <c r="A254" s="10" t="n"/>
      <c r="B254" s="10" t="n"/>
      <c r="C254" s="11">
        <f>IF(A254="","",$B$5*TAN(RADIANS(A254)))</f>
        <v/>
      </c>
      <c r="D254" s="11">
        <f>IF(C254="","",C254*(1+B254/100))</f>
        <v/>
      </c>
      <c r="E254" s="11">
        <f>IF(A254="","",$B$6*TAN(RADIANS(A254)))</f>
        <v/>
      </c>
    </row>
    <row r="255">
      <c r="A255" s="10" t="n"/>
      <c r="B255" s="10" t="n"/>
      <c r="C255" s="11">
        <f>IF(A255="","",$B$5*TAN(RADIANS(A255)))</f>
        <v/>
      </c>
      <c r="D255" s="11">
        <f>IF(C255="","",C255*(1+B255/100))</f>
        <v/>
      </c>
      <c r="E255" s="11">
        <f>IF(A255="","",$B$6*TAN(RADIANS(A255)))</f>
        <v/>
      </c>
    </row>
    <row r="256">
      <c r="A256" s="10" t="n"/>
      <c r="B256" s="10" t="n"/>
      <c r="C256" s="11">
        <f>IF(A256="","",$B$5*TAN(RADIANS(A256)))</f>
        <v/>
      </c>
      <c r="D256" s="11">
        <f>IF(C256="","",C256*(1+B256/100))</f>
        <v/>
      </c>
      <c r="E256" s="11">
        <f>IF(A256="","",$B$6*TAN(RADIANS(A256)))</f>
        <v/>
      </c>
    </row>
    <row r="257">
      <c r="A257" s="10" t="n"/>
      <c r="B257" s="10" t="n"/>
      <c r="C257" s="11">
        <f>IF(A257="","",$B$5*TAN(RADIANS(A257)))</f>
        <v/>
      </c>
      <c r="D257" s="11">
        <f>IF(C257="","",C257*(1+B257/100))</f>
        <v/>
      </c>
      <c r="E257" s="11">
        <f>IF(A257="","",$B$6*TAN(RADIANS(A257)))</f>
        <v/>
      </c>
    </row>
    <row r="258">
      <c r="A258" s="10" t="n"/>
      <c r="B258" s="10" t="n"/>
      <c r="C258" s="11">
        <f>IF(A258="","",$B$5*TAN(RADIANS(A258)))</f>
        <v/>
      </c>
      <c r="D258" s="11">
        <f>IF(C258="","",C258*(1+B258/100))</f>
        <v/>
      </c>
      <c r="E258" s="11">
        <f>IF(A258="","",$B$6*TAN(RADIANS(A258)))</f>
        <v/>
      </c>
    </row>
    <row r="259">
      <c r="A259" s="10" t="n"/>
      <c r="B259" s="10" t="n"/>
      <c r="C259" s="11">
        <f>IF(A259="","",$B$5*TAN(RADIANS(A259)))</f>
        <v/>
      </c>
      <c r="D259" s="11">
        <f>IF(C259="","",C259*(1+B259/100))</f>
        <v/>
      </c>
      <c r="E259" s="11">
        <f>IF(A259="","",$B$6*TAN(RADIANS(A259)))</f>
        <v/>
      </c>
    </row>
    <row r="260">
      <c r="A260" s="10" t="n"/>
      <c r="B260" s="10" t="n"/>
      <c r="C260" s="11">
        <f>IF(A260="","",$B$5*TAN(RADIANS(A260)))</f>
        <v/>
      </c>
      <c r="D260" s="11">
        <f>IF(C260="","",C260*(1+B260/100))</f>
        <v/>
      </c>
      <c r="E260" s="11">
        <f>IF(A260="","",$B$6*TAN(RADIANS(A260)))</f>
        <v/>
      </c>
    </row>
    <row r="261">
      <c r="A261" s="10" t="n"/>
      <c r="B261" s="10" t="n"/>
      <c r="C261" s="11">
        <f>IF(A261="","",$B$5*TAN(RADIANS(A261)))</f>
        <v/>
      </c>
      <c r="D261" s="11">
        <f>IF(C261="","",C261*(1+B261/100))</f>
        <v/>
      </c>
      <c r="E261" s="11">
        <f>IF(A261="","",$B$6*TAN(RADIANS(A261)))</f>
        <v/>
      </c>
    </row>
    <row r="262">
      <c r="A262" s="10" t="n"/>
      <c r="B262" s="10" t="n"/>
      <c r="C262" s="11">
        <f>IF(A262="","",$B$5*TAN(RADIANS(A262)))</f>
        <v/>
      </c>
      <c r="D262" s="11">
        <f>IF(C262="","",C262*(1+B262/100))</f>
        <v/>
      </c>
      <c r="E262" s="11">
        <f>IF(A262="","",$B$6*TAN(RADIANS(A262)))</f>
        <v/>
      </c>
    </row>
    <row r="263">
      <c r="A263" s="10" t="n"/>
      <c r="B263" s="10" t="n"/>
      <c r="C263" s="11">
        <f>IF(A263="","",$B$5*TAN(RADIANS(A263)))</f>
        <v/>
      </c>
      <c r="D263" s="11">
        <f>IF(C263="","",C263*(1+B263/100))</f>
        <v/>
      </c>
      <c r="E263" s="11">
        <f>IF(A263="","",$B$6*TAN(RADIANS(A263)))</f>
        <v/>
      </c>
    </row>
    <row r="264">
      <c r="A264" s="10" t="n"/>
      <c r="B264" s="10" t="n"/>
      <c r="C264" s="11">
        <f>IF(A264="","",$B$5*TAN(RADIANS(A264)))</f>
        <v/>
      </c>
      <c r="D264" s="11">
        <f>IF(C264="","",C264*(1+B264/100))</f>
        <v/>
      </c>
      <c r="E264" s="11">
        <f>IF(A264="","",$B$6*TAN(RADIANS(A264)))</f>
        <v/>
      </c>
    </row>
    <row r="265">
      <c r="A265" s="10" t="n"/>
      <c r="B265" s="10" t="n"/>
      <c r="C265" s="11">
        <f>IF(A265="","",$B$5*TAN(RADIANS(A265)))</f>
        <v/>
      </c>
      <c r="D265" s="11">
        <f>IF(C265="","",C265*(1+B265/100))</f>
        <v/>
      </c>
      <c r="E265" s="11">
        <f>IF(A265="","",$B$6*TAN(RADIANS(A265)))</f>
        <v/>
      </c>
    </row>
    <row r="266">
      <c r="A266" s="10" t="n"/>
      <c r="B266" s="10" t="n"/>
      <c r="C266" s="11">
        <f>IF(A266="","",$B$5*TAN(RADIANS(A266)))</f>
        <v/>
      </c>
      <c r="D266" s="11">
        <f>IF(C266="","",C266*(1+B266/100))</f>
        <v/>
      </c>
      <c r="E266" s="11">
        <f>IF(A266="","",$B$6*TAN(RADIANS(A266)))</f>
        <v/>
      </c>
    </row>
    <row r="267">
      <c r="A267" s="10" t="n"/>
      <c r="B267" s="10" t="n"/>
      <c r="C267" s="11">
        <f>IF(A267="","",$B$5*TAN(RADIANS(A267)))</f>
        <v/>
      </c>
      <c r="D267" s="11">
        <f>IF(C267="","",C267*(1+B267/100))</f>
        <v/>
      </c>
      <c r="E267" s="11">
        <f>IF(A267="","",$B$6*TAN(RADIANS(A267)))</f>
        <v/>
      </c>
    </row>
    <row r="268">
      <c r="A268" s="10" t="n"/>
      <c r="B268" s="10" t="n"/>
      <c r="C268" s="11">
        <f>IF(A268="","",$B$5*TAN(RADIANS(A268)))</f>
        <v/>
      </c>
      <c r="D268" s="11">
        <f>IF(C268="","",C268*(1+B268/100))</f>
        <v/>
      </c>
      <c r="E268" s="11">
        <f>IF(A268="","",$B$6*TAN(RADIANS(A268)))</f>
        <v/>
      </c>
    </row>
    <row r="269">
      <c r="A269" s="10" t="n"/>
      <c r="B269" s="10" t="n"/>
      <c r="C269" s="11">
        <f>IF(A269="","",$B$5*TAN(RADIANS(A269)))</f>
        <v/>
      </c>
      <c r="D269" s="11">
        <f>IF(C269="","",C269*(1+B269/100))</f>
        <v/>
      </c>
      <c r="E269" s="11">
        <f>IF(A269="","",$B$6*TAN(RADIANS(A269)))</f>
        <v/>
      </c>
    </row>
    <row r="270">
      <c r="A270" s="10" t="n"/>
      <c r="B270" s="10" t="n"/>
      <c r="C270" s="11">
        <f>IF(A270="","",$B$5*TAN(RADIANS(A270)))</f>
        <v/>
      </c>
      <c r="D270" s="11">
        <f>IF(C270="","",C270*(1+B270/100))</f>
        <v/>
      </c>
      <c r="E270" s="11">
        <f>IF(A270="","",$B$6*TAN(RADIANS(A270)))</f>
        <v/>
      </c>
    </row>
    <row r="271">
      <c r="A271" s="10" t="n"/>
      <c r="B271" s="10" t="n"/>
      <c r="C271" s="11">
        <f>IF(A271="","",$B$5*TAN(RADIANS(A271)))</f>
        <v/>
      </c>
      <c r="D271" s="11">
        <f>IF(C271="","",C271*(1+B271/100))</f>
        <v/>
      </c>
      <c r="E271" s="11">
        <f>IF(A271="","",$B$6*TAN(RADIANS(A271)))</f>
        <v/>
      </c>
    </row>
    <row r="272">
      <c r="A272" s="10" t="n"/>
      <c r="B272" s="10" t="n"/>
      <c r="C272" s="11">
        <f>IF(A272="","",$B$5*TAN(RADIANS(A272)))</f>
        <v/>
      </c>
      <c r="D272" s="11">
        <f>IF(C272="","",C272*(1+B272/100))</f>
        <v/>
      </c>
      <c r="E272" s="11">
        <f>IF(A272="","",$B$6*TAN(RADIANS(A272)))</f>
        <v/>
      </c>
    </row>
    <row r="273">
      <c r="A273" s="10" t="n"/>
      <c r="B273" s="10" t="n"/>
      <c r="C273" s="11">
        <f>IF(A273="","",$B$5*TAN(RADIANS(A273)))</f>
        <v/>
      </c>
      <c r="D273" s="11">
        <f>IF(C273="","",C273*(1+B273/100))</f>
        <v/>
      </c>
      <c r="E273" s="11">
        <f>IF(A273="","",$B$6*TAN(RADIANS(A273)))</f>
        <v/>
      </c>
    </row>
    <row r="274">
      <c r="A274" s="10" t="n"/>
      <c r="B274" s="10" t="n"/>
      <c r="C274" s="11">
        <f>IF(A274="","",$B$5*TAN(RADIANS(A274)))</f>
        <v/>
      </c>
      <c r="D274" s="11">
        <f>IF(C274="","",C274*(1+B274/100))</f>
        <v/>
      </c>
      <c r="E274" s="11">
        <f>IF(A274="","",$B$6*TAN(RADIANS(A274)))</f>
        <v/>
      </c>
    </row>
    <row r="275">
      <c r="A275" s="10" t="n"/>
      <c r="B275" s="10" t="n"/>
      <c r="C275" s="11">
        <f>IF(A275="","",$B$5*TAN(RADIANS(A275)))</f>
        <v/>
      </c>
      <c r="D275" s="11">
        <f>IF(C275="","",C275*(1+B275/100))</f>
        <v/>
      </c>
      <c r="E275" s="11">
        <f>IF(A275="","",$B$6*TAN(RADIANS(A275)))</f>
        <v/>
      </c>
    </row>
    <row r="276">
      <c r="A276" s="10" t="n"/>
      <c r="B276" s="10" t="n"/>
      <c r="C276" s="11">
        <f>IF(A276="","",$B$5*TAN(RADIANS(A276)))</f>
        <v/>
      </c>
      <c r="D276" s="11">
        <f>IF(C276="","",C276*(1+B276/100))</f>
        <v/>
      </c>
      <c r="E276" s="11">
        <f>IF(A276="","",$B$6*TAN(RADIANS(A276)))</f>
        <v/>
      </c>
    </row>
    <row r="277">
      <c r="A277" s="10" t="n"/>
      <c r="B277" s="10" t="n"/>
      <c r="C277" s="11">
        <f>IF(A277="","",$B$5*TAN(RADIANS(A277)))</f>
        <v/>
      </c>
      <c r="D277" s="11">
        <f>IF(C277="","",C277*(1+B277/100))</f>
        <v/>
      </c>
      <c r="E277" s="11">
        <f>IF(A277="","",$B$6*TAN(RADIANS(A277)))</f>
        <v/>
      </c>
    </row>
    <row r="278">
      <c r="A278" s="10" t="n"/>
      <c r="B278" s="10" t="n"/>
      <c r="C278" s="11">
        <f>IF(A278="","",$B$5*TAN(RADIANS(A278)))</f>
        <v/>
      </c>
      <c r="D278" s="11">
        <f>IF(C278="","",C278*(1+B278/100))</f>
        <v/>
      </c>
      <c r="E278" s="11">
        <f>IF(A278="","",$B$6*TAN(RADIANS(A278)))</f>
        <v/>
      </c>
    </row>
    <row r="279">
      <c r="A279" s="10" t="n"/>
      <c r="B279" s="10" t="n"/>
      <c r="C279" s="11">
        <f>IF(A279="","",$B$5*TAN(RADIANS(A279)))</f>
        <v/>
      </c>
      <c r="D279" s="11">
        <f>IF(C279="","",C279*(1+B279/100))</f>
        <v/>
      </c>
      <c r="E279" s="11">
        <f>IF(A279="","",$B$6*TAN(RADIANS(A279)))</f>
        <v/>
      </c>
    </row>
    <row r="280">
      <c r="A280" s="10" t="n"/>
      <c r="B280" s="10" t="n"/>
      <c r="C280" s="11">
        <f>IF(A280="","",$B$5*TAN(RADIANS(A280)))</f>
        <v/>
      </c>
      <c r="D280" s="11">
        <f>IF(C280="","",C280*(1+B280/100))</f>
        <v/>
      </c>
      <c r="E280" s="11">
        <f>IF(A280="","",$B$6*TAN(RADIANS(A280)))</f>
        <v/>
      </c>
    </row>
    <row r="281">
      <c r="A281" s="10" t="n"/>
      <c r="B281" s="10" t="n"/>
      <c r="C281" s="11">
        <f>IF(A281="","",$B$5*TAN(RADIANS(A281)))</f>
        <v/>
      </c>
      <c r="D281" s="11">
        <f>IF(C281="","",C281*(1+B281/100))</f>
        <v/>
      </c>
      <c r="E281" s="11">
        <f>IF(A281="","",$B$6*TAN(RADIANS(A281)))</f>
        <v/>
      </c>
    </row>
    <row r="282">
      <c r="A282" s="10" t="n"/>
      <c r="B282" s="10" t="n"/>
      <c r="C282" s="11">
        <f>IF(A282="","",$B$5*TAN(RADIANS(A282)))</f>
        <v/>
      </c>
      <c r="D282" s="11">
        <f>IF(C282="","",C282*(1+B282/100))</f>
        <v/>
      </c>
      <c r="E282" s="11">
        <f>IF(A282="","",$B$6*TAN(RADIANS(A282)))</f>
        <v/>
      </c>
    </row>
    <row r="283">
      <c r="A283" s="10" t="n"/>
      <c r="B283" s="10" t="n"/>
      <c r="C283" s="11">
        <f>IF(A283="","",$B$5*TAN(RADIANS(A283)))</f>
        <v/>
      </c>
      <c r="D283" s="11">
        <f>IF(C283="","",C283*(1+B283/100))</f>
        <v/>
      </c>
      <c r="E283" s="11">
        <f>IF(A283="","",$B$6*TAN(RADIANS(A283)))</f>
        <v/>
      </c>
    </row>
    <row r="284">
      <c r="A284" s="10" t="n"/>
      <c r="B284" s="10" t="n"/>
      <c r="C284" s="11">
        <f>IF(A284="","",$B$5*TAN(RADIANS(A284)))</f>
        <v/>
      </c>
      <c r="D284" s="11">
        <f>IF(C284="","",C284*(1+B284/100))</f>
        <v/>
      </c>
      <c r="E284" s="11">
        <f>IF(A284="","",$B$6*TAN(RADIANS(A284)))</f>
        <v/>
      </c>
    </row>
    <row r="285">
      <c r="A285" s="10" t="n"/>
      <c r="B285" s="10" t="n"/>
      <c r="C285" s="11">
        <f>IF(A285="","",$B$5*TAN(RADIANS(A285)))</f>
        <v/>
      </c>
      <c r="D285" s="11">
        <f>IF(C285="","",C285*(1+B285/100))</f>
        <v/>
      </c>
      <c r="E285" s="11">
        <f>IF(A285="","",$B$6*TAN(RADIANS(A285)))</f>
        <v/>
      </c>
    </row>
    <row r="286">
      <c r="A286" s="10" t="n"/>
      <c r="B286" s="10" t="n"/>
      <c r="C286" s="11">
        <f>IF(A286="","",$B$5*TAN(RADIANS(A286)))</f>
        <v/>
      </c>
      <c r="D286" s="11">
        <f>IF(C286="","",C286*(1+B286/100))</f>
        <v/>
      </c>
      <c r="E286" s="11">
        <f>IF(A286="","",$B$6*TAN(RADIANS(A286)))</f>
        <v/>
      </c>
    </row>
    <row r="287">
      <c r="A287" s="10" t="n"/>
      <c r="B287" s="10" t="n"/>
      <c r="C287" s="11">
        <f>IF(A287="","",$B$5*TAN(RADIANS(A287)))</f>
        <v/>
      </c>
      <c r="D287" s="11">
        <f>IF(C287="","",C287*(1+B287/100))</f>
        <v/>
      </c>
      <c r="E287" s="11">
        <f>IF(A287="","",$B$6*TAN(RADIANS(A287)))</f>
        <v/>
      </c>
    </row>
    <row r="288">
      <c r="A288" s="10" t="n"/>
      <c r="B288" s="10" t="n"/>
      <c r="C288" s="11">
        <f>IF(A288="","",$B$5*TAN(RADIANS(A288)))</f>
        <v/>
      </c>
      <c r="D288" s="11">
        <f>IF(C288="","",C288*(1+B288/100))</f>
        <v/>
      </c>
      <c r="E288" s="11">
        <f>IF(A288="","",$B$6*TAN(RADIANS(A288)))</f>
        <v/>
      </c>
    </row>
    <row r="289">
      <c r="A289" s="10" t="n"/>
      <c r="B289" s="10" t="n"/>
      <c r="C289" s="11">
        <f>IF(A289="","",$B$5*TAN(RADIANS(A289)))</f>
        <v/>
      </c>
      <c r="D289" s="11">
        <f>IF(C289="","",C289*(1+B289/100))</f>
        <v/>
      </c>
      <c r="E289" s="11">
        <f>IF(A289="","",$B$6*TAN(RADIANS(A289)))</f>
        <v/>
      </c>
    </row>
    <row r="290">
      <c r="A290" s="10" t="n"/>
      <c r="B290" s="10" t="n"/>
      <c r="C290" s="11">
        <f>IF(A290="","",$B$5*TAN(RADIANS(A290)))</f>
        <v/>
      </c>
      <c r="D290" s="11">
        <f>IF(C290="","",C290*(1+B290/100))</f>
        <v/>
      </c>
      <c r="E290" s="11">
        <f>IF(A290="","",$B$6*TAN(RADIANS(A290)))</f>
        <v/>
      </c>
    </row>
    <row r="291">
      <c r="A291" s="10" t="n"/>
      <c r="B291" s="10" t="n"/>
      <c r="C291" s="11">
        <f>IF(A291="","",$B$5*TAN(RADIANS(A291)))</f>
        <v/>
      </c>
      <c r="D291" s="11">
        <f>IF(C291="","",C291*(1+B291/100))</f>
        <v/>
      </c>
      <c r="E291" s="11">
        <f>IF(A291="","",$B$6*TAN(RADIANS(A291)))</f>
        <v/>
      </c>
    </row>
    <row r="292">
      <c r="A292" s="10" t="n"/>
      <c r="B292" s="10" t="n"/>
      <c r="C292" s="11">
        <f>IF(A292="","",$B$5*TAN(RADIANS(A292)))</f>
        <v/>
      </c>
      <c r="D292" s="11">
        <f>IF(C292="","",C292*(1+B292/100))</f>
        <v/>
      </c>
      <c r="E292" s="11">
        <f>IF(A292="","",$B$6*TAN(RADIANS(A292)))</f>
        <v/>
      </c>
    </row>
    <row r="293">
      <c r="A293" s="10" t="n"/>
      <c r="B293" s="10" t="n"/>
      <c r="C293" s="11">
        <f>IF(A293="","",$B$5*TAN(RADIANS(A293)))</f>
        <v/>
      </c>
      <c r="D293" s="11">
        <f>IF(C293="","",C293*(1+B293/100))</f>
        <v/>
      </c>
      <c r="E293" s="11">
        <f>IF(A293="","",$B$6*TAN(RADIANS(A293)))</f>
        <v/>
      </c>
    </row>
    <row r="294">
      <c r="A294" s="10" t="n"/>
      <c r="B294" s="10" t="n"/>
      <c r="C294" s="11">
        <f>IF(A294="","",$B$5*TAN(RADIANS(A294)))</f>
        <v/>
      </c>
      <c r="D294" s="11">
        <f>IF(C294="","",C294*(1+B294/100))</f>
        <v/>
      </c>
      <c r="E294" s="11">
        <f>IF(A294="","",$B$6*TAN(RADIANS(A294)))</f>
        <v/>
      </c>
    </row>
    <row r="295">
      <c r="A295" s="10" t="n"/>
      <c r="B295" s="10" t="n"/>
      <c r="C295" s="11">
        <f>IF(A295="","",$B$5*TAN(RADIANS(A295)))</f>
        <v/>
      </c>
      <c r="D295" s="11">
        <f>IF(C295="","",C295*(1+B295/100))</f>
        <v/>
      </c>
      <c r="E295" s="11">
        <f>IF(A295="","",$B$6*TAN(RADIANS(A295)))</f>
        <v/>
      </c>
    </row>
    <row r="296">
      <c r="A296" s="10" t="n"/>
      <c r="B296" s="10" t="n"/>
      <c r="C296" s="11">
        <f>IF(A296="","",$B$5*TAN(RADIANS(A296)))</f>
        <v/>
      </c>
      <c r="D296" s="11">
        <f>IF(C296="","",C296*(1+B296/100))</f>
        <v/>
      </c>
      <c r="E296" s="11">
        <f>IF(A296="","",$B$6*TAN(RADIANS(A296)))</f>
        <v/>
      </c>
    </row>
    <row r="297">
      <c r="A297" s="10" t="n"/>
      <c r="B297" s="10" t="n"/>
      <c r="C297" s="11">
        <f>IF(A297="","",$B$5*TAN(RADIANS(A297)))</f>
        <v/>
      </c>
      <c r="D297" s="11">
        <f>IF(C297="","",C297*(1+B297/100))</f>
        <v/>
      </c>
      <c r="E297" s="11">
        <f>IF(A297="","",$B$6*TAN(RADIANS(A297)))</f>
        <v/>
      </c>
    </row>
    <row r="298">
      <c r="A298" s="10" t="n"/>
      <c r="B298" s="10" t="n"/>
      <c r="C298" s="11">
        <f>IF(A298="","",$B$5*TAN(RADIANS(A298)))</f>
        <v/>
      </c>
      <c r="D298" s="11">
        <f>IF(C298="","",C298*(1+B298/100))</f>
        <v/>
      </c>
      <c r="E298" s="11">
        <f>IF(A298="","",$B$6*TAN(RADIANS(A298)))</f>
        <v/>
      </c>
    </row>
    <row r="299">
      <c r="A299" s="10" t="n"/>
      <c r="B299" s="10" t="n"/>
      <c r="C299" s="11">
        <f>IF(A299="","",$B$5*TAN(RADIANS(A299)))</f>
        <v/>
      </c>
      <c r="D299" s="11">
        <f>IF(C299="","",C299*(1+B299/100))</f>
        <v/>
      </c>
      <c r="E299" s="11">
        <f>IF(A299="","",$B$6*TAN(RADIANS(A299)))</f>
        <v/>
      </c>
    </row>
    <row r="300">
      <c r="A300" s="10" t="n"/>
      <c r="B300" s="10" t="n"/>
      <c r="C300" s="11">
        <f>IF(A300="","",$B$5*TAN(RADIANS(A300)))</f>
        <v/>
      </c>
      <c r="D300" s="11">
        <f>IF(C300="","",C300*(1+B300/100))</f>
        <v/>
      </c>
      <c r="E300" s="11">
        <f>IF(A300="","",$B$6*TAN(RADIANS(A300)))</f>
        <v/>
      </c>
    </row>
    <row r="301">
      <c r="A301" s="10" t="n"/>
      <c r="B301" s="10" t="n"/>
      <c r="C301" s="11">
        <f>IF(A301="","",$B$5*TAN(RADIANS(A301)))</f>
        <v/>
      </c>
      <c r="D301" s="11">
        <f>IF(C301="","",C301*(1+B301/100))</f>
        <v/>
      </c>
      <c r="E301" s="11">
        <f>IF(A301="","",$B$6*TAN(RADIANS(A301)))</f>
        <v/>
      </c>
    </row>
    <row r="302">
      <c r="A302" s="10" t="n"/>
      <c r="B302" s="10" t="n"/>
      <c r="C302" s="11">
        <f>IF(A302="","",$B$5*TAN(RADIANS(A302)))</f>
        <v/>
      </c>
      <c r="D302" s="11">
        <f>IF(C302="","",C302*(1+B302/100))</f>
        <v/>
      </c>
      <c r="E302" s="11">
        <f>IF(A302="","",$B$6*TAN(RADIANS(A302)))</f>
        <v/>
      </c>
    </row>
    <row r="303">
      <c r="A303" s="10" t="n"/>
      <c r="B303" s="10" t="n"/>
      <c r="C303" s="11">
        <f>IF(A303="","",$B$5*TAN(RADIANS(A303)))</f>
        <v/>
      </c>
      <c r="D303" s="11">
        <f>IF(C303="","",C303*(1+B303/100))</f>
        <v/>
      </c>
      <c r="E303" s="11">
        <f>IF(A303="","",$B$6*TAN(RADIANS(A303)))</f>
        <v/>
      </c>
    </row>
    <row r="304">
      <c r="A304" s="10" t="n"/>
      <c r="B304" s="10" t="n"/>
      <c r="C304" s="11">
        <f>IF(A304="","",$B$5*TAN(RADIANS(A304)))</f>
        <v/>
      </c>
      <c r="D304" s="11">
        <f>IF(C304="","",C304*(1+B304/100))</f>
        <v/>
      </c>
      <c r="E304" s="11">
        <f>IF(A304="","",$B$6*TAN(RADIANS(A304)))</f>
        <v/>
      </c>
    </row>
    <row r="305">
      <c r="A305" s="10" t="n"/>
      <c r="B305" s="10" t="n"/>
      <c r="C305" s="11">
        <f>IF(A305="","",$B$5*TAN(RADIANS(A305)))</f>
        <v/>
      </c>
      <c r="D305" s="11">
        <f>IF(C305="","",C305*(1+B305/100))</f>
        <v/>
      </c>
      <c r="E305" s="11">
        <f>IF(A305="","",$B$6*TAN(RADIANS(A305)))</f>
        <v/>
      </c>
    </row>
    <row r="306">
      <c r="A306" s="10" t="n"/>
      <c r="B306" s="10" t="n"/>
      <c r="C306" s="11">
        <f>IF(A306="","",$B$5*TAN(RADIANS(A306)))</f>
        <v/>
      </c>
      <c r="D306" s="11">
        <f>IF(C306="","",C306*(1+B306/100))</f>
        <v/>
      </c>
      <c r="E306" s="11">
        <f>IF(A306="","",$B$6*TAN(RADIANS(A306)))</f>
        <v/>
      </c>
    </row>
    <row r="307">
      <c r="A307" s="10" t="n"/>
      <c r="B307" s="10" t="n"/>
      <c r="C307" s="11">
        <f>IF(A307="","",$B$5*TAN(RADIANS(A307)))</f>
        <v/>
      </c>
      <c r="D307" s="11">
        <f>IF(C307="","",C307*(1+B307/100))</f>
        <v/>
      </c>
      <c r="E307" s="11">
        <f>IF(A307="","",$B$6*TAN(RADIANS(A307)))</f>
        <v/>
      </c>
    </row>
    <row r="308">
      <c r="A308" s="10" t="n"/>
      <c r="B308" s="10" t="n"/>
      <c r="C308" s="11">
        <f>IF(A308="","",$B$5*TAN(RADIANS(A308)))</f>
        <v/>
      </c>
      <c r="D308" s="11">
        <f>IF(C308="","",C308*(1+B308/100))</f>
        <v/>
      </c>
      <c r="E308" s="11">
        <f>IF(A308="","",$B$6*TAN(RADIANS(A308)))</f>
        <v/>
      </c>
    </row>
    <row r="309">
      <c r="A309" s="10" t="n"/>
      <c r="B309" s="10" t="n"/>
      <c r="C309" s="11">
        <f>IF(A309="","",$B$5*TAN(RADIANS(A309)))</f>
        <v/>
      </c>
      <c r="D309" s="11">
        <f>IF(C309="","",C309*(1+B309/100))</f>
        <v/>
      </c>
      <c r="E309" s="11">
        <f>IF(A309="","",$B$6*TAN(RADIANS(A309)))</f>
        <v/>
      </c>
    </row>
    <row r="310">
      <c r="A310" s="10" t="n"/>
      <c r="B310" s="10" t="n"/>
      <c r="C310" s="11">
        <f>IF(A310="","",$B$5*TAN(RADIANS(A310)))</f>
        <v/>
      </c>
      <c r="D310" s="11">
        <f>IF(C310="","",C310*(1+B310/100))</f>
        <v/>
      </c>
      <c r="E310" s="11">
        <f>IF(A310="","",$B$6*TAN(RADIANS(A310)))</f>
        <v/>
      </c>
    </row>
    <row r="311">
      <c r="A311" s="10" t="n"/>
      <c r="B311" s="10" t="n"/>
      <c r="C311" s="11">
        <f>IF(A311="","",$B$5*TAN(RADIANS(A311)))</f>
        <v/>
      </c>
      <c r="D311" s="11">
        <f>IF(C311="","",C311*(1+B311/100))</f>
        <v/>
      </c>
      <c r="E311" s="11">
        <f>IF(A311="","",$B$6*TAN(RADIANS(A311)))</f>
        <v/>
      </c>
    </row>
    <row r="312">
      <c r="A312" s="10" t="n"/>
      <c r="B312" s="10" t="n"/>
      <c r="C312" s="11">
        <f>IF(A312="","",$B$5*TAN(RADIANS(A312)))</f>
        <v/>
      </c>
      <c r="D312" s="11">
        <f>IF(C312="","",C312*(1+B312/100))</f>
        <v/>
      </c>
      <c r="E312" s="11">
        <f>IF(A312="","",$B$6*TAN(RADIANS(A312)))</f>
        <v/>
      </c>
    </row>
    <row r="313">
      <c r="A313" s="10" t="n"/>
      <c r="B313" s="10" t="n"/>
      <c r="C313" s="11">
        <f>IF(A313="","",$B$5*TAN(RADIANS(A313)))</f>
        <v/>
      </c>
      <c r="D313" s="11">
        <f>IF(C313="","",C313*(1+B313/100))</f>
        <v/>
      </c>
      <c r="E313" s="11">
        <f>IF(A313="","",$B$6*TAN(RADIANS(A313)))</f>
        <v/>
      </c>
    </row>
    <row r="314">
      <c r="A314" s="10" t="n"/>
      <c r="B314" s="10" t="n"/>
      <c r="C314" s="11">
        <f>IF(A314="","",$B$5*TAN(RADIANS(A314)))</f>
        <v/>
      </c>
      <c r="D314" s="11">
        <f>IF(C314="","",C314*(1+B314/100))</f>
        <v/>
      </c>
      <c r="E314" s="11">
        <f>IF(A314="","",$B$6*TAN(RADIANS(A314)))</f>
        <v/>
      </c>
    </row>
    <row r="315">
      <c r="A315" s="10" t="n"/>
      <c r="B315" s="10" t="n"/>
      <c r="C315" s="11">
        <f>IF(A315="","",$B$5*TAN(RADIANS(A315)))</f>
        <v/>
      </c>
      <c r="D315" s="11">
        <f>IF(C315="","",C315*(1+B315/100))</f>
        <v/>
      </c>
      <c r="E315" s="11">
        <f>IF(A315="","",$B$6*TAN(RADIANS(A315)))</f>
        <v/>
      </c>
    </row>
    <row r="316">
      <c r="A316" s="10" t="n"/>
      <c r="B316" s="10" t="n"/>
      <c r="C316" s="11">
        <f>IF(A316="","",$B$5*TAN(RADIANS(A316)))</f>
        <v/>
      </c>
      <c r="D316" s="11">
        <f>IF(C316="","",C316*(1+B316/100))</f>
        <v/>
      </c>
      <c r="E316" s="11">
        <f>IF(A316="","",$B$6*TAN(RADIANS(A316)))</f>
        <v/>
      </c>
    </row>
    <row r="317">
      <c r="A317" s="10" t="n"/>
      <c r="B317" s="10" t="n"/>
      <c r="C317" s="11">
        <f>IF(A317="","",$B$5*TAN(RADIANS(A317)))</f>
        <v/>
      </c>
      <c r="D317" s="11">
        <f>IF(C317="","",C317*(1+B317/100))</f>
        <v/>
      </c>
      <c r="E317" s="11">
        <f>IF(A317="","",$B$6*TAN(RADIANS(A317)))</f>
        <v/>
      </c>
    </row>
    <row r="318">
      <c r="A318" s="10" t="n"/>
      <c r="B318" s="10" t="n"/>
      <c r="C318" s="11">
        <f>IF(A318="","",$B$5*TAN(RADIANS(A318)))</f>
        <v/>
      </c>
      <c r="D318" s="11">
        <f>IF(C318="","",C318*(1+B318/100))</f>
        <v/>
      </c>
      <c r="E318" s="11">
        <f>IF(A318="","",$B$6*TAN(RADIANS(A318)))</f>
        <v/>
      </c>
    </row>
    <row r="319">
      <c r="A319" s="10" t="n"/>
      <c r="B319" s="10" t="n"/>
      <c r="C319" s="11">
        <f>IF(A319="","",$B$5*TAN(RADIANS(A319)))</f>
        <v/>
      </c>
      <c r="D319" s="11">
        <f>IF(C319="","",C319*(1+B319/100))</f>
        <v/>
      </c>
      <c r="E319" s="11">
        <f>IF(A319="","",$B$6*TAN(RADIANS(A319)))</f>
        <v/>
      </c>
    </row>
    <row r="320">
      <c r="A320" s="10" t="n"/>
      <c r="B320" s="10" t="n"/>
      <c r="C320" s="11">
        <f>IF(A320="","",$B$5*TAN(RADIANS(A320)))</f>
        <v/>
      </c>
      <c r="D320" s="11">
        <f>IF(C320="","",C320*(1+B320/100))</f>
        <v/>
      </c>
      <c r="E320" s="11">
        <f>IF(A320="","",$B$6*TAN(RADIANS(A320)))</f>
        <v/>
      </c>
    </row>
    <row r="321">
      <c r="A321" s="10" t="n"/>
      <c r="B321" s="10" t="n"/>
      <c r="C321" s="11">
        <f>IF(A321="","",$B$5*TAN(RADIANS(A321)))</f>
        <v/>
      </c>
      <c r="D321" s="11">
        <f>IF(C321="","",C321*(1+B321/100))</f>
        <v/>
      </c>
      <c r="E321" s="11">
        <f>IF(A321="","",$B$6*TAN(RADIANS(A321)))</f>
        <v/>
      </c>
    </row>
    <row r="322">
      <c r="A322" s="10" t="n"/>
      <c r="B322" s="10" t="n"/>
      <c r="C322" s="11">
        <f>IF(A322="","",$B$5*TAN(RADIANS(A322)))</f>
        <v/>
      </c>
      <c r="D322" s="11">
        <f>IF(C322="","",C322*(1+B322/100))</f>
        <v/>
      </c>
      <c r="E322" s="11">
        <f>IF(A322="","",$B$6*TAN(RADIANS(A322)))</f>
        <v/>
      </c>
    </row>
    <row r="323">
      <c r="A323" s="10" t="n"/>
      <c r="B323" s="10" t="n"/>
      <c r="C323" s="11">
        <f>IF(A323="","",$B$5*TAN(RADIANS(A323)))</f>
        <v/>
      </c>
      <c r="D323" s="11">
        <f>IF(C323="","",C323*(1+B323/100))</f>
        <v/>
      </c>
      <c r="E323" s="11">
        <f>IF(A323="","",$B$6*TAN(RADIANS(A323)))</f>
        <v/>
      </c>
    </row>
    <row r="324">
      <c r="A324" s="10" t="n"/>
      <c r="B324" s="10" t="n"/>
      <c r="C324" s="11">
        <f>IF(A324="","",$B$5*TAN(RADIANS(A324)))</f>
        <v/>
      </c>
      <c r="D324" s="11">
        <f>IF(C324="","",C324*(1+B324/100))</f>
        <v/>
      </c>
      <c r="E324" s="11">
        <f>IF(A324="","",$B$6*TAN(RADIANS(A324)))</f>
        <v/>
      </c>
    </row>
    <row r="325">
      <c r="A325" s="10" t="n"/>
      <c r="B325" s="10" t="n"/>
      <c r="C325" s="11">
        <f>IF(A325="","",$B$5*TAN(RADIANS(A325)))</f>
        <v/>
      </c>
      <c r="D325" s="11">
        <f>IF(C325="","",C325*(1+B325/100))</f>
        <v/>
      </c>
      <c r="E325" s="11">
        <f>IF(A325="","",$B$6*TAN(RADIANS(A325)))</f>
        <v/>
      </c>
    </row>
    <row r="326">
      <c r="A326" s="10" t="n"/>
      <c r="B326" s="10" t="n"/>
      <c r="C326" s="11">
        <f>IF(A326="","",$B$5*TAN(RADIANS(A326)))</f>
        <v/>
      </c>
      <c r="D326" s="11">
        <f>IF(C326="","",C326*(1+B326/100))</f>
        <v/>
      </c>
      <c r="E326" s="11">
        <f>IF(A326="","",$B$6*TAN(RADIANS(A326)))</f>
        <v/>
      </c>
    </row>
    <row r="327">
      <c r="A327" s="10" t="n"/>
      <c r="B327" s="10" t="n"/>
      <c r="C327" s="11">
        <f>IF(A327="","",$B$5*TAN(RADIANS(A327)))</f>
        <v/>
      </c>
      <c r="D327" s="11">
        <f>IF(C327="","",C327*(1+B327/100))</f>
        <v/>
      </c>
      <c r="E327" s="11">
        <f>IF(A327="","",$B$6*TAN(RADIANS(A327)))</f>
        <v/>
      </c>
    </row>
    <row r="328">
      <c r="A328" s="10" t="n"/>
      <c r="B328" s="10" t="n"/>
      <c r="C328" s="11">
        <f>IF(A328="","",$B$5*TAN(RADIANS(A328)))</f>
        <v/>
      </c>
      <c r="D328" s="11">
        <f>IF(C328="","",C328*(1+B328/100))</f>
        <v/>
      </c>
      <c r="E328" s="11">
        <f>IF(A328="","",$B$6*TAN(RADIANS(A328)))</f>
        <v/>
      </c>
    </row>
    <row r="329">
      <c r="A329" s="10" t="n"/>
      <c r="B329" s="10" t="n"/>
      <c r="C329" s="11">
        <f>IF(A329="","",$B$5*TAN(RADIANS(A329)))</f>
        <v/>
      </c>
      <c r="D329" s="11">
        <f>IF(C329="","",C329*(1+B329/100))</f>
        <v/>
      </c>
      <c r="E329" s="11">
        <f>IF(A329="","",$B$6*TAN(RADIANS(A329)))</f>
        <v/>
      </c>
    </row>
    <row r="330">
      <c r="A330" s="10" t="n"/>
      <c r="B330" s="10" t="n"/>
      <c r="C330" s="11">
        <f>IF(A330="","",$B$5*TAN(RADIANS(A330)))</f>
        <v/>
      </c>
      <c r="D330" s="11">
        <f>IF(C330="","",C330*(1+B330/100))</f>
        <v/>
      </c>
      <c r="E330" s="11">
        <f>IF(A330="","",$B$6*TAN(RADIANS(A330)))</f>
        <v/>
      </c>
    </row>
    <row r="331">
      <c r="A331" s="10" t="n"/>
      <c r="B331" s="10" t="n"/>
      <c r="C331" s="11">
        <f>IF(A331="","",$B$5*TAN(RADIANS(A331)))</f>
        <v/>
      </c>
      <c r="D331" s="11">
        <f>IF(C331="","",C331*(1+B331/100))</f>
        <v/>
      </c>
      <c r="E331" s="11">
        <f>IF(A331="","",$B$6*TAN(RADIANS(A331)))</f>
        <v/>
      </c>
    </row>
    <row r="332">
      <c r="A332" s="10" t="n"/>
      <c r="B332" s="10" t="n"/>
      <c r="C332" s="11">
        <f>IF(A332="","",$B$5*TAN(RADIANS(A332)))</f>
        <v/>
      </c>
      <c r="D332" s="11">
        <f>IF(C332="","",C332*(1+B332/100))</f>
        <v/>
      </c>
      <c r="E332" s="11">
        <f>IF(A332="","",$B$6*TAN(RADIANS(A332)))</f>
        <v/>
      </c>
    </row>
    <row r="333">
      <c r="A333" s="10" t="n"/>
      <c r="B333" s="10" t="n"/>
      <c r="C333" s="11">
        <f>IF(A333="","",$B$5*TAN(RADIANS(A333)))</f>
        <v/>
      </c>
      <c r="D333" s="11">
        <f>IF(C333="","",C333*(1+B333/100))</f>
        <v/>
      </c>
      <c r="E333" s="11">
        <f>IF(A333="","",$B$6*TAN(RADIANS(A333)))</f>
        <v/>
      </c>
    </row>
    <row r="334">
      <c r="A334" s="10" t="n"/>
      <c r="B334" s="10" t="n"/>
      <c r="C334" s="11">
        <f>IF(A334="","",$B$5*TAN(RADIANS(A334)))</f>
        <v/>
      </c>
      <c r="D334" s="11">
        <f>IF(C334="","",C334*(1+B334/100))</f>
        <v/>
      </c>
      <c r="E334" s="11">
        <f>IF(A334="","",$B$6*TAN(RADIANS(A334)))</f>
        <v/>
      </c>
    </row>
    <row r="335">
      <c r="A335" s="10" t="n"/>
      <c r="B335" s="10" t="n"/>
      <c r="C335" s="11">
        <f>IF(A335="","",$B$5*TAN(RADIANS(A335)))</f>
        <v/>
      </c>
      <c r="D335" s="11">
        <f>IF(C335="","",C335*(1+B335/100))</f>
        <v/>
      </c>
      <c r="E335" s="11">
        <f>IF(A335="","",$B$6*TAN(RADIANS(A335)))</f>
        <v/>
      </c>
    </row>
    <row r="336">
      <c r="A336" s="10" t="n"/>
      <c r="B336" s="10" t="n"/>
      <c r="C336" s="11">
        <f>IF(A336="","",$B$5*TAN(RADIANS(A336)))</f>
        <v/>
      </c>
      <c r="D336" s="11">
        <f>IF(C336="","",C336*(1+B336/100))</f>
        <v/>
      </c>
      <c r="E336" s="11">
        <f>IF(A336="","",$B$6*TAN(RADIANS(A336)))</f>
        <v/>
      </c>
    </row>
    <row r="337">
      <c r="A337" s="10" t="n"/>
      <c r="B337" s="10" t="n"/>
      <c r="C337" s="11">
        <f>IF(A337="","",$B$5*TAN(RADIANS(A337)))</f>
        <v/>
      </c>
      <c r="D337" s="11">
        <f>IF(C337="","",C337*(1+B337/100))</f>
        <v/>
      </c>
      <c r="E337" s="11">
        <f>IF(A337="","",$B$6*TAN(RADIANS(A337)))</f>
        <v/>
      </c>
    </row>
    <row r="338">
      <c r="A338" s="10" t="n"/>
      <c r="B338" s="10" t="n"/>
      <c r="C338" s="11">
        <f>IF(A338="","",$B$5*TAN(RADIANS(A338)))</f>
        <v/>
      </c>
      <c r="D338" s="11">
        <f>IF(C338="","",C338*(1+B338/100))</f>
        <v/>
      </c>
      <c r="E338" s="11">
        <f>IF(A338="","",$B$6*TAN(RADIANS(A338)))</f>
        <v/>
      </c>
    </row>
    <row r="339">
      <c r="A339" s="10" t="n"/>
      <c r="B339" s="10" t="n"/>
      <c r="C339" s="11">
        <f>IF(A339="","",$B$5*TAN(RADIANS(A339)))</f>
        <v/>
      </c>
      <c r="D339" s="11">
        <f>IF(C339="","",C339*(1+B339/100))</f>
        <v/>
      </c>
      <c r="E339" s="11">
        <f>IF(A339="","",$B$6*TAN(RADIANS(A339)))</f>
        <v/>
      </c>
    </row>
    <row r="340">
      <c r="A340" s="10" t="n"/>
      <c r="B340" s="10" t="n"/>
      <c r="C340" s="11">
        <f>IF(A340="","",$B$5*TAN(RADIANS(A340)))</f>
        <v/>
      </c>
      <c r="D340" s="11">
        <f>IF(C340="","",C340*(1+B340/100))</f>
        <v/>
      </c>
      <c r="E340" s="11">
        <f>IF(A340="","",$B$6*TAN(RADIANS(A340)))</f>
        <v/>
      </c>
    </row>
    <row r="341">
      <c r="A341" s="10" t="n"/>
      <c r="B341" s="10" t="n"/>
      <c r="C341" s="11">
        <f>IF(A341="","",$B$5*TAN(RADIANS(A341)))</f>
        <v/>
      </c>
      <c r="D341" s="11">
        <f>IF(C341="","",C341*(1+B341/100))</f>
        <v/>
      </c>
      <c r="E341" s="11">
        <f>IF(A341="","",$B$6*TAN(RADIANS(A341)))</f>
        <v/>
      </c>
    </row>
    <row r="342">
      <c r="A342" s="10" t="n"/>
      <c r="B342" s="10" t="n"/>
      <c r="C342" s="11">
        <f>IF(A342="","",$B$5*TAN(RADIANS(A342)))</f>
        <v/>
      </c>
      <c r="D342" s="11">
        <f>IF(C342="","",C342*(1+B342/100))</f>
        <v/>
      </c>
      <c r="E342" s="11">
        <f>IF(A342="","",$B$6*TAN(RADIANS(A342)))</f>
        <v/>
      </c>
    </row>
    <row r="343">
      <c r="A343" s="10" t="n"/>
      <c r="B343" s="10" t="n"/>
      <c r="C343" s="11">
        <f>IF(A343="","",$B$5*TAN(RADIANS(A343)))</f>
        <v/>
      </c>
      <c r="D343" s="11">
        <f>IF(C343="","",C343*(1+B343/100))</f>
        <v/>
      </c>
      <c r="E343" s="11">
        <f>IF(A343="","",$B$6*TAN(RADIANS(A343)))</f>
        <v/>
      </c>
    </row>
    <row r="344">
      <c r="A344" s="10" t="n"/>
      <c r="B344" s="10" t="n"/>
      <c r="C344" s="11">
        <f>IF(A344="","",$B$5*TAN(RADIANS(A344)))</f>
        <v/>
      </c>
      <c r="D344" s="11">
        <f>IF(C344="","",C344*(1+B344/100))</f>
        <v/>
      </c>
      <c r="E344" s="11">
        <f>IF(A344="","",$B$6*TAN(RADIANS(A344)))</f>
        <v/>
      </c>
    </row>
    <row r="345">
      <c r="A345" s="10" t="n"/>
      <c r="B345" s="10" t="n"/>
      <c r="C345" s="11">
        <f>IF(A345="","",$B$5*TAN(RADIANS(A345)))</f>
        <v/>
      </c>
      <c r="D345" s="11">
        <f>IF(C345="","",C345*(1+B345/100))</f>
        <v/>
      </c>
      <c r="E345" s="11">
        <f>IF(A345="","",$B$6*TAN(RADIANS(A345)))</f>
        <v/>
      </c>
    </row>
    <row r="346">
      <c r="A346" s="10" t="n"/>
      <c r="B346" s="10" t="n"/>
      <c r="C346" s="11">
        <f>IF(A346="","",$B$5*TAN(RADIANS(A346)))</f>
        <v/>
      </c>
      <c r="D346" s="11">
        <f>IF(C346="","",C346*(1+B346/100))</f>
        <v/>
      </c>
      <c r="E346" s="11">
        <f>IF(A346="","",$B$6*TAN(RADIANS(A346)))</f>
        <v/>
      </c>
    </row>
    <row r="347">
      <c r="A347" s="10" t="n"/>
      <c r="B347" s="10" t="n"/>
      <c r="C347" s="11">
        <f>IF(A347="","",$B$5*TAN(RADIANS(A347)))</f>
        <v/>
      </c>
      <c r="D347" s="11">
        <f>IF(C347="","",C347*(1+B347/100))</f>
        <v/>
      </c>
      <c r="E347" s="11">
        <f>IF(A347="","",$B$6*TAN(RADIANS(A347)))</f>
        <v/>
      </c>
    </row>
    <row r="348">
      <c r="A348" s="10" t="n"/>
      <c r="B348" s="10" t="n"/>
      <c r="C348" s="11">
        <f>IF(A348="","",$B$5*TAN(RADIANS(A348)))</f>
        <v/>
      </c>
      <c r="D348" s="11">
        <f>IF(C348="","",C348*(1+B348/100))</f>
        <v/>
      </c>
      <c r="E348" s="11">
        <f>IF(A348="","",$B$6*TAN(RADIANS(A348)))</f>
        <v/>
      </c>
    </row>
    <row r="349">
      <c r="A349" s="10" t="n"/>
      <c r="B349" s="10" t="n"/>
      <c r="C349" s="11">
        <f>IF(A349="","",$B$5*TAN(RADIANS(A349)))</f>
        <v/>
      </c>
      <c r="D349" s="11">
        <f>IF(C349="","",C349*(1+B349/100))</f>
        <v/>
      </c>
      <c r="E349" s="11">
        <f>IF(A349="","",$B$6*TAN(RADIANS(A349)))</f>
        <v/>
      </c>
    </row>
    <row r="350">
      <c r="A350" s="10" t="n"/>
      <c r="B350" s="10" t="n"/>
      <c r="C350" s="11">
        <f>IF(A350="","",$B$5*TAN(RADIANS(A350)))</f>
        <v/>
      </c>
      <c r="D350" s="11">
        <f>IF(C350="","",C350*(1+B350/100))</f>
        <v/>
      </c>
      <c r="E350" s="11">
        <f>IF(A350="","",$B$6*TAN(RADIANS(A350)))</f>
        <v/>
      </c>
    </row>
    <row r="351">
      <c r="A351" s="10" t="n"/>
      <c r="B351" s="10" t="n"/>
      <c r="C351" s="11">
        <f>IF(A351="","",$B$5*TAN(RADIANS(A351)))</f>
        <v/>
      </c>
      <c r="D351" s="11">
        <f>IF(C351="","",C351*(1+B351/100))</f>
        <v/>
      </c>
      <c r="E351" s="11">
        <f>IF(A351="","",$B$6*TAN(RADIANS(A351)))</f>
        <v/>
      </c>
    </row>
    <row r="352">
      <c r="A352" s="10" t="n"/>
      <c r="B352" s="10" t="n"/>
      <c r="C352" s="11">
        <f>IF(A352="","",$B$5*TAN(RADIANS(A352)))</f>
        <v/>
      </c>
      <c r="D352" s="11">
        <f>IF(C352="","",C352*(1+B352/100))</f>
        <v/>
      </c>
      <c r="E352" s="11">
        <f>IF(A352="","",$B$6*TAN(RADIANS(A352)))</f>
        <v/>
      </c>
    </row>
    <row r="353">
      <c r="A353" s="10" t="n"/>
      <c r="B353" s="10" t="n"/>
      <c r="C353" s="11">
        <f>IF(A353="","",$B$5*TAN(RADIANS(A353)))</f>
        <v/>
      </c>
      <c r="D353" s="11">
        <f>IF(C353="","",C353*(1+B353/100))</f>
        <v/>
      </c>
      <c r="E353" s="11">
        <f>IF(A353="","",$B$6*TAN(RADIANS(A353)))</f>
        <v/>
      </c>
    </row>
    <row r="354">
      <c r="A354" s="10" t="n"/>
      <c r="B354" s="10" t="n"/>
      <c r="C354" s="11">
        <f>IF(A354="","",$B$5*TAN(RADIANS(A354)))</f>
        <v/>
      </c>
      <c r="D354" s="11">
        <f>IF(C354="","",C354*(1+B354/100))</f>
        <v/>
      </c>
      <c r="E354" s="11">
        <f>IF(A354="","",$B$6*TAN(RADIANS(A354)))</f>
        <v/>
      </c>
    </row>
    <row r="355">
      <c r="A355" s="10" t="n"/>
      <c r="B355" s="10" t="n"/>
      <c r="C355" s="11">
        <f>IF(A355="","",$B$5*TAN(RADIANS(A355)))</f>
        <v/>
      </c>
      <c r="D355" s="11">
        <f>IF(C355="","",C355*(1+B355/100))</f>
        <v/>
      </c>
      <c r="E355" s="11">
        <f>IF(A355="","",$B$6*TAN(RADIANS(A355)))</f>
        <v/>
      </c>
    </row>
    <row r="356">
      <c r="A356" s="10" t="n"/>
      <c r="B356" s="10" t="n"/>
      <c r="C356" s="11">
        <f>IF(A356="","",$B$5*TAN(RADIANS(A356)))</f>
        <v/>
      </c>
      <c r="D356" s="11">
        <f>IF(C356="","",C356*(1+B356/100))</f>
        <v/>
      </c>
      <c r="E356" s="11">
        <f>IF(A356="","",$B$6*TAN(RADIANS(A356)))</f>
        <v/>
      </c>
    </row>
    <row r="357">
      <c r="A357" s="10" t="n"/>
      <c r="B357" s="10" t="n"/>
      <c r="C357" s="11">
        <f>IF(A357="","",$B$5*TAN(RADIANS(A357)))</f>
        <v/>
      </c>
      <c r="D357" s="11">
        <f>IF(C357="","",C357*(1+B357/100))</f>
        <v/>
      </c>
      <c r="E357" s="11">
        <f>IF(A357="","",$B$6*TAN(RADIANS(A357)))</f>
        <v/>
      </c>
    </row>
    <row r="358">
      <c r="A358" s="10" t="n"/>
      <c r="B358" s="10" t="n"/>
      <c r="C358" s="11">
        <f>IF(A358="","",$B$5*TAN(RADIANS(A358)))</f>
        <v/>
      </c>
      <c r="D358" s="11">
        <f>IF(C358="","",C358*(1+B358/100))</f>
        <v/>
      </c>
      <c r="E358" s="11">
        <f>IF(A358="","",$B$6*TAN(RADIANS(A358)))</f>
        <v/>
      </c>
    </row>
    <row r="359">
      <c r="A359" s="10" t="n"/>
      <c r="B359" s="10" t="n"/>
      <c r="C359" s="11">
        <f>IF(A359="","",$B$5*TAN(RADIANS(A359)))</f>
        <v/>
      </c>
      <c r="D359" s="11">
        <f>IF(C359="","",C359*(1+B359/100))</f>
        <v/>
      </c>
      <c r="E359" s="11">
        <f>IF(A359="","",$B$6*TAN(RADIANS(A359)))</f>
        <v/>
      </c>
    </row>
    <row r="360">
      <c r="A360" s="10" t="n"/>
      <c r="B360" s="10" t="n"/>
      <c r="C360" s="11">
        <f>IF(A360="","",$B$5*TAN(RADIANS(A360)))</f>
        <v/>
      </c>
      <c r="D360" s="11">
        <f>IF(C360="","",C360*(1+B360/100))</f>
        <v/>
      </c>
      <c r="E360" s="11">
        <f>IF(A360="","",$B$6*TAN(RADIANS(A360)))</f>
        <v/>
      </c>
    </row>
    <row r="361">
      <c r="A361" s="10" t="n"/>
      <c r="B361" s="10" t="n"/>
      <c r="C361" s="11">
        <f>IF(A361="","",$B$5*TAN(RADIANS(A361)))</f>
        <v/>
      </c>
      <c r="D361" s="11">
        <f>IF(C361="","",C361*(1+B361/100))</f>
        <v/>
      </c>
      <c r="E361" s="11">
        <f>IF(A361="","",$B$6*TAN(RADIANS(A361)))</f>
        <v/>
      </c>
    </row>
    <row r="362">
      <c r="A362" s="10" t="n"/>
      <c r="B362" s="10" t="n"/>
      <c r="C362" s="11">
        <f>IF(A362="","",$B$5*TAN(RADIANS(A362)))</f>
        <v/>
      </c>
      <c r="D362" s="11">
        <f>IF(C362="","",C362*(1+B362/100))</f>
        <v/>
      </c>
      <c r="E362" s="11">
        <f>IF(A362="","",$B$6*TAN(RADIANS(A362)))</f>
        <v/>
      </c>
    </row>
    <row r="363">
      <c r="A363" s="10" t="n"/>
      <c r="B363" s="10" t="n"/>
      <c r="C363" s="11">
        <f>IF(A363="","",$B$5*TAN(RADIANS(A363)))</f>
        <v/>
      </c>
      <c r="D363" s="11">
        <f>IF(C363="","",C363*(1+B363/100))</f>
        <v/>
      </c>
      <c r="E363" s="11">
        <f>IF(A363="","",$B$6*TAN(RADIANS(A363)))</f>
        <v/>
      </c>
    </row>
    <row r="364">
      <c r="A364" s="10" t="n"/>
      <c r="B364" s="10" t="n"/>
      <c r="C364" s="11">
        <f>IF(A364="","",$B$5*TAN(RADIANS(A364)))</f>
        <v/>
      </c>
      <c r="D364" s="11">
        <f>IF(C364="","",C364*(1+B364/100))</f>
        <v/>
      </c>
      <c r="E364" s="11">
        <f>IF(A364="","",$B$6*TAN(RADIANS(A364)))</f>
        <v/>
      </c>
    </row>
    <row r="365">
      <c r="A365" s="10" t="n"/>
      <c r="B365" s="10" t="n"/>
      <c r="C365" s="11">
        <f>IF(A365="","",$B$5*TAN(RADIANS(A365)))</f>
        <v/>
      </c>
      <c r="D365" s="11">
        <f>IF(C365="","",C365*(1+B365/100))</f>
        <v/>
      </c>
      <c r="E365" s="11">
        <f>IF(A365="","",$B$6*TAN(RADIANS(A365)))</f>
        <v/>
      </c>
    </row>
    <row r="366">
      <c r="A366" s="10" t="n"/>
      <c r="B366" s="10" t="n"/>
      <c r="C366" s="11">
        <f>IF(A366="","",$B$5*TAN(RADIANS(A366)))</f>
        <v/>
      </c>
      <c r="D366" s="11">
        <f>IF(C366="","",C366*(1+B366/100))</f>
        <v/>
      </c>
      <c r="E366" s="11">
        <f>IF(A366="","",$B$6*TAN(RADIANS(A366)))</f>
        <v/>
      </c>
    </row>
    <row r="367">
      <c r="A367" s="10" t="n"/>
      <c r="B367" s="10" t="n"/>
      <c r="C367" s="11">
        <f>IF(A367="","",$B$5*TAN(RADIANS(A367)))</f>
        <v/>
      </c>
      <c r="D367" s="11">
        <f>IF(C367="","",C367*(1+B367/100))</f>
        <v/>
      </c>
      <c r="E367" s="11">
        <f>IF(A367="","",$B$6*TAN(RADIANS(A367)))</f>
        <v/>
      </c>
    </row>
    <row r="368">
      <c r="A368" s="10" t="n"/>
      <c r="B368" s="10" t="n"/>
      <c r="C368" s="11">
        <f>IF(A368="","",$B$5*TAN(RADIANS(A368)))</f>
        <v/>
      </c>
      <c r="D368" s="11">
        <f>IF(C368="","",C368*(1+B368/100))</f>
        <v/>
      </c>
      <c r="E368" s="11">
        <f>IF(A368="","",$B$6*TAN(RADIANS(A368)))</f>
        <v/>
      </c>
    </row>
    <row r="369">
      <c r="A369" s="10" t="n"/>
      <c r="B369" s="10" t="n"/>
      <c r="C369" s="11">
        <f>IF(A369="","",$B$5*TAN(RADIANS(A369)))</f>
        <v/>
      </c>
      <c r="D369" s="11">
        <f>IF(C369="","",C369*(1+B369/100))</f>
        <v/>
      </c>
      <c r="E369" s="11">
        <f>IF(A369="","",$B$6*TAN(RADIANS(A369)))</f>
        <v/>
      </c>
    </row>
    <row r="370">
      <c r="A370" s="10" t="n"/>
      <c r="B370" s="10" t="n"/>
      <c r="C370" s="11">
        <f>IF(A370="","",$B$5*TAN(RADIANS(A370)))</f>
        <v/>
      </c>
      <c r="D370" s="11">
        <f>IF(C370="","",C370*(1+B370/100))</f>
        <v/>
      </c>
      <c r="E370" s="11">
        <f>IF(A370="","",$B$6*TAN(RADIANS(A370)))</f>
        <v/>
      </c>
    </row>
    <row r="371">
      <c r="A371" s="10" t="n"/>
      <c r="B371" s="10" t="n"/>
      <c r="C371" s="11">
        <f>IF(A371="","",$B$5*TAN(RADIANS(A371)))</f>
        <v/>
      </c>
      <c r="D371" s="11">
        <f>IF(C371="","",C371*(1+B371/100))</f>
        <v/>
      </c>
      <c r="E371" s="11">
        <f>IF(A371="","",$B$6*TAN(RADIANS(A371)))</f>
        <v/>
      </c>
    </row>
    <row r="372">
      <c r="A372" s="10" t="n"/>
      <c r="B372" s="10" t="n"/>
      <c r="C372" s="11">
        <f>IF(A372="","",$B$5*TAN(RADIANS(A372)))</f>
        <v/>
      </c>
      <c r="D372" s="11">
        <f>IF(C372="","",C372*(1+B372/100))</f>
        <v/>
      </c>
      <c r="E372" s="11">
        <f>IF(A372="","",$B$6*TAN(RADIANS(A372)))</f>
        <v/>
      </c>
    </row>
    <row r="373">
      <c r="A373" s="10" t="n"/>
      <c r="B373" s="10" t="n"/>
      <c r="C373" s="11">
        <f>IF(A373="","",$B$5*TAN(RADIANS(A373)))</f>
        <v/>
      </c>
      <c r="D373" s="11">
        <f>IF(C373="","",C373*(1+B373/100))</f>
        <v/>
      </c>
      <c r="E373" s="11">
        <f>IF(A373="","",$B$6*TAN(RADIANS(A373)))</f>
        <v/>
      </c>
    </row>
    <row r="374">
      <c r="A374" s="10" t="n"/>
      <c r="B374" s="10" t="n"/>
      <c r="C374" s="11">
        <f>IF(A374="","",$B$5*TAN(RADIANS(A374)))</f>
        <v/>
      </c>
      <c r="D374" s="11">
        <f>IF(C374="","",C374*(1+B374/100))</f>
        <v/>
      </c>
      <c r="E374" s="11">
        <f>IF(A374="","",$B$6*TAN(RADIANS(A374)))</f>
        <v/>
      </c>
    </row>
    <row r="375">
      <c r="A375" s="10" t="n"/>
      <c r="B375" s="10" t="n"/>
      <c r="C375" s="11">
        <f>IF(A375="","",$B$5*TAN(RADIANS(A375)))</f>
        <v/>
      </c>
      <c r="D375" s="11">
        <f>IF(C375="","",C375*(1+B375/100))</f>
        <v/>
      </c>
      <c r="E375" s="11">
        <f>IF(A375="","",$B$6*TAN(RADIANS(A375)))</f>
        <v/>
      </c>
    </row>
    <row r="376">
      <c r="A376" s="10" t="n"/>
      <c r="B376" s="10" t="n"/>
      <c r="C376" s="11">
        <f>IF(A376="","",$B$5*TAN(RADIANS(A376)))</f>
        <v/>
      </c>
      <c r="D376" s="11">
        <f>IF(C376="","",C376*(1+B376/100))</f>
        <v/>
      </c>
      <c r="E376" s="11">
        <f>IF(A376="","",$B$6*TAN(RADIANS(A376)))</f>
        <v/>
      </c>
    </row>
    <row r="377">
      <c r="A377" s="10" t="n"/>
      <c r="B377" s="10" t="n"/>
      <c r="C377" s="11">
        <f>IF(A377="","",$B$5*TAN(RADIANS(A377)))</f>
        <v/>
      </c>
      <c r="D377" s="11">
        <f>IF(C377="","",C377*(1+B377/100))</f>
        <v/>
      </c>
      <c r="E377" s="11">
        <f>IF(A377="","",$B$6*TAN(RADIANS(A377)))</f>
        <v/>
      </c>
    </row>
    <row r="378">
      <c r="A378" s="10" t="n"/>
      <c r="B378" s="10" t="n"/>
      <c r="C378" s="11">
        <f>IF(A378="","",$B$5*TAN(RADIANS(A378)))</f>
        <v/>
      </c>
      <c r="D378" s="11">
        <f>IF(C378="","",C378*(1+B378/100))</f>
        <v/>
      </c>
      <c r="E378" s="11">
        <f>IF(A378="","",$B$6*TAN(RADIANS(A378)))</f>
        <v/>
      </c>
    </row>
    <row r="379">
      <c r="A379" s="10" t="n"/>
      <c r="B379" s="10" t="n"/>
      <c r="C379" s="11">
        <f>IF(A379="","",$B$5*TAN(RADIANS(A379)))</f>
        <v/>
      </c>
      <c r="D379" s="11">
        <f>IF(C379="","",C379*(1+B379/100))</f>
        <v/>
      </c>
      <c r="E379" s="11">
        <f>IF(A379="","",$B$6*TAN(RADIANS(A379)))</f>
        <v/>
      </c>
    </row>
    <row r="380">
      <c r="A380" s="10" t="n"/>
      <c r="B380" s="10" t="n"/>
      <c r="C380" s="11">
        <f>IF(A380="","",$B$5*TAN(RADIANS(A380)))</f>
        <v/>
      </c>
      <c r="D380" s="11">
        <f>IF(C380="","",C380*(1+B380/100))</f>
        <v/>
      </c>
      <c r="E380" s="11">
        <f>IF(A380="","",$B$6*TAN(RADIANS(A380)))</f>
        <v/>
      </c>
    </row>
    <row r="381">
      <c r="A381" s="10" t="n"/>
      <c r="B381" s="10" t="n"/>
      <c r="C381" s="11">
        <f>IF(A381="","",$B$5*TAN(RADIANS(A381)))</f>
        <v/>
      </c>
      <c r="D381" s="11">
        <f>IF(C381="","",C381*(1+B381/100))</f>
        <v/>
      </c>
      <c r="E381" s="11">
        <f>IF(A381="","",$B$6*TAN(RADIANS(A381)))</f>
        <v/>
      </c>
    </row>
    <row r="382">
      <c r="A382" s="10" t="n"/>
      <c r="B382" s="10" t="n"/>
      <c r="C382" s="11">
        <f>IF(A382="","",$B$5*TAN(RADIANS(A382)))</f>
        <v/>
      </c>
      <c r="D382" s="11">
        <f>IF(C382="","",C382*(1+B382/100))</f>
        <v/>
      </c>
      <c r="E382" s="11">
        <f>IF(A382="","",$B$6*TAN(RADIANS(A382)))</f>
        <v/>
      </c>
    </row>
    <row r="383">
      <c r="A383" s="10" t="n"/>
      <c r="B383" s="10" t="n"/>
      <c r="C383" s="11">
        <f>IF(A383="","",$B$5*TAN(RADIANS(A383)))</f>
        <v/>
      </c>
      <c r="D383" s="11">
        <f>IF(C383="","",C383*(1+B383/100))</f>
        <v/>
      </c>
      <c r="E383" s="11">
        <f>IF(A383="","",$B$6*TAN(RADIANS(A383)))</f>
        <v/>
      </c>
    </row>
    <row r="384">
      <c r="A384" s="10" t="n"/>
      <c r="B384" s="10" t="n"/>
      <c r="C384" s="11">
        <f>IF(A384="","",$B$5*TAN(RADIANS(A384)))</f>
        <v/>
      </c>
      <c r="D384" s="11">
        <f>IF(C384="","",C384*(1+B384/100))</f>
        <v/>
      </c>
      <c r="E384" s="11">
        <f>IF(A384="","",$B$6*TAN(RADIANS(A384)))</f>
        <v/>
      </c>
    </row>
    <row r="385">
      <c r="A385" s="10" t="n"/>
      <c r="B385" s="10" t="n"/>
      <c r="C385" s="11">
        <f>IF(A385="","",$B$5*TAN(RADIANS(A385)))</f>
        <v/>
      </c>
      <c r="D385" s="11">
        <f>IF(C385="","",C385*(1+B385/100))</f>
        <v/>
      </c>
      <c r="E385" s="11">
        <f>IF(A385="","",$B$6*TAN(RADIANS(A385)))</f>
        <v/>
      </c>
    </row>
    <row r="386">
      <c r="A386" s="10" t="n"/>
      <c r="B386" s="10" t="n"/>
      <c r="C386" s="11">
        <f>IF(A386="","",$B$5*TAN(RADIANS(A386)))</f>
        <v/>
      </c>
      <c r="D386" s="11">
        <f>IF(C386="","",C386*(1+B386/100))</f>
        <v/>
      </c>
      <c r="E386" s="11">
        <f>IF(A386="","",$B$6*TAN(RADIANS(A386)))</f>
        <v/>
      </c>
    </row>
    <row r="387">
      <c r="A387" s="10" t="n"/>
      <c r="B387" s="10" t="n"/>
      <c r="C387" s="11">
        <f>IF(A387="","",$B$5*TAN(RADIANS(A387)))</f>
        <v/>
      </c>
      <c r="D387" s="11">
        <f>IF(C387="","",C387*(1+B387/100))</f>
        <v/>
      </c>
      <c r="E387" s="11">
        <f>IF(A387="","",$B$6*TAN(RADIANS(A387)))</f>
        <v/>
      </c>
    </row>
    <row r="388">
      <c r="A388" s="10" t="n"/>
      <c r="B388" s="10" t="n"/>
      <c r="C388" s="11">
        <f>IF(A388="","",$B$5*TAN(RADIANS(A388)))</f>
        <v/>
      </c>
      <c r="D388" s="11">
        <f>IF(C388="","",C388*(1+B388/100))</f>
        <v/>
      </c>
      <c r="E388" s="11">
        <f>IF(A388="","",$B$6*TAN(RADIANS(A388)))</f>
        <v/>
      </c>
    </row>
    <row r="389">
      <c r="A389" s="10" t="n"/>
      <c r="B389" s="10" t="n"/>
      <c r="C389" s="11">
        <f>IF(A389="","",$B$5*TAN(RADIANS(A389)))</f>
        <v/>
      </c>
      <c r="D389" s="11">
        <f>IF(C389="","",C389*(1+B389/100))</f>
        <v/>
      </c>
      <c r="E389" s="11">
        <f>IF(A389="","",$B$6*TAN(RADIANS(A389)))</f>
        <v/>
      </c>
    </row>
    <row r="390">
      <c r="A390" s="10" t="n"/>
      <c r="B390" s="10" t="n"/>
      <c r="C390" s="11">
        <f>IF(A390="","",$B$5*TAN(RADIANS(A390)))</f>
        <v/>
      </c>
      <c r="D390" s="11">
        <f>IF(C390="","",C390*(1+B390/100))</f>
        <v/>
      </c>
      <c r="E390" s="11">
        <f>IF(A390="","",$B$6*TAN(RADIANS(A390)))</f>
        <v/>
      </c>
    </row>
    <row r="391">
      <c r="A391" s="10" t="n"/>
      <c r="B391" s="10" t="n"/>
      <c r="C391" s="11">
        <f>IF(A391="","",$B$5*TAN(RADIANS(A391)))</f>
        <v/>
      </c>
      <c r="D391" s="11">
        <f>IF(C391="","",C391*(1+B391/100))</f>
        <v/>
      </c>
      <c r="E391" s="11">
        <f>IF(A391="","",$B$6*TAN(RADIANS(A391)))</f>
        <v/>
      </c>
    </row>
    <row r="392">
      <c r="A392" s="10" t="n"/>
      <c r="B392" s="10" t="n"/>
      <c r="C392" s="11">
        <f>IF(A392="","",$B$5*TAN(RADIANS(A392)))</f>
        <v/>
      </c>
      <c r="D392" s="11">
        <f>IF(C392="","",C392*(1+B392/100))</f>
        <v/>
      </c>
      <c r="E392" s="11">
        <f>IF(A392="","",$B$6*TAN(RADIANS(A392)))</f>
        <v/>
      </c>
    </row>
    <row r="393">
      <c r="A393" s="10" t="n"/>
      <c r="B393" s="10" t="n"/>
      <c r="C393" s="11">
        <f>IF(A393="","",$B$5*TAN(RADIANS(A393)))</f>
        <v/>
      </c>
      <c r="D393" s="11">
        <f>IF(C393="","",C393*(1+B393/100))</f>
        <v/>
      </c>
      <c r="E393" s="11">
        <f>IF(A393="","",$B$6*TAN(RADIANS(A393)))</f>
        <v/>
      </c>
    </row>
    <row r="394">
      <c r="A394" s="10" t="n"/>
      <c r="B394" s="10" t="n"/>
      <c r="C394" s="11">
        <f>IF(A394="","",$B$5*TAN(RADIANS(A394)))</f>
        <v/>
      </c>
      <c r="D394" s="11">
        <f>IF(C394="","",C394*(1+B394/100))</f>
        <v/>
      </c>
      <c r="E394" s="11">
        <f>IF(A394="","",$B$6*TAN(RADIANS(A394)))</f>
        <v/>
      </c>
    </row>
    <row r="395">
      <c r="A395" s="10" t="n"/>
      <c r="B395" s="10" t="n"/>
      <c r="C395" s="11">
        <f>IF(A395="","",$B$5*TAN(RADIANS(A395)))</f>
        <v/>
      </c>
      <c r="D395" s="11">
        <f>IF(C395="","",C395*(1+B395/100))</f>
        <v/>
      </c>
      <c r="E395" s="11">
        <f>IF(A395="","",$B$6*TAN(RADIANS(A395)))</f>
        <v/>
      </c>
    </row>
    <row r="396">
      <c r="A396" s="10" t="n"/>
      <c r="B396" s="10" t="n"/>
      <c r="C396" s="11">
        <f>IF(A396="","",$B$5*TAN(RADIANS(A396)))</f>
        <v/>
      </c>
      <c r="D396" s="11">
        <f>IF(C396="","",C396*(1+B396/100))</f>
        <v/>
      </c>
      <c r="E396" s="11">
        <f>IF(A396="","",$B$6*TAN(RADIANS(A396)))</f>
        <v/>
      </c>
    </row>
    <row r="397">
      <c r="A397" s="10" t="n"/>
      <c r="B397" s="10" t="n"/>
      <c r="C397" s="11">
        <f>IF(A397="","",$B$5*TAN(RADIANS(A397)))</f>
        <v/>
      </c>
      <c r="D397" s="11">
        <f>IF(C397="","",C397*(1+B397/100))</f>
        <v/>
      </c>
      <c r="E397" s="11">
        <f>IF(A397="","",$B$6*TAN(RADIANS(A397)))</f>
        <v/>
      </c>
    </row>
    <row r="398">
      <c r="A398" s="10" t="n"/>
      <c r="B398" s="10" t="n"/>
      <c r="C398" s="11">
        <f>IF(A398="","",$B$5*TAN(RADIANS(A398)))</f>
        <v/>
      </c>
      <c r="D398" s="11">
        <f>IF(C398="","",C398*(1+B398/100))</f>
        <v/>
      </c>
      <c r="E398" s="11">
        <f>IF(A398="","",$B$6*TAN(RADIANS(A398)))</f>
        <v/>
      </c>
    </row>
    <row r="399">
      <c r="A399" s="10" t="n"/>
      <c r="B399" s="10" t="n"/>
      <c r="C399" s="11">
        <f>IF(A399="","",$B$5*TAN(RADIANS(A399)))</f>
        <v/>
      </c>
      <c r="D399" s="11">
        <f>IF(C399="","",C399*(1+B399/100))</f>
        <v/>
      </c>
      <c r="E399" s="11">
        <f>IF(A399="","",$B$6*TAN(RADIANS(A399)))</f>
        <v/>
      </c>
    </row>
    <row r="400">
      <c r="A400" s="10" t="n"/>
      <c r="B400" s="10" t="n"/>
      <c r="C400" s="11">
        <f>IF(A400="","",$B$5*TAN(RADIANS(A400)))</f>
        <v/>
      </c>
      <c r="D400" s="11">
        <f>IF(C400="","",C400*(1+B400/100))</f>
        <v/>
      </c>
      <c r="E400" s="11">
        <f>IF(A400="","",$B$6*TAN(RADIANS(A400)))</f>
        <v/>
      </c>
    </row>
    <row r="401">
      <c r="A401" s="10" t="n"/>
      <c r="B401" s="10" t="n"/>
      <c r="C401" s="11">
        <f>IF(A401="","",$B$5*TAN(RADIANS(A401)))</f>
        <v/>
      </c>
      <c r="D401" s="11">
        <f>IF(C401="","",C401*(1+B401/100))</f>
        <v/>
      </c>
      <c r="E401" s="11">
        <f>IF(A401="","",$B$6*TAN(RADIANS(A401)))</f>
        <v/>
      </c>
    </row>
    <row r="402">
      <c r="A402" s="10" t="n"/>
      <c r="B402" s="10" t="n"/>
      <c r="C402" s="11">
        <f>IF(A402="","",$B$5*TAN(RADIANS(A402)))</f>
        <v/>
      </c>
      <c r="D402" s="11">
        <f>IF(C402="","",C402*(1+B402/100))</f>
        <v/>
      </c>
      <c r="E402" s="11">
        <f>IF(A402="","",$B$6*TAN(RADIANS(A402)))</f>
        <v/>
      </c>
    </row>
    <row r="403">
      <c r="A403" s="10" t="n"/>
      <c r="B403" s="10" t="n"/>
      <c r="C403" s="11">
        <f>IF(A403="","",$B$5*TAN(RADIANS(A403)))</f>
        <v/>
      </c>
      <c r="D403" s="11">
        <f>IF(C403="","",C403*(1+B403/100))</f>
        <v/>
      </c>
      <c r="E403" s="11">
        <f>IF(A403="","",$B$6*TAN(RADIANS(A403)))</f>
        <v/>
      </c>
    </row>
    <row r="404">
      <c r="A404" s="10" t="n"/>
      <c r="B404" s="10" t="n"/>
      <c r="C404" s="11">
        <f>IF(A404="","",$B$5*TAN(RADIANS(A404)))</f>
        <v/>
      </c>
      <c r="D404" s="11">
        <f>IF(C404="","",C404*(1+B404/100))</f>
        <v/>
      </c>
      <c r="E404" s="11">
        <f>IF(A404="","",$B$6*TAN(RADIANS(A404)))</f>
        <v/>
      </c>
    </row>
    <row r="405">
      <c r="A405" s="10" t="n"/>
      <c r="B405" s="10" t="n"/>
      <c r="C405" s="11">
        <f>IF(A405="","",$B$5*TAN(RADIANS(A405)))</f>
        <v/>
      </c>
      <c r="D405" s="11">
        <f>IF(C405="","",C405*(1+B405/100))</f>
        <v/>
      </c>
      <c r="E405" s="11">
        <f>IF(A405="","",$B$6*TAN(RADIANS(A405)))</f>
        <v/>
      </c>
    </row>
    <row r="406">
      <c r="A406" s="10" t="n"/>
      <c r="B406" s="10" t="n"/>
      <c r="C406" s="11">
        <f>IF(A406="","",$B$5*TAN(RADIANS(A406)))</f>
        <v/>
      </c>
      <c r="D406" s="11">
        <f>IF(C406="","",C406*(1+B406/100))</f>
        <v/>
      </c>
      <c r="E406" s="11">
        <f>IF(A406="","",$B$6*TAN(RADIANS(A406)))</f>
        <v/>
      </c>
    </row>
    <row r="407">
      <c r="A407" s="10" t="n"/>
      <c r="B407" s="10" t="n"/>
      <c r="C407" s="11">
        <f>IF(A407="","",$B$5*TAN(RADIANS(A407)))</f>
        <v/>
      </c>
      <c r="D407" s="11">
        <f>IF(C407="","",C407*(1+B407/100))</f>
        <v/>
      </c>
      <c r="E407" s="11">
        <f>IF(A407="","",$B$6*TAN(RADIANS(A407)))</f>
        <v/>
      </c>
    </row>
    <row r="408">
      <c r="A408" s="10" t="n"/>
      <c r="B408" s="10" t="n"/>
      <c r="C408" s="11">
        <f>IF(A408="","",$B$5*TAN(RADIANS(A408)))</f>
        <v/>
      </c>
      <c r="D408" s="11">
        <f>IF(C408="","",C408*(1+B408/100))</f>
        <v/>
      </c>
      <c r="E408" s="11">
        <f>IF(A408="","",$B$6*TAN(RADIANS(A408)))</f>
        <v/>
      </c>
    </row>
    <row r="409">
      <c r="A409" s="10" t="n"/>
      <c r="B409" s="10" t="n"/>
      <c r="C409" s="11">
        <f>IF(A409="","",$B$5*TAN(RADIANS(A409)))</f>
        <v/>
      </c>
      <c r="D409" s="11">
        <f>IF(C409="","",C409*(1+B409/100))</f>
        <v/>
      </c>
      <c r="E409" s="11">
        <f>IF(A409="","",$B$6*TAN(RADIANS(A409)))</f>
        <v/>
      </c>
    </row>
    <row r="410">
      <c r="A410" s="10" t="n"/>
      <c r="B410" s="10" t="n"/>
      <c r="C410" s="11">
        <f>IF(A410="","",$B$5*TAN(RADIANS(A410)))</f>
        <v/>
      </c>
      <c r="D410" s="11">
        <f>IF(C410="","",C410*(1+B410/100))</f>
        <v/>
      </c>
      <c r="E410" s="11">
        <f>IF(A410="","",$B$6*TAN(RADIANS(A410)))</f>
        <v/>
      </c>
    </row>
    <row r="411">
      <c r="A411" s="10" t="n"/>
      <c r="B411" s="10" t="n"/>
      <c r="C411" s="11">
        <f>IF(A411="","",$B$5*TAN(RADIANS(A411)))</f>
        <v/>
      </c>
      <c r="D411" s="11">
        <f>IF(C411="","",C411*(1+B411/100))</f>
        <v/>
      </c>
      <c r="E411" s="11">
        <f>IF(A411="","",$B$6*TAN(RADIANS(A411)))</f>
        <v/>
      </c>
    </row>
    <row r="412">
      <c r="A412" s="10" t="n"/>
      <c r="B412" s="10" t="n"/>
      <c r="C412" s="11">
        <f>IF(A412="","",$B$5*TAN(RADIANS(A412)))</f>
        <v/>
      </c>
      <c r="D412" s="11">
        <f>IF(C412="","",C412*(1+B412/100))</f>
        <v/>
      </c>
      <c r="E412" s="11">
        <f>IF(A412="","",$B$6*TAN(RADIANS(A412)))</f>
        <v/>
      </c>
    </row>
    <row r="413">
      <c r="A413" s="10" t="n"/>
      <c r="B413" s="10" t="n"/>
      <c r="C413" s="11">
        <f>IF(A413="","",$B$5*TAN(RADIANS(A413)))</f>
        <v/>
      </c>
      <c r="D413" s="11">
        <f>IF(C413="","",C413*(1+B413/100))</f>
        <v/>
      </c>
      <c r="E413" s="11">
        <f>IF(A413="","",$B$6*TAN(RADIANS(A413)))</f>
        <v/>
      </c>
    </row>
    <row r="414">
      <c r="A414" s="10" t="n"/>
      <c r="B414" s="10" t="n"/>
      <c r="C414" s="11">
        <f>IF(A414="","",$B$5*TAN(RADIANS(A414)))</f>
        <v/>
      </c>
      <c r="D414" s="11">
        <f>IF(C414="","",C414*(1+B414/100))</f>
        <v/>
      </c>
      <c r="E414" s="11">
        <f>IF(A414="","",$B$6*TAN(RADIANS(A414)))</f>
        <v/>
      </c>
    </row>
    <row r="415">
      <c r="A415" s="10" t="n"/>
      <c r="B415" s="10" t="n"/>
      <c r="C415" s="11">
        <f>IF(A415="","",$B$5*TAN(RADIANS(A415)))</f>
        <v/>
      </c>
      <c r="D415" s="11">
        <f>IF(C415="","",C415*(1+B415/100))</f>
        <v/>
      </c>
      <c r="E415" s="11">
        <f>IF(A415="","",$B$6*TAN(RADIANS(A415)))</f>
        <v/>
      </c>
    </row>
    <row r="416">
      <c r="A416" s="10" t="n"/>
      <c r="B416" s="10" t="n"/>
      <c r="C416" s="11">
        <f>IF(A416="","",$B$5*TAN(RADIANS(A416)))</f>
        <v/>
      </c>
      <c r="D416" s="11">
        <f>IF(C416="","",C416*(1+B416/100))</f>
        <v/>
      </c>
      <c r="E416" s="11">
        <f>IF(A416="","",$B$6*TAN(RADIANS(A416)))</f>
        <v/>
      </c>
    </row>
    <row r="417">
      <c r="A417" s="10" t="n"/>
      <c r="B417" s="10" t="n"/>
      <c r="C417" s="11">
        <f>IF(A417="","",$B$5*TAN(RADIANS(A417)))</f>
        <v/>
      </c>
      <c r="D417" s="11">
        <f>IF(C417="","",C417*(1+B417/100))</f>
        <v/>
      </c>
      <c r="E417" s="11">
        <f>IF(A417="","",$B$6*TAN(RADIANS(A417)))</f>
        <v/>
      </c>
    </row>
    <row r="418">
      <c r="A418" s="10" t="n"/>
      <c r="B418" s="10" t="n"/>
      <c r="C418" s="11">
        <f>IF(A418="","",$B$5*TAN(RADIANS(A418)))</f>
        <v/>
      </c>
      <c r="D418" s="11">
        <f>IF(C418="","",C418*(1+B418/100))</f>
        <v/>
      </c>
      <c r="E418" s="11">
        <f>IF(A418="","",$B$6*TAN(RADIANS(A418)))</f>
        <v/>
      </c>
    </row>
    <row r="419">
      <c r="A419" s="10" t="n"/>
      <c r="B419" s="10" t="n"/>
      <c r="C419" s="11">
        <f>IF(A419="","",$B$5*TAN(RADIANS(A419)))</f>
        <v/>
      </c>
      <c r="D419" s="11">
        <f>IF(C419="","",C419*(1+B419/100))</f>
        <v/>
      </c>
      <c r="E419" s="11">
        <f>IF(A419="","",$B$6*TAN(RADIANS(A419)))</f>
        <v/>
      </c>
    </row>
    <row r="420">
      <c r="A420" s="10" t="n"/>
      <c r="B420" s="10" t="n"/>
      <c r="C420" s="11">
        <f>IF(A420="","",$B$5*TAN(RADIANS(A420)))</f>
        <v/>
      </c>
      <c r="D420" s="11">
        <f>IF(C420="","",C420*(1+B420/100))</f>
        <v/>
      </c>
      <c r="E420" s="11">
        <f>IF(A420="","",$B$6*TAN(RADIANS(A420)))</f>
        <v/>
      </c>
    </row>
    <row r="421">
      <c r="A421" s="10" t="n"/>
      <c r="B421" s="10" t="n"/>
      <c r="C421" s="11">
        <f>IF(A421="","",$B$5*TAN(RADIANS(A421)))</f>
        <v/>
      </c>
      <c r="D421" s="11">
        <f>IF(C421="","",C421*(1+B421/100))</f>
        <v/>
      </c>
      <c r="E421" s="11">
        <f>IF(A421="","",$B$6*TAN(RADIANS(A421)))</f>
        <v/>
      </c>
    </row>
    <row r="422">
      <c r="A422" s="10" t="n"/>
      <c r="B422" s="10" t="n"/>
      <c r="C422" s="11">
        <f>IF(A422="","",$B$5*TAN(RADIANS(A422)))</f>
        <v/>
      </c>
      <c r="D422" s="11">
        <f>IF(C422="","",C422*(1+B422/100))</f>
        <v/>
      </c>
      <c r="E422" s="11">
        <f>IF(A422="","",$B$6*TAN(RADIANS(A422)))</f>
        <v/>
      </c>
    </row>
    <row r="423">
      <c r="A423" s="10" t="n"/>
      <c r="B423" s="10" t="n"/>
      <c r="C423" s="11">
        <f>IF(A423="","",$B$5*TAN(RADIANS(A423)))</f>
        <v/>
      </c>
      <c r="D423" s="11">
        <f>IF(C423="","",C423*(1+B423/100))</f>
        <v/>
      </c>
      <c r="E423" s="11">
        <f>IF(A423="","",$B$6*TAN(RADIANS(A423)))</f>
        <v/>
      </c>
    </row>
    <row r="424">
      <c r="A424" s="10" t="n"/>
      <c r="B424" s="10" t="n"/>
      <c r="C424" s="11">
        <f>IF(A424="","",$B$5*TAN(RADIANS(A424)))</f>
        <v/>
      </c>
      <c r="D424" s="11">
        <f>IF(C424="","",C424*(1+B424/100))</f>
        <v/>
      </c>
      <c r="E424" s="11">
        <f>IF(A424="","",$B$6*TAN(RADIANS(A424)))</f>
        <v/>
      </c>
    </row>
    <row r="425">
      <c r="A425" s="10" t="n"/>
      <c r="B425" s="10" t="n"/>
      <c r="C425" s="11">
        <f>IF(A425="","",$B$5*TAN(RADIANS(A425)))</f>
        <v/>
      </c>
      <c r="D425" s="11">
        <f>IF(C425="","",C425*(1+B425/100))</f>
        <v/>
      </c>
      <c r="E425" s="11">
        <f>IF(A425="","",$B$6*TAN(RADIANS(A425)))</f>
        <v/>
      </c>
    </row>
    <row r="426">
      <c r="A426" s="10" t="n"/>
      <c r="B426" s="10" t="n"/>
      <c r="C426" s="11">
        <f>IF(A426="","",$B$5*TAN(RADIANS(A426)))</f>
        <v/>
      </c>
      <c r="D426" s="11">
        <f>IF(C426="","",C426*(1+B426/100))</f>
        <v/>
      </c>
      <c r="E426" s="11">
        <f>IF(A426="","",$B$6*TAN(RADIANS(A426)))</f>
        <v/>
      </c>
    </row>
    <row r="427">
      <c r="A427" s="10" t="n"/>
      <c r="B427" s="10" t="n"/>
      <c r="C427" s="11">
        <f>IF(A427="","",$B$5*TAN(RADIANS(A427)))</f>
        <v/>
      </c>
      <c r="D427" s="11">
        <f>IF(C427="","",C427*(1+B427/100))</f>
        <v/>
      </c>
      <c r="E427" s="11">
        <f>IF(A427="","",$B$6*TAN(RADIANS(A427)))</f>
        <v/>
      </c>
    </row>
    <row r="428">
      <c r="A428" s="10" t="n"/>
      <c r="B428" s="10" t="n"/>
      <c r="C428" s="11">
        <f>IF(A428="","",$B$5*TAN(RADIANS(A428)))</f>
        <v/>
      </c>
      <c r="D428" s="11">
        <f>IF(C428="","",C428*(1+B428/100))</f>
        <v/>
      </c>
      <c r="E428" s="11">
        <f>IF(A428="","",$B$6*TAN(RADIANS(A428)))</f>
        <v/>
      </c>
    </row>
    <row r="429">
      <c r="A429" s="10" t="n"/>
      <c r="B429" s="10" t="n"/>
      <c r="C429" s="11">
        <f>IF(A429="","",$B$5*TAN(RADIANS(A429)))</f>
        <v/>
      </c>
      <c r="D429" s="11">
        <f>IF(C429="","",C429*(1+B429/100))</f>
        <v/>
      </c>
      <c r="E429" s="11">
        <f>IF(A429="","",$B$6*TAN(RADIANS(A429)))</f>
        <v/>
      </c>
    </row>
    <row r="430">
      <c r="A430" s="10" t="n"/>
      <c r="B430" s="10" t="n"/>
      <c r="C430" s="11">
        <f>IF(A430="","",$B$5*TAN(RADIANS(A430)))</f>
        <v/>
      </c>
      <c r="D430" s="11">
        <f>IF(C430="","",C430*(1+B430/100))</f>
        <v/>
      </c>
      <c r="E430" s="11">
        <f>IF(A430="","",$B$6*TAN(RADIANS(A430)))</f>
        <v/>
      </c>
    </row>
    <row r="431">
      <c r="A431" s="10" t="n"/>
      <c r="B431" s="10" t="n"/>
      <c r="C431" s="11">
        <f>IF(A431="","",$B$5*TAN(RADIANS(A431)))</f>
        <v/>
      </c>
      <c r="D431" s="11">
        <f>IF(C431="","",C431*(1+B431/100))</f>
        <v/>
      </c>
      <c r="E431" s="11">
        <f>IF(A431="","",$B$6*TAN(RADIANS(A431)))</f>
        <v/>
      </c>
    </row>
    <row r="432">
      <c r="A432" s="10" t="n"/>
      <c r="B432" s="10" t="n"/>
      <c r="C432" s="11">
        <f>IF(A432="","",$B$5*TAN(RADIANS(A432)))</f>
        <v/>
      </c>
      <c r="D432" s="11">
        <f>IF(C432="","",C432*(1+B432/100))</f>
        <v/>
      </c>
      <c r="E432" s="11">
        <f>IF(A432="","",$B$6*TAN(RADIANS(A432)))</f>
        <v/>
      </c>
    </row>
    <row r="433">
      <c r="A433" s="10" t="n"/>
      <c r="B433" s="10" t="n"/>
      <c r="C433" s="11">
        <f>IF(A433="","",$B$5*TAN(RADIANS(A433)))</f>
        <v/>
      </c>
      <c r="D433" s="11">
        <f>IF(C433="","",C433*(1+B433/100))</f>
        <v/>
      </c>
      <c r="E433" s="11">
        <f>IF(A433="","",$B$6*TAN(RADIANS(A433)))</f>
        <v/>
      </c>
    </row>
    <row r="434">
      <c r="A434" s="10" t="n"/>
      <c r="B434" s="10" t="n"/>
      <c r="C434" s="11">
        <f>IF(A434="","",$B$5*TAN(RADIANS(A434)))</f>
        <v/>
      </c>
      <c r="D434" s="11">
        <f>IF(C434="","",C434*(1+B434/100))</f>
        <v/>
      </c>
      <c r="E434" s="11">
        <f>IF(A434="","",$B$6*TAN(RADIANS(A434)))</f>
        <v/>
      </c>
    </row>
    <row r="435">
      <c r="A435" s="10" t="n"/>
      <c r="B435" s="10" t="n"/>
      <c r="C435" s="11">
        <f>IF(A435="","",$B$5*TAN(RADIANS(A435)))</f>
        <v/>
      </c>
      <c r="D435" s="11">
        <f>IF(C435="","",C435*(1+B435/100))</f>
        <v/>
      </c>
      <c r="E435" s="11">
        <f>IF(A435="","",$B$6*TAN(RADIANS(A435)))</f>
        <v/>
      </c>
    </row>
    <row r="436">
      <c r="A436" s="10" t="n"/>
      <c r="B436" s="10" t="n"/>
      <c r="C436" s="11">
        <f>IF(A436="","",$B$5*TAN(RADIANS(A436)))</f>
        <v/>
      </c>
      <c r="D436" s="11">
        <f>IF(C436="","",C436*(1+B436/100))</f>
        <v/>
      </c>
      <c r="E436" s="11">
        <f>IF(A436="","",$B$6*TAN(RADIANS(A436)))</f>
        <v/>
      </c>
    </row>
    <row r="437">
      <c r="A437" s="10" t="n"/>
      <c r="B437" s="10" t="n"/>
      <c r="C437" s="11">
        <f>IF(A437="","",$B$5*TAN(RADIANS(A437)))</f>
        <v/>
      </c>
      <c r="D437" s="11">
        <f>IF(C437="","",C437*(1+B437/100))</f>
        <v/>
      </c>
      <c r="E437" s="11">
        <f>IF(A437="","",$B$6*TAN(RADIANS(A437)))</f>
        <v/>
      </c>
    </row>
    <row r="438">
      <c r="A438" s="10" t="n"/>
      <c r="B438" s="10" t="n"/>
      <c r="C438" s="11">
        <f>IF(A438="","",$B$5*TAN(RADIANS(A438)))</f>
        <v/>
      </c>
      <c r="D438" s="11">
        <f>IF(C438="","",C438*(1+B438/100))</f>
        <v/>
      </c>
      <c r="E438" s="11">
        <f>IF(A438="","",$B$6*TAN(RADIANS(A438)))</f>
        <v/>
      </c>
    </row>
    <row r="439">
      <c r="A439" s="10" t="n"/>
      <c r="B439" s="10" t="n"/>
      <c r="C439" s="11">
        <f>IF(A439="","",$B$5*TAN(RADIANS(A439)))</f>
        <v/>
      </c>
      <c r="D439" s="11">
        <f>IF(C439="","",C439*(1+B439/100))</f>
        <v/>
      </c>
      <c r="E439" s="11">
        <f>IF(A439="","",$B$6*TAN(RADIANS(A439)))</f>
        <v/>
      </c>
    </row>
    <row r="440">
      <c r="A440" s="10" t="n"/>
      <c r="B440" s="10" t="n"/>
      <c r="C440" s="11">
        <f>IF(A440="","",$B$5*TAN(RADIANS(A440)))</f>
        <v/>
      </c>
      <c r="D440" s="11">
        <f>IF(C440="","",C440*(1+B440/100))</f>
        <v/>
      </c>
      <c r="E440" s="11">
        <f>IF(A440="","",$B$6*TAN(RADIANS(A440)))</f>
        <v/>
      </c>
    </row>
    <row r="441">
      <c r="A441" s="10" t="n"/>
      <c r="B441" s="10" t="n"/>
      <c r="C441" s="11">
        <f>IF(A441="","",$B$5*TAN(RADIANS(A441)))</f>
        <v/>
      </c>
      <c r="D441" s="11">
        <f>IF(C441="","",C441*(1+B441/100))</f>
        <v/>
      </c>
      <c r="E441" s="11">
        <f>IF(A441="","",$B$6*TAN(RADIANS(A441)))</f>
        <v/>
      </c>
    </row>
    <row r="442">
      <c r="A442" s="10" t="n"/>
      <c r="B442" s="10" t="n"/>
      <c r="C442" s="11">
        <f>IF(A442="","",$B$5*TAN(RADIANS(A442)))</f>
        <v/>
      </c>
      <c r="D442" s="11">
        <f>IF(C442="","",C442*(1+B442/100))</f>
        <v/>
      </c>
      <c r="E442" s="11">
        <f>IF(A442="","",$B$6*TAN(RADIANS(A442)))</f>
        <v/>
      </c>
    </row>
    <row r="443">
      <c r="A443" s="10" t="n"/>
      <c r="B443" s="10" t="n"/>
      <c r="C443" s="11">
        <f>IF(A443="","",$B$5*TAN(RADIANS(A443)))</f>
        <v/>
      </c>
      <c r="D443" s="11">
        <f>IF(C443="","",C443*(1+B443/100))</f>
        <v/>
      </c>
      <c r="E443" s="11">
        <f>IF(A443="","",$B$6*TAN(RADIANS(A443)))</f>
        <v/>
      </c>
    </row>
    <row r="444">
      <c r="A444" s="10" t="n"/>
      <c r="B444" s="10" t="n"/>
      <c r="C444" s="11">
        <f>IF(A444="","",$B$5*TAN(RADIANS(A444)))</f>
        <v/>
      </c>
      <c r="D444" s="11">
        <f>IF(C444="","",C444*(1+B444/100))</f>
        <v/>
      </c>
      <c r="E444" s="11">
        <f>IF(A444="","",$B$6*TAN(RADIANS(A444)))</f>
        <v/>
      </c>
    </row>
    <row r="445">
      <c r="A445" s="10" t="n"/>
      <c r="B445" s="10" t="n"/>
      <c r="C445" s="11">
        <f>IF(A445="","",$B$5*TAN(RADIANS(A445)))</f>
        <v/>
      </c>
      <c r="D445" s="11">
        <f>IF(C445="","",C445*(1+B445/100))</f>
        <v/>
      </c>
      <c r="E445" s="11">
        <f>IF(A445="","",$B$6*TAN(RADIANS(A445)))</f>
        <v/>
      </c>
    </row>
    <row r="446">
      <c r="A446" s="10" t="n"/>
      <c r="B446" s="10" t="n"/>
      <c r="C446" s="11">
        <f>IF(A446="","",$B$5*TAN(RADIANS(A446)))</f>
        <v/>
      </c>
      <c r="D446" s="11">
        <f>IF(C446="","",C446*(1+B446/100))</f>
        <v/>
      </c>
      <c r="E446" s="11">
        <f>IF(A446="","",$B$6*TAN(RADIANS(A446)))</f>
        <v/>
      </c>
    </row>
    <row r="447">
      <c r="A447" s="10" t="n"/>
      <c r="B447" s="10" t="n"/>
      <c r="C447" s="11">
        <f>IF(A447="","",$B$5*TAN(RADIANS(A447)))</f>
        <v/>
      </c>
      <c r="D447" s="11">
        <f>IF(C447="","",C447*(1+B447/100))</f>
        <v/>
      </c>
      <c r="E447" s="11">
        <f>IF(A447="","",$B$6*TAN(RADIANS(A447)))</f>
        <v/>
      </c>
    </row>
    <row r="448">
      <c r="A448" s="10" t="n"/>
      <c r="B448" s="10" t="n"/>
      <c r="C448" s="11">
        <f>IF(A448="","",$B$5*TAN(RADIANS(A448)))</f>
        <v/>
      </c>
      <c r="D448" s="11">
        <f>IF(C448="","",C448*(1+B448/100))</f>
        <v/>
      </c>
      <c r="E448" s="11">
        <f>IF(A448="","",$B$6*TAN(RADIANS(A448)))</f>
        <v/>
      </c>
    </row>
    <row r="449">
      <c r="A449" s="10" t="n"/>
      <c r="B449" s="10" t="n"/>
      <c r="C449" s="11">
        <f>IF(A449="","",$B$5*TAN(RADIANS(A449)))</f>
        <v/>
      </c>
      <c r="D449" s="11">
        <f>IF(C449="","",C449*(1+B449/100))</f>
        <v/>
      </c>
      <c r="E449" s="11">
        <f>IF(A449="","",$B$6*TAN(RADIANS(A449)))</f>
        <v/>
      </c>
    </row>
    <row r="450">
      <c r="A450" s="10" t="n"/>
      <c r="B450" s="10" t="n"/>
      <c r="C450" s="11">
        <f>IF(A450="","",$B$5*TAN(RADIANS(A450)))</f>
        <v/>
      </c>
      <c r="D450" s="11">
        <f>IF(C450="","",C450*(1+B450/100))</f>
        <v/>
      </c>
      <c r="E450" s="11">
        <f>IF(A450="","",$B$6*TAN(RADIANS(A450)))</f>
        <v/>
      </c>
    </row>
    <row r="451">
      <c r="A451" s="10" t="n"/>
      <c r="B451" s="10" t="n"/>
      <c r="C451" s="11">
        <f>IF(A451="","",$B$5*TAN(RADIANS(A451)))</f>
        <v/>
      </c>
      <c r="D451" s="11">
        <f>IF(C451="","",C451*(1+B451/100))</f>
        <v/>
      </c>
      <c r="E451" s="11">
        <f>IF(A451="","",$B$6*TAN(RADIANS(A451)))</f>
        <v/>
      </c>
    </row>
    <row r="452">
      <c r="A452" s="10" t="n"/>
      <c r="B452" s="10" t="n"/>
      <c r="C452" s="11">
        <f>IF(A452="","",$B$5*TAN(RADIANS(A452)))</f>
        <v/>
      </c>
      <c r="D452" s="11">
        <f>IF(C452="","",C452*(1+B452/100))</f>
        <v/>
      </c>
      <c r="E452" s="11">
        <f>IF(A452="","",$B$6*TAN(RADIANS(A452)))</f>
        <v/>
      </c>
    </row>
    <row r="453">
      <c r="A453" s="10" t="n"/>
      <c r="B453" s="10" t="n"/>
      <c r="C453" s="11">
        <f>IF(A453="","",$B$5*TAN(RADIANS(A453)))</f>
        <v/>
      </c>
      <c r="D453" s="11">
        <f>IF(C453="","",C453*(1+B453/100))</f>
        <v/>
      </c>
      <c r="E453" s="11">
        <f>IF(A453="","",$B$6*TAN(RADIANS(A453)))</f>
        <v/>
      </c>
    </row>
    <row r="454">
      <c r="A454" s="10" t="n"/>
      <c r="B454" s="10" t="n"/>
      <c r="C454" s="11">
        <f>IF(A454="","",$B$5*TAN(RADIANS(A454)))</f>
        <v/>
      </c>
      <c r="D454" s="11">
        <f>IF(C454="","",C454*(1+B454/100))</f>
        <v/>
      </c>
      <c r="E454" s="11">
        <f>IF(A454="","",$B$6*TAN(RADIANS(A454)))</f>
        <v/>
      </c>
    </row>
    <row r="455">
      <c r="A455" s="10" t="n"/>
      <c r="B455" s="10" t="n"/>
      <c r="C455" s="11">
        <f>IF(A455="","",$B$5*TAN(RADIANS(A455)))</f>
        <v/>
      </c>
      <c r="D455" s="11">
        <f>IF(C455="","",C455*(1+B455/100))</f>
        <v/>
      </c>
      <c r="E455" s="11">
        <f>IF(A455="","",$B$6*TAN(RADIANS(A455)))</f>
        <v/>
      </c>
    </row>
    <row r="456">
      <c r="A456" s="10" t="n"/>
      <c r="B456" s="10" t="n"/>
      <c r="C456" s="11">
        <f>IF(A456="","",$B$5*TAN(RADIANS(A456)))</f>
        <v/>
      </c>
      <c r="D456" s="11">
        <f>IF(C456="","",C456*(1+B456/100))</f>
        <v/>
      </c>
      <c r="E456" s="11">
        <f>IF(A456="","",$B$6*TAN(RADIANS(A456)))</f>
        <v/>
      </c>
    </row>
    <row r="457">
      <c r="A457" s="10" t="n"/>
      <c r="B457" s="10" t="n"/>
      <c r="C457" s="11">
        <f>IF(A457="","",$B$5*TAN(RADIANS(A457)))</f>
        <v/>
      </c>
      <c r="D457" s="11">
        <f>IF(C457="","",C457*(1+B457/100))</f>
        <v/>
      </c>
      <c r="E457" s="11">
        <f>IF(A457="","",$B$6*TAN(RADIANS(A457)))</f>
        <v/>
      </c>
    </row>
    <row r="458">
      <c r="A458" s="10" t="n"/>
      <c r="B458" s="10" t="n"/>
      <c r="C458" s="11">
        <f>IF(A458="","",$B$5*TAN(RADIANS(A458)))</f>
        <v/>
      </c>
      <c r="D458" s="11">
        <f>IF(C458="","",C458*(1+B458/100))</f>
        <v/>
      </c>
      <c r="E458" s="11">
        <f>IF(A458="","",$B$6*TAN(RADIANS(A458)))</f>
        <v/>
      </c>
    </row>
    <row r="459">
      <c r="A459" s="10" t="n"/>
      <c r="B459" s="10" t="n"/>
      <c r="C459" s="11">
        <f>IF(A459="","",$B$5*TAN(RADIANS(A459)))</f>
        <v/>
      </c>
      <c r="D459" s="11">
        <f>IF(C459="","",C459*(1+B459/100))</f>
        <v/>
      </c>
      <c r="E459" s="11">
        <f>IF(A459="","",$B$6*TAN(RADIANS(A459)))</f>
        <v/>
      </c>
    </row>
    <row r="460">
      <c r="A460" s="10" t="n"/>
      <c r="B460" s="10" t="n"/>
      <c r="C460" s="11">
        <f>IF(A460="","",$B$5*TAN(RADIANS(A460)))</f>
        <v/>
      </c>
      <c r="D460" s="11">
        <f>IF(C460="","",C460*(1+B460/100))</f>
        <v/>
      </c>
      <c r="E460" s="11">
        <f>IF(A460="","",$B$6*TAN(RADIANS(A460)))</f>
        <v/>
      </c>
    </row>
    <row r="461">
      <c r="A461" s="10" t="n"/>
      <c r="B461" s="10" t="n"/>
      <c r="C461" s="11">
        <f>IF(A461="","",$B$5*TAN(RADIANS(A461)))</f>
        <v/>
      </c>
      <c r="D461" s="11">
        <f>IF(C461="","",C461*(1+B461/100))</f>
        <v/>
      </c>
      <c r="E461" s="11">
        <f>IF(A461="","",$B$6*TAN(RADIANS(A461)))</f>
        <v/>
      </c>
    </row>
    <row r="462">
      <c r="A462" s="10" t="n"/>
      <c r="B462" s="10" t="n"/>
      <c r="C462" s="11">
        <f>IF(A462="","",$B$5*TAN(RADIANS(A462)))</f>
        <v/>
      </c>
      <c r="D462" s="11">
        <f>IF(C462="","",C462*(1+B462/100))</f>
        <v/>
      </c>
      <c r="E462" s="11">
        <f>IF(A462="","",$B$6*TAN(RADIANS(A462)))</f>
        <v/>
      </c>
    </row>
    <row r="463">
      <c r="A463" s="10" t="n"/>
      <c r="B463" s="10" t="n"/>
      <c r="C463" s="11">
        <f>IF(A463="","",$B$5*TAN(RADIANS(A463)))</f>
        <v/>
      </c>
      <c r="D463" s="11">
        <f>IF(C463="","",C463*(1+B463/100))</f>
        <v/>
      </c>
      <c r="E463" s="11">
        <f>IF(A463="","",$B$6*TAN(RADIANS(A463)))</f>
        <v/>
      </c>
    </row>
    <row r="464">
      <c r="A464" s="10" t="n"/>
      <c r="B464" s="10" t="n"/>
      <c r="C464" s="11">
        <f>IF(A464="","",$B$5*TAN(RADIANS(A464)))</f>
        <v/>
      </c>
      <c r="D464" s="11">
        <f>IF(C464="","",C464*(1+B464/100))</f>
        <v/>
      </c>
      <c r="E464" s="11">
        <f>IF(A464="","",$B$6*TAN(RADIANS(A464)))</f>
        <v/>
      </c>
    </row>
    <row r="465">
      <c r="A465" s="10" t="n"/>
      <c r="B465" s="10" t="n"/>
      <c r="C465" s="11">
        <f>IF(A465="","",$B$5*TAN(RADIANS(A465)))</f>
        <v/>
      </c>
      <c r="D465" s="11">
        <f>IF(C465="","",C465*(1+B465/100))</f>
        <v/>
      </c>
      <c r="E465" s="11">
        <f>IF(A465="","",$B$6*TAN(RADIANS(A465)))</f>
        <v/>
      </c>
    </row>
    <row r="466">
      <c r="A466" s="10" t="n"/>
      <c r="B466" s="10" t="n"/>
      <c r="C466" s="11">
        <f>IF(A466="","",$B$5*TAN(RADIANS(A466)))</f>
        <v/>
      </c>
      <c r="D466" s="11">
        <f>IF(C466="","",C466*(1+B466/100))</f>
        <v/>
      </c>
      <c r="E466" s="11">
        <f>IF(A466="","",$B$6*TAN(RADIANS(A466)))</f>
        <v/>
      </c>
    </row>
    <row r="467">
      <c r="A467" s="10" t="n"/>
      <c r="B467" s="10" t="n"/>
      <c r="C467" s="11">
        <f>IF(A467="","",$B$5*TAN(RADIANS(A467)))</f>
        <v/>
      </c>
      <c r="D467" s="11">
        <f>IF(C467="","",C467*(1+B467/100))</f>
        <v/>
      </c>
      <c r="E467" s="11">
        <f>IF(A467="","",$B$6*TAN(RADIANS(A467)))</f>
        <v/>
      </c>
    </row>
    <row r="468">
      <c r="A468" s="10" t="n"/>
      <c r="B468" s="10" t="n"/>
      <c r="C468" s="11">
        <f>IF(A468="","",$B$5*TAN(RADIANS(A468)))</f>
        <v/>
      </c>
      <c r="D468" s="11">
        <f>IF(C468="","",C468*(1+B468/100))</f>
        <v/>
      </c>
      <c r="E468" s="11">
        <f>IF(A468="","",$B$6*TAN(RADIANS(A468)))</f>
        <v/>
      </c>
    </row>
    <row r="469">
      <c r="A469" s="10" t="n"/>
      <c r="B469" s="10" t="n"/>
      <c r="C469" s="11">
        <f>IF(A469="","",$B$5*TAN(RADIANS(A469)))</f>
        <v/>
      </c>
      <c r="D469" s="11">
        <f>IF(C469="","",C469*(1+B469/100))</f>
        <v/>
      </c>
      <c r="E469" s="11">
        <f>IF(A469="","",$B$6*TAN(RADIANS(A469)))</f>
        <v/>
      </c>
    </row>
    <row r="470">
      <c r="A470" s="10" t="n"/>
      <c r="B470" s="10" t="n"/>
      <c r="C470" s="11">
        <f>IF(A470="","",$B$5*TAN(RADIANS(A470)))</f>
        <v/>
      </c>
      <c r="D470" s="11">
        <f>IF(C470="","",C470*(1+B470/100))</f>
        <v/>
      </c>
      <c r="E470" s="11">
        <f>IF(A470="","",$B$6*TAN(RADIANS(A470)))</f>
        <v/>
      </c>
    </row>
    <row r="471">
      <c r="A471" s="10" t="n"/>
      <c r="B471" s="10" t="n"/>
      <c r="C471" s="11">
        <f>IF(A471="","",$B$5*TAN(RADIANS(A471)))</f>
        <v/>
      </c>
      <c r="D471" s="11">
        <f>IF(C471="","",C471*(1+B471/100))</f>
        <v/>
      </c>
      <c r="E471" s="11">
        <f>IF(A471="","",$B$6*TAN(RADIANS(A471)))</f>
        <v/>
      </c>
    </row>
    <row r="472">
      <c r="A472" s="10" t="n"/>
      <c r="B472" s="10" t="n"/>
      <c r="C472" s="11">
        <f>IF(A472="","",$B$5*TAN(RADIANS(A472)))</f>
        <v/>
      </c>
      <c r="D472" s="11">
        <f>IF(C472="","",C472*(1+B472/100))</f>
        <v/>
      </c>
      <c r="E472" s="11">
        <f>IF(A472="","",$B$6*TAN(RADIANS(A472)))</f>
        <v/>
      </c>
    </row>
    <row r="473">
      <c r="A473" s="10" t="n"/>
      <c r="B473" s="10" t="n"/>
      <c r="C473" s="11">
        <f>IF(A473="","",$B$5*TAN(RADIANS(A473)))</f>
        <v/>
      </c>
      <c r="D473" s="11">
        <f>IF(C473="","",C473*(1+B473/100))</f>
        <v/>
      </c>
      <c r="E473" s="11">
        <f>IF(A473="","",$B$6*TAN(RADIANS(A473)))</f>
        <v/>
      </c>
    </row>
    <row r="474">
      <c r="A474" s="10" t="n"/>
      <c r="B474" s="10" t="n"/>
      <c r="C474" s="11">
        <f>IF(A474="","",$B$5*TAN(RADIANS(A474)))</f>
        <v/>
      </c>
      <c r="D474" s="11">
        <f>IF(C474="","",C474*(1+B474/100))</f>
        <v/>
      </c>
      <c r="E474" s="11">
        <f>IF(A474="","",$B$6*TAN(RADIANS(A474)))</f>
        <v/>
      </c>
    </row>
    <row r="475">
      <c r="A475" s="10" t="n"/>
      <c r="B475" s="10" t="n"/>
      <c r="C475" s="11">
        <f>IF(A475="","",$B$5*TAN(RADIANS(A475)))</f>
        <v/>
      </c>
      <c r="D475" s="11">
        <f>IF(C475="","",C475*(1+B475/100))</f>
        <v/>
      </c>
      <c r="E475" s="11">
        <f>IF(A475="","",$B$6*TAN(RADIANS(A475)))</f>
        <v/>
      </c>
    </row>
    <row r="476">
      <c r="A476" s="10" t="n"/>
      <c r="B476" s="10" t="n"/>
      <c r="C476" s="11">
        <f>IF(A476="","",$B$5*TAN(RADIANS(A476)))</f>
        <v/>
      </c>
      <c r="D476" s="11">
        <f>IF(C476="","",C476*(1+B476/100))</f>
        <v/>
      </c>
      <c r="E476" s="11">
        <f>IF(A476="","",$B$6*TAN(RADIANS(A476)))</f>
        <v/>
      </c>
    </row>
    <row r="477">
      <c r="A477" s="10" t="n"/>
      <c r="B477" s="10" t="n"/>
      <c r="C477" s="11">
        <f>IF(A477="","",$B$5*TAN(RADIANS(A477)))</f>
        <v/>
      </c>
      <c r="D477" s="11">
        <f>IF(C477="","",C477*(1+B477/100))</f>
        <v/>
      </c>
      <c r="E477" s="11">
        <f>IF(A477="","",$B$6*TAN(RADIANS(A477)))</f>
        <v/>
      </c>
    </row>
    <row r="478">
      <c r="A478" s="10" t="n"/>
      <c r="B478" s="10" t="n"/>
      <c r="C478" s="11">
        <f>IF(A478="","",$B$5*TAN(RADIANS(A478)))</f>
        <v/>
      </c>
      <c r="D478" s="11">
        <f>IF(C478="","",C478*(1+B478/100))</f>
        <v/>
      </c>
      <c r="E478" s="11">
        <f>IF(A478="","",$B$6*TAN(RADIANS(A478)))</f>
        <v/>
      </c>
    </row>
    <row r="479">
      <c r="A479" s="10" t="n"/>
      <c r="B479" s="10" t="n"/>
      <c r="C479" s="11">
        <f>IF(A479="","",$B$5*TAN(RADIANS(A479)))</f>
        <v/>
      </c>
      <c r="D479" s="11">
        <f>IF(C479="","",C479*(1+B479/100))</f>
        <v/>
      </c>
      <c r="E479" s="11">
        <f>IF(A479="","",$B$6*TAN(RADIANS(A479)))</f>
        <v/>
      </c>
    </row>
    <row r="480">
      <c r="A480" s="10" t="n"/>
      <c r="B480" s="10" t="n"/>
      <c r="C480" s="11">
        <f>IF(A480="","",$B$5*TAN(RADIANS(A480)))</f>
        <v/>
      </c>
      <c r="D480" s="11">
        <f>IF(C480="","",C480*(1+B480/100))</f>
        <v/>
      </c>
      <c r="E480" s="11">
        <f>IF(A480="","",$B$6*TAN(RADIANS(A480)))</f>
        <v/>
      </c>
    </row>
    <row r="481">
      <c r="A481" s="10" t="n"/>
      <c r="B481" s="10" t="n"/>
      <c r="C481" s="11">
        <f>IF(A481="","",$B$5*TAN(RADIANS(A481)))</f>
        <v/>
      </c>
      <c r="D481" s="11">
        <f>IF(C481="","",C481*(1+B481/100))</f>
        <v/>
      </c>
      <c r="E481" s="11">
        <f>IF(A481="","",$B$6*TAN(RADIANS(A481)))</f>
        <v/>
      </c>
    </row>
    <row r="482">
      <c r="A482" s="10" t="n"/>
      <c r="B482" s="10" t="n"/>
      <c r="C482" s="11">
        <f>IF(A482="","",$B$5*TAN(RADIANS(A482)))</f>
        <v/>
      </c>
      <c r="D482" s="11">
        <f>IF(C482="","",C482*(1+B482/100))</f>
        <v/>
      </c>
      <c r="E482" s="11">
        <f>IF(A482="","",$B$6*TAN(RADIANS(A482)))</f>
        <v/>
      </c>
    </row>
    <row r="483">
      <c r="A483" s="10" t="n"/>
      <c r="B483" s="10" t="n"/>
      <c r="C483" s="11">
        <f>IF(A483="","",$B$5*TAN(RADIANS(A483)))</f>
        <v/>
      </c>
      <c r="D483" s="11">
        <f>IF(C483="","",C483*(1+B483/100))</f>
        <v/>
      </c>
      <c r="E483" s="11">
        <f>IF(A483="","",$B$6*TAN(RADIANS(A483)))</f>
        <v/>
      </c>
    </row>
    <row r="484">
      <c r="A484" s="10" t="n"/>
      <c r="B484" s="10" t="n"/>
      <c r="C484" s="11">
        <f>IF(A484="","",$B$5*TAN(RADIANS(A484)))</f>
        <v/>
      </c>
      <c r="D484" s="11">
        <f>IF(C484="","",C484*(1+B484/100))</f>
        <v/>
      </c>
      <c r="E484" s="11">
        <f>IF(A484="","",$B$6*TAN(RADIANS(A484)))</f>
        <v/>
      </c>
    </row>
    <row r="485">
      <c r="A485" s="10" t="n"/>
      <c r="B485" s="10" t="n"/>
      <c r="C485" s="11">
        <f>IF(A485="","",$B$5*TAN(RADIANS(A485)))</f>
        <v/>
      </c>
      <c r="D485" s="11">
        <f>IF(C485="","",C485*(1+B485/100))</f>
        <v/>
      </c>
      <c r="E485" s="11">
        <f>IF(A485="","",$B$6*TAN(RADIANS(A485)))</f>
        <v/>
      </c>
    </row>
    <row r="486">
      <c r="A486" s="10" t="n"/>
      <c r="B486" s="10" t="n"/>
      <c r="C486" s="11">
        <f>IF(A486="","",$B$5*TAN(RADIANS(A486)))</f>
        <v/>
      </c>
      <c r="D486" s="11">
        <f>IF(C486="","",C486*(1+B486/100))</f>
        <v/>
      </c>
      <c r="E486" s="11">
        <f>IF(A486="","",$B$6*TAN(RADIANS(A486)))</f>
        <v/>
      </c>
    </row>
    <row r="487">
      <c r="A487" s="10" t="n"/>
      <c r="B487" s="10" t="n"/>
      <c r="C487" s="11">
        <f>IF(A487="","",$B$5*TAN(RADIANS(A487)))</f>
        <v/>
      </c>
      <c r="D487" s="11">
        <f>IF(C487="","",C487*(1+B487/100))</f>
        <v/>
      </c>
      <c r="E487" s="11">
        <f>IF(A487="","",$B$6*TAN(RADIANS(A487)))</f>
        <v/>
      </c>
    </row>
    <row r="488">
      <c r="A488" s="10" t="n"/>
      <c r="B488" s="10" t="n"/>
      <c r="C488" s="11">
        <f>IF(A488="","",$B$5*TAN(RADIANS(A488)))</f>
        <v/>
      </c>
      <c r="D488" s="11">
        <f>IF(C488="","",C488*(1+B488/100))</f>
        <v/>
      </c>
      <c r="E488" s="11">
        <f>IF(A488="","",$B$6*TAN(RADIANS(A488)))</f>
        <v/>
      </c>
    </row>
    <row r="489">
      <c r="A489" s="10" t="n"/>
      <c r="B489" s="10" t="n"/>
      <c r="C489" s="11">
        <f>IF(A489="","",$B$5*TAN(RADIANS(A489)))</f>
        <v/>
      </c>
      <c r="D489" s="11">
        <f>IF(C489="","",C489*(1+B489/100))</f>
        <v/>
      </c>
      <c r="E489" s="11">
        <f>IF(A489="","",$B$6*TAN(RADIANS(A489)))</f>
        <v/>
      </c>
    </row>
    <row r="490">
      <c r="A490" s="10" t="n"/>
      <c r="B490" s="10" t="n"/>
      <c r="C490" s="11">
        <f>IF(A490="","",$B$5*TAN(RADIANS(A490)))</f>
        <v/>
      </c>
      <c r="D490" s="11">
        <f>IF(C490="","",C490*(1+B490/100))</f>
        <v/>
      </c>
      <c r="E490" s="11">
        <f>IF(A490="","",$B$6*TAN(RADIANS(A490)))</f>
        <v/>
      </c>
    </row>
    <row r="491">
      <c r="A491" s="10" t="n"/>
      <c r="B491" s="10" t="n"/>
      <c r="C491" s="11">
        <f>IF(A491="","",$B$5*TAN(RADIANS(A491)))</f>
        <v/>
      </c>
      <c r="D491" s="11">
        <f>IF(C491="","",C491*(1+B491/100))</f>
        <v/>
      </c>
      <c r="E491" s="11">
        <f>IF(A491="","",$B$6*TAN(RADIANS(A491)))</f>
        <v/>
      </c>
    </row>
    <row r="492">
      <c r="A492" s="10" t="n"/>
      <c r="B492" s="10" t="n"/>
      <c r="C492" s="11">
        <f>IF(A492="","",$B$5*TAN(RADIANS(A492)))</f>
        <v/>
      </c>
      <c r="D492" s="11">
        <f>IF(C492="","",C492*(1+B492/100))</f>
        <v/>
      </c>
      <c r="E492" s="11">
        <f>IF(A492="","",$B$6*TAN(RADIANS(A492)))</f>
        <v/>
      </c>
    </row>
    <row r="493">
      <c r="A493" s="10" t="n"/>
      <c r="B493" s="10" t="n"/>
      <c r="C493" s="11">
        <f>IF(A493="","",$B$5*TAN(RADIANS(A493)))</f>
        <v/>
      </c>
      <c r="D493" s="11">
        <f>IF(C493="","",C493*(1+B493/100))</f>
        <v/>
      </c>
      <c r="E493" s="11">
        <f>IF(A493="","",$B$6*TAN(RADIANS(A493)))</f>
        <v/>
      </c>
    </row>
    <row r="494">
      <c r="A494" s="10" t="n"/>
      <c r="B494" s="10" t="n"/>
      <c r="C494" s="11">
        <f>IF(A494="","",$B$5*TAN(RADIANS(A494)))</f>
        <v/>
      </c>
      <c r="D494" s="11">
        <f>IF(C494="","",C494*(1+B494/100))</f>
        <v/>
      </c>
      <c r="E494" s="11">
        <f>IF(A494="","",$B$6*TAN(RADIANS(A494)))</f>
        <v/>
      </c>
    </row>
    <row r="495">
      <c r="A495" s="10" t="n"/>
      <c r="B495" s="10" t="n"/>
      <c r="C495" s="11">
        <f>IF(A495="","",$B$5*TAN(RADIANS(A495)))</f>
        <v/>
      </c>
      <c r="D495" s="11">
        <f>IF(C495="","",C495*(1+B495/100))</f>
        <v/>
      </c>
      <c r="E495" s="11">
        <f>IF(A495="","",$B$6*TAN(RADIANS(A495)))</f>
        <v/>
      </c>
    </row>
    <row r="496">
      <c r="A496" s="10" t="n"/>
      <c r="B496" s="10" t="n"/>
      <c r="C496" s="11">
        <f>IF(A496="","",$B$5*TAN(RADIANS(A496)))</f>
        <v/>
      </c>
      <c r="D496" s="11">
        <f>IF(C496="","",C496*(1+B496/100))</f>
        <v/>
      </c>
      <c r="E496" s="11">
        <f>IF(A496="","",$B$6*TAN(RADIANS(A496)))</f>
        <v/>
      </c>
    </row>
    <row r="497">
      <c r="A497" s="10" t="n"/>
      <c r="B497" s="10" t="n"/>
      <c r="C497" s="11">
        <f>IF(A497="","",$B$5*TAN(RADIANS(A497)))</f>
        <v/>
      </c>
      <c r="D497" s="11">
        <f>IF(C497="","",C497*(1+B497/100))</f>
        <v/>
      </c>
      <c r="E497" s="11">
        <f>IF(A497="","",$B$6*TAN(RADIANS(A497)))</f>
        <v/>
      </c>
    </row>
    <row r="498">
      <c r="A498" s="10" t="n"/>
      <c r="B498" s="10" t="n"/>
      <c r="C498" s="11">
        <f>IF(A498="","",$B$5*TAN(RADIANS(A498)))</f>
        <v/>
      </c>
      <c r="D498" s="11">
        <f>IF(C498="","",C498*(1+B498/100))</f>
        <v/>
      </c>
      <c r="E498" s="11">
        <f>IF(A498="","",$B$6*TAN(RADIANS(A498)))</f>
        <v/>
      </c>
    </row>
    <row r="499">
      <c r="A499" s="10" t="n"/>
      <c r="B499" s="10" t="n"/>
      <c r="C499" s="11">
        <f>IF(A499="","",$B$5*TAN(RADIANS(A499)))</f>
        <v/>
      </c>
      <c r="D499" s="11">
        <f>IF(C499="","",C499*(1+B499/100))</f>
        <v/>
      </c>
      <c r="E499" s="11">
        <f>IF(A499="","",$B$6*TAN(RADIANS(A499)))</f>
        <v/>
      </c>
    </row>
    <row r="500">
      <c r="A500" s="10" t="n"/>
      <c r="B500" s="10" t="n"/>
      <c r="C500" s="11">
        <f>IF(A500="","",$B$5*TAN(RADIANS(A500)))</f>
        <v/>
      </c>
      <c r="D500" s="11">
        <f>IF(C500="","",C500*(1+B500/100))</f>
        <v/>
      </c>
      <c r="E500" s="11">
        <f>IF(A500="","",$B$6*TAN(RADIANS(A500)))</f>
        <v/>
      </c>
    </row>
    <row r="501">
      <c r="A501" s="10" t="n"/>
      <c r="B501" s="10" t="n"/>
      <c r="C501" s="11">
        <f>IF(A501="","",$B$5*TAN(RADIANS(A501)))</f>
        <v/>
      </c>
      <c r="D501" s="11">
        <f>IF(C501="","",C501*(1+B501/100))</f>
        <v/>
      </c>
      <c r="E501" s="11">
        <f>IF(A501="","",$B$6*TAN(RADIANS(A501)))</f>
        <v/>
      </c>
    </row>
    <row r="502">
      <c r="A502" s="10" t="n"/>
      <c r="B502" s="10" t="n"/>
      <c r="C502" s="11">
        <f>IF(A502="","",$B$5*TAN(RADIANS(A502)))</f>
        <v/>
      </c>
      <c r="D502" s="11">
        <f>IF(C502="","",C502*(1+B502/100))</f>
        <v/>
      </c>
      <c r="E502" s="11">
        <f>IF(A502="","",$B$6*TAN(RADIANS(A502)))</f>
        <v/>
      </c>
    </row>
    <row r="503">
      <c r="A503" s="10" t="n"/>
      <c r="B503" s="10" t="n"/>
      <c r="C503" s="11">
        <f>IF(A503="","",$B$5*TAN(RADIANS(A503)))</f>
        <v/>
      </c>
      <c r="D503" s="11">
        <f>IF(C503="","",C503*(1+B503/100))</f>
        <v/>
      </c>
      <c r="E503" s="11">
        <f>IF(A503="","",$B$6*TAN(RADIANS(A503)))</f>
        <v/>
      </c>
    </row>
    <row r="504">
      <c r="A504" s="10" t="n"/>
      <c r="B504" s="10" t="n"/>
      <c r="C504" s="11">
        <f>IF(A504="","",$B$5*TAN(RADIANS(A504)))</f>
        <v/>
      </c>
      <c r="D504" s="11">
        <f>IF(C504="","",C504*(1+B504/100))</f>
        <v/>
      </c>
      <c r="E504" s="11">
        <f>IF(A504="","",$B$6*TAN(RADIANS(A504)))</f>
        <v/>
      </c>
    </row>
    <row r="505">
      <c r="A505" s="10" t="n"/>
      <c r="B505" s="10" t="n"/>
      <c r="C505" s="11">
        <f>IF(A505="","",$B$5*TAN(RADIANS(A505)))</f>
        <v/>
      </c>
      <c r="D505" s="11">
        <f>IF(C505="","",C505*(1+B505/100))</f>
        <v/>
      </c>
      <c r="E505" s="11">
        <f>IF(A505="","",$B$6*TAN(RADIANS(A505)))</f>
        <v/>
      </c>
    </row>
    <row r="506">
      <c r="A506" s="10" t="n"/>
      <c r="B506" s="10" t="n"/>
      <c r="C506" s="11">
        <f>IF(A506="","",$B$5*TAN(RADIANS(A506)))</f>
        <v/>
      </c>
      <c r="D506" s="11">
        <f>IF(C506="","",C506*(1+B506/100))</f>
        <v/>
      </c>
      <c r="E506" s="11">
        <f>IF(A506="","",$B$6*TAN(RADIANS(A506)))</f>
        <v/>
      </c>
    </row>
    <row r="507">
      <c r="A507" s="10" t="n"/>
      <c r="B507" s="10" t="n"/>
      <c r="C507" s="11">
        <f>IF(A507="","",$B$5*TAN(RADIANS(A507)))</f>
        <v/>
      </c>
      <c r="D507" s="11">
        <f>IF(C507="","",C507*(1+B507/100))</f>
        <v/>
      </c>
      <c r="E507" s="11">
        <f>IF(A507="","",$B$6*TAN(RADIANS(A507)))</f>
        <v/>
      </c>
    </row>
    <row r="508">
      <c r="A508" s="10" t="n"/>
      <c r="B508" s="10" t="n"/>
      <c r="C508" s="11">
        <f>IF(A508="","",$B$5*TAN(RADIANS(A508)))</f>
        <v/>
      </c>
      <c r="D508" s="11">
        <f>IF(C508="","",C508*(1+B508/100))</f>
        <v/>
      </c>
      <c r="E508" s="11">
        <f>IF(A508="","",$B$6*TAN(RADIANS(A508)))</f>
        <v/>
      </c>
    </row>
    <row r="509">
      <c r="A509" s="10" t="n"/>
      <c r="B509" s="10" t="n"/>
      <c r="C509" s="11">
        <f>IF(A509="","",$B$5*TAN(RADIANS(A509)))</f>
        <v/>
      </c>
      <c r="D509" s="11">
        <f>IF(C509="","",C509*(1+B509/100))</f>
        <v/>
      </c>
      <c r="E509" s="11">
        <f>IF(A509="","",$B$6*TAN(RADIANS(A509)))</f>
        <v/>
      </c>
    </row>
    <row r="510">
      <c r="A510" s="10" t="n"/>
      <c r="B510" s="10" t="n"/>
      <c r="C510" s="11">
        <f>IF(A510="","",$B$5*TAN(RADIANS(A510)))</f>
        <v/>
      </c>
      <c r="D510" s="11">
        <f>IF(C510="","",C510*(1+B510/100))</f>
        <v/>
      </c>
      <c r="E510" s="11">
        <f>IF(A510="","",$B$6*TAN(RADIANS(A510)))</f>
        <v/>
      </c>
    </row>
    <row r="511">
      <c r="A511" s="10" t="n"/>
      <c r="B511" s="10" t="n"/>
      <c r="C511" s="11">
        <f>IF(A511="","",$B$5*TAN(RADIANS(A511)))</f>
        <v/>
      </c>
      <c r="D511" s="11">
        <f>IF(C511="","",C511*(1+B511/100))</f>
        <v/>
      </c>
      <c r="E511" s="11">
        <f>IF(A511="","",$B$6*TAN(RADIANS(A511)))</f>
        <v/>
      </c>
    </row>
    <row r="512">
      <c r="A512" s="10" t="n"/>
      <c r="B512" s="10" t="n"/>
      <c r="C512" s="11">
        <f>IF(A512="","",$B$5*TAN(RADIANS(A512)))</f>
        <v/>
      </c>
      <c r="D512" s="11">
        <f>IF(C512="","",C512*(1+B512/100))</f>
        <v/>
      </c>
      <c r="E512" s="11">
        <f>IF(A512="","",$B$6*TAN(RADIANS(A512)))</f>
        <v/>
      </c>
    </row>
    <row r="513">
      <c r="A513" s="10" t="n"/>
      <c r="B513" s="10" t="n"/>
      <c r="C513" s="11">
        <f>IF(A513="","",$B$5*TAN(RADIANS(A513)))</f>
        <v/>
      </c>
      <c r="D513" s="11">
        <f>IF(C513="","",C513*(1+B513/100))</f>
        <v/>
      </c>
      <c r="E513" s="11">
        <f>IF(A513="","",$B$6*TAN(RADIANS(A513)))</f>
        <v/>
      </c>
    </row>
    <row r="514">
      <c r="A514" s="10" t="n"/>
      <c r="B514" s="10" t="n"/>
      <c r="C514" s="11">
        <f>IF(A514="","",$B$5*TAN(RADIANS(A514)))</f>
        <v/>
      </c>
      <c r="D514" s="11">
        <f>IF(C514="","",C514*(1+B514/100))</f>
        <v/>
      </c>
      <c r="E514" s="11">
        <f>IF(A514="","",$B$6*TAN(RADIANS(A514)))</f>
        <v/>
      </c>
    </row>
    <row r="515">
      <c r="A515" s="10" t="n"/>
      <c r="B515" s="10" t="n"/>
      <c r="C515" s="11">
        <f>IF(A515="","",$B$5*TAN(RADIANS(A515)))</f>
        <v/>
      </c>
      <c r="D515" s="11">
        <f>IF(C515="","",C515*(1+B515/100))</f>
        <v/>
      </c>
      <c r="E515" s="11">
        <f>IF(A515="","",$B$6*TAN(RADIANS(A515)))</f>
        <v/>
      </c>
    </row>
    <row r="516">
      <c r="A516" s="10" t="n"/>
      <c r="B516" s="10" t="n"/>
      <c r="C516" s="11">
        <f>IF(A516="","",$B$5*TAN(RADIANS(A516)))</f>
        <v/>
      </c>
      <c r="D516" s="11">
        <f>IF(C516="","",C516*(1+B516/100))</f>
        <v/>
      </c>
      <c r="E516" s="11">
        <f>IF(A516="","",$B$6*TAN(RADIANS(A516)))</f>
        <v/>
      </c>
    </row>
    <row r="517">
      <c r="A517" s="10" t="n"/>
      <c r="B517" s="10" t="n"/>
      <c r="C517" s="11">
        <f>IF(A517="","",$B$5*TAN(RADIANS(A517)))</f>
        <v/>
      </c>
      <c r="D517" s="11">
        <f>IF(C517="","",C517*(1+B517/100))</f>
        <v/>
      </c>
      <c r="E517" s="11">
        <f>IF(A517="","",$B$6*TAN(RADIANS(A517)))</f>
        <v/>
      </c>
    </row>
    <row r="518">
      <c r="A518" s="10" t="n"/>
      <c r="B518" s="10" t="n"/>
      <c r="C518" s="11">
        <f>IF(A518="","",$B$5*TAN(RADIANS(A518)))</f>
        <v/>
      </c>
      <c r="D518" s="11">
        <f>IF(C518="","",C518*(1+B518/100))</f>
        <v/>
      </c>
      <c r="E518" s="11">
        <f>IF(A518="","",$B$6*TAN(RADIANS(A518)))</f>
        <v/>
      </c>
    </row>
    <row r="519">
      <c r="A519" s="10" t="n"/>
      <c r="B519" s="10" t="n"/>
      <c r="C519" s="11">
        <f>IF(A519="","",$B$5*TAN(RADIANS(A519)))</f>
        <v/>
      </c>
      <c r="D519" s="11">
        <f>IF(C519="","",C519*(1+B519/100))</f>
        <v/>
      </c>
      <c r="E519" s="11">
        <f>IF(A519="","",$B$6*TAN(RADIANS(A519)))</f>
        <v/>
      </c>
    </row>
    <row r="520">
      <c r="A520" s="10" t="n"/>
      <c r="B520" s="10" t="n"/>
      <c r="C520" s="11">
        <f>IF(A520="","",$B$5*TAN(RADIANS(A520)))</f>
        <v/>
      </c>
      <c r="D520" s="11">
        <f>IF(C520="","",C520*(1+B520/100))</f>
        <v/>
      </c>
      <c r="E520" s="11">
        <f>IF(A520="","",$B$6*TAN(RADIANS(A520)))</f>
        <v/>
      </c>
    </row>
    <row r="521">
      <c r="A521" s="10" t="n"/>
      <c r="B521" s="10" t="n"/>
      <c r="C521" s="11">
        <f>IF(A521="","",$B$5*TAN(RADIANS(A521)))</f>
        <v/>
      </c>
      <c r="D521" s="11">
        <f>IF(C521="","",C521*(1+B521/100))</f>
        <v/>
      </c>
      <c r="E521" s="11">
        <f>IF(A521="","",$B$6*TAN(RADIANS(A521)))</f>
        <v/>
      </c>
    </row>
    <row r="522">
      <c r="A522" s="10" t="n"/>
      <c r="B522" s="10" t="n"/>
      <c r="C522" s="11">
        <f>IF(A522="","",$B$5*TAN(RADIANS(A522)))</f>
        <v/>
      </c>
      <c r="D522" s="11">
        <f>IF(C522="","",C522*(1+B522/100))</f>
        <v/>
      </c>
      <c r="E522" s="11">
        <f>IF(A522="","",$B$6*TAN(RADIANS(A522)))</f>
        <v/>
      </c>
    </row>
    <row r="523">
      <c r="A523" s="10" t="n"/>
      <c r="B523" s="10" t="n"/>
      <c r="C523" s="11">
        <f>IF(A523="","",$B$5*TAN(RADIANS(A523)))</f>
        <v/>
      </c>
      <c r="D523" s="11">
        <f>IF(C523="","",C523*(1+B523/100))</f>
        <v/>
      </c>
      <c r="E523" s="11">
        <f>IF(A523="","",$B$6*TAN(RADIANS(A523)))</f>
        <v/>
      </c>
    </row>
    <row r="524">
      <c r="A524" s="10" t="n"/>
      <c r="B524" s="10" t="n"/>
      <c r="C524" s="11">
        <f>IF(A524="","",$B$5*TAN(RADIANS(A524)))</f>
        <v/>
      </c>
      <c r="D524" s="11">
        <f>IF(C524="","",C524*(1+B524/100))</f>
        <v/>
      </c>
      <c r="E524" s="11">
        <f>IF(A524="","",$B$6*TAN(RADIANS(A524)))</f>
        <v/>
      </c>
    </row>
    <row r="525">
      <c r="A525" s="10" t="n"/>
      <c r="B525" s="10" t="n"/>
      <c r="C525" s="11">
        <f>IF(A525="","",$B$5*TAN(RADIANS(A525)))</f>
        <v/>
      </c>
      <c r="D525" s="11">
        <f>IF(C525="","",C525*(1+B525/100))</f>
        <v/>
      </c>
      <c r="E525" s="11">
        <f>IF(A525="","",$B$6*TAN(RADIANS(A525)))</f>
        <v/>
      </c>
    </row>
    <row r="526">
      <c r="A526" s="10" t="n"/>
      <c r="B526" s="10" t="n"/>
      <c r="C526" s="11">
        <f>IF(A526="","",$B$5*TAN(RADIANS(A526)))</f>
        <v/>
      </c>
      <c r="D526" s="11">
        <f>IF(C526="","",C526*(1+B526/100))</f>
        <v/>
      </c>
      <c r="E526" s="11">
        <f>IF(A526="","",$B$6*TAN(RADIANS(A526)))</f>
        <v/>
      </c>
    </row>
    <row r="527">
      <c r="A527" s="10" t="n"/>
      <c r="B527" s="10" t="n"/>
      <c r="C527" s="11">
        <f>IF(A527="","",$B$5*TAN(RADIANS(A527)))</f>
        <v/>
      </c>
      <c r="D527" s="11">
        <f>IF(C527="","",C527*(1+B527/100))</f>
        <v/>
      </c>
      <c r="E527" s="11">
        <f>IF(A527="","",$B$6*TAN(RADIANS(A527)))</f>
        <v/>
      </c>
    </row>
    <row r="528">
      <c r="A528" s="10" t="n"/>
      <c r="B528" s="10" t="n"/>
      <c r="C528" s="11">
        <f>IF(A528="","",$B$5*TAN(RADIANS(A528)))</f>
        <v/>
      </c>
      <c r="D528" s="11">
        <f>IF(C528="","",C528*(1+B528/100))</f>
        <v/>
      </c>
      <c r="E528" s="11">
        <f>IF(A528="","",$B$6*TAN(RADIANS(A528)))</f>
        <v/>
      </c>
    </row>
    <row r="529">
      <c r="A529" s="10" t="n"/>
      <c r="B529" s="10" t="n"/>
      <c r="C529" s="11">
        <f>IF(A529="","",$B$5*TAN(RADIANS(A529)))</f>
        <v/>
      </c>
      <c r="D529" s="11">
        <f>IF(C529="","",C529*(1+B529/100))</f>
        <v/>
      </c>
      <c r="E529" s="11">
        <f>IF(A529="","",$B$6*TAN(RADIANS(A529)))</f>
        <v/>
      </c>
    </row>
    <row r="530">
      <c r="A530" s="10" t="n"/>
      <c r="B530" s="10" t="n"/>
      <c r="C530" s="11">
        <f>IF(A530="","",$B$5*TAN(RADIANS(A530)))</f>
        <v/>
      </c>
      <c r="D530" s="11">
        <f>IF(C530="","",C530*(1+B530/100))</f>
        <v/>
      </c>
      <c r="E530" s="11">
        <f>IF(A530="","",$B$6*TAN(RADIANS(A530)))</f>
        <v/>
      </c>
    </row>
    <row r="531">
      <c r="A531" s="10" t="n"/>
      <c r="B531" s="10" t="n"/>
      <c r="C531" s="11">
        <f>IF(A531="","",$B$5*TAN(RADIANS(A531)))</f>
        <v/>
      </c>
      <c r="D531" s="11">
        <f>IF(C531="","",C531*(1+B531/100))</f>
        <v/>
      </c>
      <c r="E531" s="11">
        <f>IF(A531="","",$B$6*TAN(RADIANS(A531)))</f>
        <v/>
      </c>
    </row>
    <row r="532">
      <c r="A532" s="10" t="n"/>
      <c r="B532" s="10" t="n"/>
      <c r="C532" s="11">
        <f>IF(A532="","",$B$5*TAN(RADIANS(A532)))</f>
        <v/>
      </c>
      <c r="D532" s="11">
        <f>IF(C532="","",C532*(1+B532/100))</f>
        <v/>
      </c>
      <c r="E532" s="11">
        <f>IF(A532="","",$B$6*TAN(RADIANS(A532)))</f>
        <v/>
      </c>
    </row>
    <row r="533">
      <c r="A533" s="10" t="n"/>
      <c r="B533" s="10" t="n"/>
      <c r="C533" s="11">
        <f>IF(A533="","",$B$5*TAN(RADIANS(A533)))</f>
        <v/>
      </c>
      <c r="D533" s="11">
        <f>IF(C533="","",C533*(1+B533/100))</f>
        <v/>
      </c>
      <c r="E533" s="11">
        <f>IF(A533="","",$B$6*TAN(RADIANS(A533)))</f>
        <v/>
      </c>
    </row>
    <row r="534">
      <c r="A534" s="10" t="n"/>
      <c r="B534" s="10" t="n"/>
      <c r="C534" s="11">
        <f>IF(A534="","",$B$5*TAN(RADIANS(A534)))</f>
        <v/>
      </c>
      <c r="D534" s="11">
        <f>IF(C534="","",C534*(1+B534/100))</f>
        <v/>
      </c>
      <c r="E534" s="11">
        <f>IF(A534="","",$B$6*TAN(RADIANS(A534)))</f>
        <v/>
      </c>
    </row>
    <row r="535">
      <c r="A535" s="10" t="n"/>
      <c r="B535" s="10" t="n"/>
      <c r="C535" s="11">
        <f>IF(A535="","",$B$5*TAN(RADIANS(A535)))</f>
        <v/>
      </c>
      <c r="D535" s="11">
        <f>IF(C535="","",C535*(1+B535/100))</f>
        <v/>
      </c>
      <c r="E535" s="11">
        <f>IF(A535="","",$B$6*TAN(RADIANS(A535)))</f>
        <v/>
      </c>
    </row>
    <row r="536">
      <c r="A536" s="10" t="n"/>
      <c r="B536" s="10" t="n"/>
      <c r="C536" s="11">
        <f>IF(A536="","",$B$5*TAN(RADIANS(A536)))</f>
        <v/>
      </c>
      <c r="D536" s="11">
        <f>IF(C536="","",C536*(1+B536/100))</f>
        <v/>
      </c>
      <c r="E536" s="11">
        <f>IF(A536="","",$B$6*TAN(RADIANS(A536)))</f>
        <v/>
      </c>
    </row>
    <row r="537">
      <c r="A537" s="10" t="n"/>
      <c r="B537" s="10" t="n"/>
      <c r="C537" s="11">
        <f>IF(A537="","",$B$5*TAN(RADIANS(A537)))</f>
        <v/>
      </c>
      <c r="D537" s="11">
        <f>IF(C537="","",C537*(1+B537/100))</f>
        <v/>
      </c>
      <c r="E537" s="11">
        <f>IF(A537="","",$B$6*TAN(RADIANS(A537)))</f>
        <v/>
      </c>
    </row>
    <row r="538">
      <c r="A538" s="10" t="n"/>
      <c r="B538" s="10" t="n"/>
      <c r="C538" s="11">
        <f>IF(A538="","",$B$5*TAN(RADIANS(A538)))</f>
        <v/>
      </c>
      <c r="D538" s="11">
        <f>IF(C538="","",C538*(1+B538/100))</f>
        <v/>
      </c>
      <c r="E538" s="11">
        <f>IF(A538="","",$B$6*TAN(RADIANS(A538)))</f>
        <v/>
      </c>
    </row>
    <row r="539">
      <c r="A539" s="10" t="n"/>
      <c r="B539" s="10" t="n"/>
      <c r="C539" s="11">
        <f>IF(A539="","",$B$5*TAN(RADIANS(A539)))</f>
        <v/>
      </c>
      <c r="D539" s="11">
        <f>IF(C539="","",C539*(1+B539/100))</f>
        <v/>
      </c>
      <c r="E539" s="11">
        <f>IF(A539="","",$B$6*TAN(RADIANS(A539)))</f>
        <v/>
      </c>
    </row>
    <row r="540">
      <c r="A540" s="10" t="n"/>
      <c r="B540" s="10" t="n"/>
      <c r="C540" s="11">
        <f>IF(A540="","",$B$5*TAN(RADIANS(A540)))</f>
        <v/>
      </c>
      <c r="D540" s="11">
        <f>IF(C540="","",C540*(1+B540/100))</f>
        <v/>
      </c>
      <c r="E540" s="11">
        <f>IF(A540="","",$B$6*TAN(RADIANS(A540)))</f>
        <v/>
      </c>
    </row>
    <row r="541">
      <c r="A541" s="10" t="n"/>
      <c r="B541" s="10" t="n"/>
      <c r="C541" s="11">
        <f>IF(A541="","",$B$5*TAN(RADIANS(A541)))</f>
        <v/>
      </c>
      <c r="D541" s="11">
        <f>IF(C541="","",C541*(1+B541/100))</f>
        <v/>
      </c>
      <c r="E541" s="11">
        <f>IF(A541="","",$B$6*TAN(RADIANS(A541)))</f>
        <v/>
      </c>
    </row>
    <row r="542">
      <c r="A542" s="10" t="n"/>
      <c r="B542" s="10" t="n"/>
      <c r="C542" s="11">
        <f>IF(A542="","",$B$5*TAN(RADIANS(A542)))</f>
        <v/>
      </c>
      <c r="D542" s="11">
        <f>IF(C542="","",C542*(1+B542/100))</f>
        <v/>
      </c>
      <c r="E542" s="11">
        <f>IF(A542="","",$B$6*TAN(RADIANS(A542)))</f>
        <v/>
      </c>
    </row>
    <row r="543">
      <c r="A543" s="10" t="n"/>
      <c r="B543" s="10" t="n"/>
      <c r="C543" s="11">
        <f>IF(A543="","",$B$5*TAN(RADIANS(A543)))</f>
        <v/>
      </c>
      <c r="D543" s="11">
        <f>IF(C543="","",C543*(1+B543/100))</f>
        <v/>
      </c>
      <c r="E543" s="11">
        <f>IF(A543="","",$B$6*TAN(RADIANS(A543)))</f>
        <v/>
      </c>
    </row>
    <row r="544">
      <c r="A544" s="10" t="n"/>
      <c r="B544" s="10" t="n"/>
      <c r="C544" s="11">
        <f>IF(A544="","",$B$5*TAN(RADIANS(A544)))</f>
        <v/>
      </c>
      <c r="D544" s="11">
        <f>IF(C544="","",C544*(1+B544/100))</f>
        <v/>
      </c>
      <c r="E544" s="11">
        <f>IF(A544="","",$B$6*TAN(RADIANS(A544)))</f>
        <v/>
      </c>
    </row>
    <row r="545">
      <c r="A545" s="10" t="n"/>
      <c r="B545" s="10" t="n"/>
      <c r="C545" s="11">
        <f>IF(A545="","",$B$5*TAN(RADIANS(A545)))</f>
        <v/>
      </c>
      <c r="D545" s="11">
        <f>IF(C545="","",C545*(1+B545/100))</f>
        <v/>
      </c>
      <c r="E545" s="11">
        <f>IF(A545="","",$B$6*TAN(RADIANS(A545)))</f>
        <v/>
      </c>
    </row>
    <row r="546">
      <c r="A546" s="10" t="n"/>
      <c r="B546" s="10" t="n"/>
      <c r="C546" s="11">
        <f>IF(A546="","",$B$5*TAN(RADIANS(A546)))</f>
        <v/>
      </c>
      <c r="D546" s="11">
        <f>IF(C546="","",C546*(1+B546/100))</f>
        <v/>
      </c>
      <c r="E546" s="11">
        <f>IF(A546="","",$B$6*TAN(RADIANS(A546)))</f>
        <v/>
      </c>
    </row>
    <row r="547">
      <c r="A547" s="10" t="n"/>
      <c r="B547" s="10" t="n"/>
      <c r="C547" s="11">
        <f>IF(A547="","",$B$5*TAN(RADIANS(A547)))</f>
        <v/>
      </c>
      <c r="D547" s="11">
        <f>IF(C547="","",C547*(1+B547/100))</f>
        <v/>
      </c>
      <c r="E547" s="11">
        <f>IF(A547="","",$B$6*TAN(RADIANS(A547)))</f>
        <v/>
      </c>
    </row>
    <row r="548">
      <c r="A548" s="10" t="n"/>
      <c r="B548" s="10" t="n"/>
      <c r="C548" s="11">
        <f>IF(A548="","",$B$5*TAN(RADIANS(A548)))</f>
        <v/>
      </c>
      <c r="D548" s="11">
        <f>IF(C548="","",C548*(1+B548/100))</f>
        <v/>
      </c>
      <c r="E548" s="11">
        <f>IF(A548="","",$B$6*TAN(RADIANS(A548)))</f>
        <v/>
      </c>
    </row>
    <row r="549">
      <c r="A549" s="10" t="n"/>
      <c r="B549" s="10" t="n"/>
      <c r="C549" s="11">
        <f>IF(A549="","",$B$5*TAN(RADIANS(A549)))</f>
        <v/>
      </c>
      <c r="D549" s="11">
        <f>IF(C549="","",C549*(1+B549/100))</f>
        <v/>
      </c>
      <c r="E549" s="11">
        <f>IF(A549="","",$B$6*TAN(RADIANS(A549)))</f>
        <v/>
      </c>
    </row>
    <row r="550">
      <c r="A550" s="10" t="n"/>
      <c r="B550" s="10" t="n"/>
      <c r="C550" s="11">
        <f>IF(A550="","",$B$5*TAN(RADIANS(A550)))</f>
        <v/>
      </c>
      <c r="D550" s="11">
        <f>IF(C550="","",C550*(1+B550/100))</f>
        <v/>
      </c>
      <c r="E550" s="11">
        <f>IF(A550="","",$B$6*TAN(RADIANS(A550)))</f>
        <v/>
      </c>
    </row>
    <row r="551">
      <c r="A551" s="10" t="n"/>
      <c r="B551" s="10" t="n"/>
      <c r="C551" s="11">
        <f>IF(A551="","",$B$5*TAN(RADIANS(A551)))</f>
        <v/>
      </c>
      <c r="D551" s="11">
        <f>IF(C551="","",C551*(1+B551/100))</f>
        <v/>
      </c>
      <c r="E551" s="11">
        <f>IF(A551="","",$B$6*TAN(RADIANS(A551)))</f>
        <v/>
      </c>
    </row>
    <row r="552">
      <c r="A552" s="10" t="n"/>
      <c r="B552" s="10" t="n"/>
      <c r="C552" s="11">
        <f>IF(A552="","",$B$5*TAN(RADIANS(A552)))</f>
        <v/>
      </c>
      <c r="D552" s="11">
        <f>IF(C552="","",C552*(1+B552/100))</f>
        <v/>
      </c>
      <c r="E552" s="11">
        <f>IF(A552="","",$B$6*TAN(RADIANS(A552)))</f>
        <v/>
      </c>
    </row>
    <row r="553">
      <c r="A553" s="10" t="n"/>
      <c r="B553" s="10" t="n"/>
      <c r="C553" s="11">
        <f>IF(A553="","",$B$5*TAN(RADIANS(A553)))</f>
        <v/>
      </c>
      <c r="D553" s="11">
        <f>IF(C553="","",C553*(1+B553/100))</f>
        <v/>
      </c>
      <c r="E553" s="11">
        <f>IF(A553="","",$B$6*TAN(RADIANS(A553)))</f>
        <v/>
      </c>
    </row>
    <row r="554">
      <c r="A554" s="10" t="n"/>
      <c r="B554" s="10" t="n"/>
      <c r="C554" s="11">
        <f>IF(A554="","",$B$5*TAN(RADIANS(A554)))</f>
        <v/>
      </c>
      <c r="D554" s="11">
        <f>IF(C554="","",C554*(1+B554/100))</f>
        <v/>
      </c>
      <c r="E554" s="11">
        <f>IF(A554="","",$B$6*TAN(RADIANS(A554)))</f>
        <v/>
      </c>
    </row>
    <row r="555">
      <c r="A555" s="10" t="n"/>
      <c r="B555" s="10" t="n"/>
      <c r="C555" s="11">
        <f>IF(A555="","",$B$5*TAN(RADIANS(A555)))</f>
        <v/>
      </c>
      <c r="D555" s="11">
        <f>IF(C555="","",C555*(1+B555/100))</f>
        <v/>
      </c>
      <c r="E555" s="11">
        <f>IF(A555="","",$B$6*TAN(RADIANS(A555)))</f>
        <v/>
      </c>
    </row>
    <row r="556">
      <c r="A556" s="10" t="n"/>
      <c r="B556" s="10" t="n"/>
      <c r="C556" s="11">
        <f>IF(A556="","",$B$5*TAN(RADIANS(A556)))</f>
        <v/>
      </c>
      <c r="D556" s="11">
        <f>IF(C556="","",C556*(1+B556/100))</f>
        <v/>
      </c>
      <c r="E556" s="11">
        <f>IF(A556="","",$B$6*TAN(RADIANS(A556)))</f>
        <v/>
      </c>
    </row>
    <row r="557">
      <c r="A557" s="10" t="n"/>
      <c r="B557" s="10" t="n"/>
      <c r="C557" s="11">
        <f>IF(A557="","",$B$5*TAN(RADIANS(A557)))</f>
        <v/>
      </c>
      <c r="D557" s="11">
        <f>IF(C557="","",C557*(1+B557/100))</f>
        <v/>
      </c>
      <c r="E557" s="11">
        <f>IF(A557="","",$B$6*TAN(RADIANS(A557)))</f>
        <v/>
      </c>
    </row>
    <row r="558">
      <c r="A558" s="10" t="n"/>
      <c r="B558" s="10" t="n"/>
      <c r="C558" s="11">
        <f>IF(A558="","",$B$5*TAN(RADIANS(A558)))</f>
        <v/>
      </c>
      <c r="D558" s="11">
        <f>IF(C558="","",C558*(1+B558/100))</f>
        <v/>
      </c>
      <c r="E558" s="11">
        <f>IF(A558="","",$B$6*TAN(RADIANS(A558)))</f>
        <v/>
      </c>
    </row>
    <row r="559">
      <c r="A559" s="10" t="n"/>
      <c r="B559" s="10" t="n"/>
      <c r="C559" s="11">
        <f>IF(A559="","",$B$5*TAN(RADIANS(A559)))</f>
        <v/>
      </c>
      <c r="D559" s="11">
        <f>IF(C559="","",C559*(1+B559/100))</f>
        <v/>
      </c>
      <c r="E559" s="11">
        <f>IF(A559="","",$B$6*TAN(RADIANS(A559)))</f>
        <v/>
      </c>
    </row>
    <row r="560">
      <c r="A560" s="10" t="n"/>
      <c r="B560" s="10" t="n"/>
      <c r="C560" s="11">
        <f>IF(A560="","",$B$5*TAN(RADIANS(A560)))</f>
        <v/>
      </c>
      <c r="D560" s="11">
        <f>IF(C560="","",C560*(1+B560/100))</f>
        <v/>
      </c>
      <c r="E560" s="11">
        <f>IF(A560="","",$B$6*TAN(RADIANS(A560)))</f>
        <v/>
      </c>
    </row>
    <row r="561">
      <c r="A561" s="10" t="n"/>
      <c r="B561" s="10" t="n"/>
      <c r="C561" s="11">
        <f>IF(A561="","",$B$5*TAN(RADIANS(A561)))</f>
        <v/>
      </c>
      <c r="D561" s="11">
        <f>IF(C561="","",C561*(1+B561/100))</f>
        <v/>
      </c>
      <c r="E561" s="11">
        <f>IF(A561="","",$B$6*TAN(RADIANS(A561)))</f>
        <v/>
      </c>
    </row>
    <row r="562">
      <c r="A562" s="10" t="n"/>
      <c r="B562" s="10" t="n"/>
      <c r="C562" s="11">
        <f>IF(A562="","",$B$5*TAN(RADIANS(A562)))</f>
        <v/>
      </c>
      <c r="D562" s="11">
        <f>IF(C562="","",C562*(1+B562/100))</f>
        <v/>
      </c>
      <c r="E562" s="11">
        <f>IF(A562="","",$B$6*TAN(RADIANS(A562)))</f>
        <v/>
      </c>
    </row>
    <row r="563">
      <c r="A563" s="10" t="n"/>
      <c r="B563" s="10" t="n"/>
      <c r="C563" s="11">
        <f>IF(A563="","",$B$5*TAN(RADIANS(A563)))</f>
        <v/>
      </c>
      <c r="D563" s="11">
        <f>IF(C563="","",C563*(1+B563/100))</f>
        <v/>
      </c>
      <c r="E563" s="11">
        <f>IF(A563="","",$B$6*TAN(RADIANS(A563)))</f>
        <v/>
      </c>
    </row>
    <row r="564">
      <c r="A564" s="10" t="n"/>
      <c r="B564" s="10" t="n"/>
      <c r="C564" s="11">
        <f>IF(A564="","",$B$5*TAN(RADIANS(A564)))</f>
        <v/>
      </c>
      <c r="D564" s="11">
        <f>IF(C564="","",C564*(1+B564/100))</f>
        <v/>
      </c>
      <c r="E564" s="11">
        <f>IF(A564="","",$B$6*TAN(RADIANS(A564)))</f>
        <v/>
      </c>
    </row>
    <row r="565">
      <c r="A565" s="10" t="n"/>
      <c r="B565" s="10" t="n"/>
      <c r="C565" s="11">
        <f>IF(A565="","",$B$5*TAN(RADIANS(A565)))</f>
        <v/>
      </c>
      <c r="D565" s="11">
        <f>IF(C565="","",C565*(1+B565/100))</f>
        <v/>
      </c>
      <c r="E565" s="11">
        <f>IF(A565="","",$B$6*TAN(RADIANS(A565)))</f>
        <v/>
      </c>
    </row>
    <row r="566">
      <c r="A566" s="10" t="n"/>
      <c r="B566" s="10" t="n"/>
      <c r="C566" s="11">
        <f>IF(A566="","",$B$5*TAN(RADIANS(A566)))</f>
        <v/>
      </c>
      <c r="D566" s="11">
        <f>IF(C566="","",C566*(1+B566/100))</f>
        <v/>
      </c>
      <c r="E566" s="11">
        <f>IF(A566="","",$B$6*TAN(RADIANS(A566)))</f>
        <v/>
      </c>
    </row>
    <row r="567">
      <c r="A567" s="10" t="n"/>
      <c r="B567" s="10" t="n"/>
      <c r="C567" s="11">
        <f>IF(A567="","",$B$5*TAN(RADIANS(A567)))</f>
        <v/>
      </c>
      <c r="D567" s="11">
        <f>IF(C567="","",C567*(1+B567/100))</f>
        <v/>
      </c>
      <c r="E567" s="11">
        <f>IF(A567="","",$B$6*TAN(RADIANS(A567)))</f>
        <v/>
      </c>
    </row>
    <row r="568">
      <c r="A568" s="10" t="n"/>
      <c r="B568" s="10" t="n"/>
      <c r="C568" s="11">
        <f>IF(A568="","",$B$5*TAN(RADIANS(A568)))</f>
        <v/>
      </c>
      <c r="D568" s="11">
        <f>IF(C568="","",C568*(1+B568/100))</f>
        <v/>
      </c>
      <c r="E568" s="11">
        <f>IF(A568="","",$B$6*TAN(RADIANS(A568)))</f>
        <v/>
      </c>
    </row>
    <row r="569">
      <c r="A569" s="10" t="n"/>
      <c r="B569" s="10" t="n"/>
      <c r="C569" s="11">
        <f>IF(A569="","",$B$5*TAN(RADIANS(A569)))</f>
        <v/>
      </c>
      <c r="D569" s="11">
        <f>IF(C569="","",C569*(1+B569/100))</f>
        <v/>
      </c>
      <c r="E569" s="11">
        <f>IF(A569="","",$B$6*TAN(RADIANS(A569)))</f>
        <v/>
      </c>
    </row>
    <row r="570">
      <c r="A570" s="10" t="n"/>
      <c r="B570" s="10" t="n"/>
      <c r="C570" s="11">
        <f>IF(A570="","",$B$5*TAN(RADIANS(A570)))</f>
        <v/>
      </c>
      <c r="D570" s="11">
        <f>IF(C570="","",C570*(1+B570/100))</f>
        <v/>
      </c>
      <c r="E570" s="11">
        <f>IF(A570="","",$B$6*TAN(RADIANS(A570)))</f>
        <v/>
      </c>
    </row>
    <row r="571">
      <c r="A571" s="10" t="n"/>
      <c r="B571" s="10" t="n"/>
      <c r="C571" s="11">
        <f>IF(A571="","",$B$5*TAN(RADIANS(A571)))</f>
        <v/>
      </c>
      <c r="D571" s="11">
        <f>IF(C571="","",C571*(1+B571/100))</f>
        <v/>
      </c>
      <c r="E571" s="11">
        <f>IF(A571="","",$B$6*TAN(RADIANS(A571)))</f>
        <v/>
      </c>
    </row>
    <row r="572">
      <c r="A572" s="10" t="n"/>
      <c r="B572" s="10" t="n"/>
      <c r="C572" s="11">
        <f>IF(A572="","",$B$5*TAN(RADIANS(A572)))</f>
        <v/>
      </c>
      <c r="D572" s="11">
        <f>IF(C572="","",C572*(1+B572/100))</f>
        <v/>
      </c>
      <c r="E572" s="11">
        <f>IF(A572="","",$B$6*TAN(RADIANS(A572)))</f>
        <v/>
      </c>
    </row>
    <row r="573">
      <c r="A573" s="10" t="n"/>
      <c r="B573" s="10" t="n"/>
      <c r="C573" s="11">
        <f>IF(A573="","",$B$5*TAN(RADIANS(A573)))</f>
        <v/>
      </c>
      <c r="D573" s="11">
        <f>IF(C573="","",C573*(1+B573/100))</f>
        <v/>
      </c>
      <c r="E573" s="11">
        <f>IF(A573="","",$B$6*TAN(RADIANS(A573)))</f>
        <v/>
      </c>
    </row>
    <row r="574">
      <c r="A574" s="10" t="n"/>
      <c r="B574" s="10" t="n"/>
      <c r="C574" s="11">
        <f>IF(A574="","",$B$5*TAN(RADIANS(A574)))</f>
        <v/>
      </c>
      <c r="D574" s="11">
        <f>IF(C574="","",C574*(1+B574/100))</f>
        <v/>
      </c>
      <c r="E574" s="11">
        <f>IF(A574="","",$B$6*TAN(RADIANS(A574)))</f>
        <v/>
      </c>
    </row>
    <row r="575">
      <c r="A575" s="10" t="n"/>
      <c r="B575" s="10" t="n"/>
      <c r="C575" s="11">
        <f>IF(A575="","",$B$5*TAN(RADIANS(A575)))</f>
        <v/>
      </c>
      <c r="D575" s="11">
        <f>IF(C575="","",C575*(1+B575/100))</f>
        <v/>
      </c>
      <c r="E575" s="11">
        <f>IF(A575="","",$B$6*TAN(RADIANS(A575)))</f>
        <v/>
      </c>
    </row>
    <row r="576">
      <c r="A576" s="10" t="n"/>
      <c r="B576" s="10" t="n"/>
      <c r="C576" s="11">
        <f>IF(A576="","",$B$5*TAN(RADIANS(A576)))</f>
        <v/>
      </c>
      <c r="D576" s="11">
        <f>IF(C576="","",C576*(1+B576/100))</f>
        <v/>
      </c>
      <c r="E576" s="11">
        <f>IF(A576="","",$B$6*TAN(RADIANS(A576)))</f>
        <v/>
      </c>
    </row>
    <row r="577">
      <c r="A577" s="10" t="n"/>
      <c r="B577" s="10" t="n"/>
      <c r="C577" s="11">
        <f>IF(A577="","",$B$5*TAN(RADIANS(A577)))</f>
        <v/>
      </c>
      <c r="D577" s="11">
        <f>IF(C577="","",C577*(1+B577/100))</f>
        <v/>
      </c>
      <c r="E577" s="11">
        <f>IF(A577="","",$B$6*TAN(RADIANS(A577)))</f>
        <v/>
      </c>
    </row>
    <row r="578">
      <c r="A578" s="10" t="n"/>
      <c r="B578" s="10" t="n"/>
      <c r="C578" s="11">
        <f>IF(A578="","",$B$5*TAN(RADIANS(A578)))</f>
        <v/>
      </c>
      <c r="D578" s="11">
        <f>IF(C578="","",C578*(1+B578/100))</f>
        <v/>
      </c>
      <c r="E578" s="11">
        <f>IF(A578="","",$B$6*TAN(RADIANS(A578)))</f>
        <v/>
      </c>
    </row>
    <row r="579">
      <c r="A579" s="10" t="n"/>
      <c r="B579" s="10" t="n"/>
      <c r="C579" s="11">
        <f>IF(A579="","",$B$5*TAN(RADIANS(A579)))</f>
        <v/>
      </c>
      <c r="D579" s="11">
        <f>IF(C579="","",C579*(1+B579/100))</f>
        <v/>
      </c>
      <c r="E579" s="11">
        <f>IF(A579="","",$B$6*TAN(RADIANS(A579)))</f>
        <v/>
      </c>
    </row>
    <row r="580">
      <c r="A580" s="10" t="n"/>
      <c r="B580" s="10" t="n"/>
      <c r="C580" s="11">
        <f>IF(A580="","",$B$5*TAN(RADIANS(A580)))</f>
        <v/>
      </c>
      <c r="D580" s="11">
        <f>IF(C580="","",C580*(1+B580/100))</f>
        <v/>
      </c>
      <c r="E580" s="11">
        <f>IF(A580="","",$B$6*TAN(RADIANS(A580)))</f>
        <v/>
      </c>
    </row>
    <row r="581">
      <c r="A581" s="10" t="n"/>
      <c r="B581" s="10" t="n"/>
      <c r="C581" s="11">
        <f>IF(A581="","",$B$5*TAN(RADIANS(A581)))</f>
        <v/>
      </c>
      <c r="D581" s="11">
        <f>IF(C581="","",C581*(1+B581/100))</f>
        <v/>
      </c>
      <c r="E581" s="11">
        <f>IF(A581="","",$B$6*TAN(RADIANS(A581)))</f>
        <v/>
      </c>
    </row>
    <row r="582">
      <c r="A582" s="10" t="n"/>
      <c r="B582" s="10" t="n"/>
      <c r="C582" s="11">
        <f>IF(A582="","",$B$5*TAN(RADIANS(A582)))</f>
        <v/>
      </c>
      <c r="D582" s="11">
        <f>IF(C582="","",C582*(1+B582/100))</f>
        <v/>
      </c>
      <c r="E582" s="11">
        <f>IF(A582="","",$B$6*TAN(RADIANS(A582)))</f>
        <v/>
      </c>
    </row>
    <row r="583">
      <c r="A583" s="10" t="n"/>
      <c r="B583" s="10" t="n"/>
      <c r="C583" s="11">
        <f>IF(A583="","",$B$5*TAN(RADIANS(A583)))</f>
        <v/>
      </c>
      <c r="D583" s="11">
        <f>IF(C583="","",C583*(1+B583/100))</f>
        <v/>
      </c>
      <c r="E583" s="11">
        <f>IF(A583="","",$B$6*TAN(RADIANS(A583)))</f>
        <v/>
      </c>
    </row>
    <row r="584">
      <c r="A584" s="10" t="n"/>
      <c r="B584" s="10" t="n"/>
      <c r="C584" s="11">
        <f>IF(A584="","",$B$5*TAN(RADIANS(A584)))</f>
        <v/>
      </c>
      <c r="D584" s="11">
        <f>IF(C584="","",C584*(1+B584/100))</f>
        <v/>
      </c>
      <c r="E584" s="11">
        <f>IF(A584="","",$B$6*TAN(RADIANS(A584)))</f>
        <v/>
      </c>
    </row>
    <row r="585">
      <c r="A585" s="10" t="n"/>
      <c r="B585" s="10" t="n"/>
      <c r="C585" s="11">
        <f>IF(A585="","",$B$5*TAN(RADIANS(A585)))</f>
        <v/>
      </c>
      <c r="D585" s="11">
        <f>IF(C585="","",C585*(1+B585/100))</f>
        <v/>
      </c>
      <c r="E585" s="11">
        <f>IF(A585="","",$B$6*TAN(RADIANS(A585)))</f>
        <v/>
      </c>
    </row>
    <row r="586">
      <c r="A586" s="10" t="n"/>
      <c r="B586" s="10" t="n"/>
      <c r="C586" s="11">
        <f>IF(A586="","",$B$5*TAN(RADIANS(A586)))</f>
        <v/>
      </c>
      <c r="D586" s="11">
        <f>IF(C586="","",C586*(1+B586/100))</f>
        <v/>
      </c>
      <c r="E586" s="11">
        <f>IF(A586="","",$B$6*TAN(RADIANS(A586)))</f>
        <v/>
      </c>
    </row>
    <row r="587">
      <c r="A587" s="10" t="n"/>
      <c r="B587" s="10" t="n"/>
      <c r="C587" s="11">
        <f>IF(A587="","",$B$5*TAN(RADIANS(A587)))</f>
        <v/>
      </c>
      <c r="D587" s="11">
        <f>IF(C587="","",C587*(1+B587/100))</f>
        <v/>
      </c>
      <c r="E587" s="11">
        <f>IF(A587="","",$B$6*TAN(RADIANS(A587)))</f>
        <v/>
      </c>
    </row>
    <row r="588">
      <c r="A588" s="10" t="n"/>
      <c r="B588" s="10" t="n"/>
      <c r="C588" s="11">
        <f>IF(A588="","",$B$5*TAN(RADIANS(A588)))</f>
        <v/>
      </c>
      <c r="D588" s="11">
        <f>IF(C588="","",C588*(1+B588/100))</f>
        <v/>
      </c>
      <c r="E588" s="11">
        <f>IF(A588="","",$B$6*TAN(RADIANS(A588)))</f>
        <v/>
      </c>
    </row>
    <row r="589">
      <c r="A589" s="10" t="n"/>
      <c r="B589" s="10" t="n"/>
      <c r="C589" s="11">
        <f>IF(A589="","",$B$5*TAN(RADIANS(A589)))</f>
        <v/>
      </c>
      <c r="D589" s="11">
        <f>IF(C589="","",C589*(1+B589/100))</f>
        <v/>
      </c>
      <c r="E589" s="11">
        <f>IF(A589="","",$B$6*TAN(RADIANS(A589)))</f>
        <v/>
      </c>
    </row>
    <row r="590">
      <c r="A590" s="10" t="n"/>
      <c r="B590" s="10" t="n"/>
      <c r="C590" s="11">
        <f>IF(A590="","",$B$5*TAN(RADIANS(A590)))</f>
        <v/>
      </c>
      <c r="D590" s="11">
        <f>IF(C590="","",C590*(1+B590/100))</f>
        <v/>
      </c>
      <c r="E590" s="11">
        <f>IF(A590="","",$B$6*TAN(RADIANS(A590)))</f>
        <v/>
      </c>
    </row>
    <row r="591">
      <c r="A591" s="10" t="n"/>
      <c r="B591" s="10" t="n"/>
      <c r="C591" s="11">
        <f>IF(A591="","",$B$5*TAN(RADIANS(A591)))</f>
        <v/>
      </c>
      <c r="D591" s="11">
        <f>IF(C591="","",C591*(1+B591/100))</f>
        <v/>
      </c>
      <c r="E591" s="11">
        <f>IF(A591="","",$B$6*TAN(RADIANS(A591)))</f>
        <v/>
      </c>
    </row>
    <row r="592">
      <c r="A592" s="10" t="n"/>
      <c r="B592" s="10" t="n"/>
      <c r="C592" s="11">
        <f>IF(A592="","",$B$5*TAN(RADIANS(A592)))</f>
        <v/>
      </c>
      <c r="D592" s="11">
        <f>IF(C592="","",C592*(1+B592/100))</f>
        <v/>
      </c>
      <c r="E592" s="11">
        <f>IF(A592="","",$B$6*TAN(RADIANS(A592)))</f>
        <v/>
      </c>
    </row>
    <row r="593">
      <c r="A593" s="10" t="n"/>
      <c r="B593" s="10" t="n"/>
      <c r="C593" s="11">
        <f>IF(A593="","",$B$5*TAN(RADIANS(A593)))</f>
        <v/>
      </c>
      <c r="D593" s="11">
        <f>IF(C593="","",C593*(1+B593/100))</f>
        <v/>
      </c>
      <c r="E593" s="11">
        <f>IF(A593="","",$B$6*TAN(RADIANS(A593)))</f>
        <v/>
      </c>
    </row>
    <row r="594">
      <c r="A594" s="10" t="n"/>
      <c r="B594" s="10" t="n"/>
      <c r="C594" s="11">
        <f>IF(A594="","",$B$5*TAN(RADIANS(A594)))</f>
        <v/>
      </c>
      <c r="D594" s="11">
        <f>IF(C594="","",C594*(1+B594/100))</f>
        <v/>
      </c>
      <c r="E594" s="11">
        <f>IF(A594="","",$B$6*TAN(RADIANS(A594)))</f>
        <v/>
      </c>
    </row>
    <row r="595">
      <c r="A595" s="10" t="n"/>
      <c r="B595" s="10" t="n"/>
      <c r="C595" s="11">
        <f>IF(A595="","",$B$5*TAN(RADIANS(A595)))</f>
        <v/>
      </c>
      <c r="D595" s="11">
        <f>IF(C595="","",C595*(1+B595/100))</f>
        <v/>
      </c>
      <c r="E595" s="11">
        <f>IF(A595="","",$B$6*TAN(RADIANS(A595)))</f>
        <v/>
      </c>
    </row>
    <row r="596">
      <c r="A596" s="10" t="n"/>
      <c r="B596" s="10" t="n"/>
      <c r="C596" s="11">
        <f>IF(A596="","",$B$5*TAN(RADIANS(A596)))</f>
        <v/>
      </c>
      <c r="D596" s="11">
        <f>IF(C596="","",C596*(1+B596/100))</f>
        <v/>
      </c>
      <c r="E596" s="11">
        <f>IF(A596="","",$B$6*TAN(RADIANS(A596)))</f>
        <v/>
      </c>
    </row>
    <row r="597">
      <c r="A597" s="10" t="n"/>
      <c r="B597" s="10" t="n"/>
      <c r="C597" s="11">
        <f>IF(A597="","",$B$5*TAN(RADIANS(A597)))</f>
        <v/>
      </c>
      <c r="D597" s="11">
        <f>IF(C597="","",C597*(1+B597/100))</f>
        <v/>
      </c>
      <c r="E597" s="11">
        <f>IF(A597="","",$B$6*TAN(RADIANS(A597)))</f>
        <v/>
      </c>
    </row>
    <row r="598">
      <c r="A598" s="10" t="n"/>
      <c r="B598" s="10" t="n"/>
      <c r="C598" s="11">
        <f>IF(A598="","",$B$5*TAN(RADIANS(A598)))</f>
        <v/>
      </c>
      <c r="D598" s="11">
        <f>IF(C598="","",C598*(1+B598/100))</f>
        <v/>
      </c>
      <c r="E598" s="11">
        <f>IF(A598="","",$B$6*TAN(RADIANS(A598)))</f>
        <v/>
      </c>
    </row>
    <row r="599">
      <c r="A599" s="10" t="n"/>
      <c r="B599" s="10" t="n"/>
      <c r="C599" s="11">
        <f>IF(A599="","",$B$5*TAN(RADIANS(A599)))</f>
        <v/>
      </c>
      <c r="D599" s="11">
        <f>IF(C599="","",C599*(1+B599/100))</f>
        <v/>
      </c>
      <c r="E599" s="11">
        <f>IF(A599="","",$B$6*TAN(RADIANS(A599)))</f>
        <v/>
      </c>
    </row>
    <row r="600">
      <c r="A600" s="10" t="n"/>
      <c r="B600" s="10" t="n"/>
      <c r="C600" s="11">
        <f>IF(A600="","",$B$5*TAN(RADIANS(A600)))</f>
        <v/>
      </c>
      <c r="D600" s="11">
        <f>IF(C600="","",C600*(1+B600/100))</f>
        <v/>
      </c>
      <c r="E600" s="11">
        <f>IF(A600="","",$B$6*TAN(RADIANS(A600)))</f>
        <v/>
      </c>
    </row>
    <row r="601">
      <c r="A601" s="10" t="n"/>
      <c r="B601" s="10" t="n"/>
      <c r="C601" s="11">
        <f>IF(A601="","",$B$5*TAN(RADIANS(A601)))</f>
        <v/>
      </c>
      <c r="D601" s="11">
        <f>IF(C601="","",C601*(1+B601/100))</f>
        <v/>
      </c>
      <c r="E601" s="11">
        <f>IF(A601="","",$B$6*TAN(RADIANS(A601)))</f>
        <v/>
      </c>
    </row>
    <row r="602">
      <c r="A602" s="10" t="n"/>
      <c r="B602" s="10" t="n"/>
      <c r="C602" s="11">
        <f>IF(A602="","",$B$5*TAN(RADIANS(A602)))</f>
        <v/>
      </c>
      <c r="D602" s="11">
        <f>IF(C602="","",C602*(1+B602/100))</f>
        <v/>
      </c>
      <c r="E602" s="11">
        <f>IF(A602="","",$B$6*TAN(RADIANS(A602)))</f>
        <v/>
      </c>
    </row>
    <row r="603">
      <c r="A603" s="10" t="n"/>
      <c r="B603" s="10" t="n"/>
      <c r="C603" s="11">
        <f>IF(A603="","",$B$5*TAN(RADIANS(A603)))</f>
        <v/>
      </c>
      <c r="D603" s="11">
        <f>IF(C603="","",C603*(1+B603/100))</f>
        <v/>
      </c>
      <c r="E603" s="11">
        <f>IF(A603="","",$B$6*TAN(RADIANS(A603)))</f>
        <v/>
      </c>
    </row>
    <row r="604">
      <c r="A604" s="10" t="n"/>
      <c r="B604" s="10" t="n"/>
      <c r="C604" s="11">
        <f>IF(A604="","",$B$5*TAN(RADIANS(A604)))</f>
        <v/>
      </c>
      <c r="D604" s="11">
        <f>IF(C604="","",C604*(1+B604/100))</f>
        <v/>
      </c>
      <c r="E604" s="11">
        <f>IF(A604="","",$B$6*TAN(RADIANS(A604)))</f>
        <v/>
      </c>
    </row>
    <row r="605">
      <c r="A605" s="10" t="n"/>
      <c r="B605" s="10" t="n"/>
      <c r="C605" s="11">
        <f>IF(A605="","",$B$5*TAN(RADIANS(A605)))</f>
        <v/>
      </c>
      <c r="D605" s="11">
        <f>IF(C605="","",C605*(1+B605/100))</f>
        <v/>
      </c>
      <c r="E605" s="11">
        <f>IF(A605="","",$B$6*TAN(RADIANS(A605)))</f>
        <v/>
      </c>
    </row>
    <row r="606">
      <c r="A606" s="10" t="n"/>
      <c r="B606" s="10" t="n"/>
      <c r="C606" s="11">
        <f>IF(A606="","",$B$5*TAN(RADIANS(A606)))</f>
        <v/>
      </c>
      <c r="D606" s="11">
        <f>IF(C606="","",C606*(1+B606/100))</f>
        <v/>
      </c>
      <c r="E606" s="11">
        <f>IF(A606="","",$B$6*TAN(RADIANS(A606)))</f>
        <v/>
      </c>
    </row>
    <row r="607">
      <c r="A607" s="10" t="n"/>
      <c r="B607" s="10" t="n"/>
      <c r="C607" s="11">
        <f>IF(A607="","",$B$5*TAN(RADIANS(A607)))</f>
        <v/>
      </c>
      <c r="D607" s="11">
        <f>IF(C607="","",C607*(1+B607/100))</f>
        <v/>
      </c>
      <c r="E607" s="11">
        <f>IF(A607="","",$B$6*TAN(RADIANS(A607)))</f>
        <v/>
      </c>
    </row>
    <row r="608">
      <c r="A608" s="10" t="n"/>
      <c r="B608" s="10" t="n"/>
      <c r="C608" s="11">
        <f>IF(A608="","",$B$5*TAN(RADIANS(A608)))</f>
        <v/>
      </c>
      <c r="D608" s="11">
        <f>IF(C608="","",C608*(1+B608/100))</f>
        <v/>
      </c>
      <c r="E608" s="11">
        <f>IF(A608="","",$B$6*TAN(RADIANS(A608)))</f>
        <v/>
      </c>
    </row>
    <row r="609">
      <c r="A609" s="10" t="n"/>
      <c r="B609" s="10" t="n"/>
      <c r="C609" s="11">
        <f>IF(A609="","",$B$5*TAN(RADIANS(A609)))</f>
        <v/>
      </c>
      <c r="D609" s="11">
        <f>IF(C609="","",C609*(1+B609/100))</f>
        <v/>
      </c>
      <c r="E609" s="11">
        <f>IF(A609="","",$B$6*TAN(RADIANS(A609)))</f>
        <v/>
      </c>
    </row>
    <row r="610">
      <c r="A610" s="10" t="n"/>
      <c r="B610" s="10" t="n"/>
      <c r="C610" s="11">
        <f>IF(A610="","",$B$5*TAN(RADIANS(A610)))</f>
        <v/>
      </c>
      <c r="D610" s="11">
        <f>IF(C610="","",C610*(1+B610/100))</f>
        <v/>
      </c>
      <c r="E610" s="11">
        <f>IF(A610="","",$B$6*TAN(RADIANS(A610)))</f>
        <v/>
      </c>
    </row>
    <row r="611">
      <c r="A611" s="10" t="n"/>
      <c r="B611" s="10" t="n"/>
      <c r="C611" s="11">
        <f>IF(A611="","",$B$5*TAN(RADIANS(A611)))</f>
        <v/>
      </c>
      <c r="D611" s="11">
        <f>IF(C611="","",C611*(1+B611/100))</f>
        <v/>
      </c>
      <c r="E611" s="11">
        <f>IF(A611="","",$B$6*TAN(RADIANS(A611)))</f>
        <v/>
      </c>
    </row>
    <row r="612">
      <c r="A612" s="10" t="n"/>
      <c r="B612" s="10" t="n"/>
      <c r="C612" s="11">
        <f>IF(A612="","",$B$5*TAN(RADIANS(A612)))</f>
        <v/>
      </c>
      <c r="D612" s="11">
        <f>IF(C612="","",C612*(1+B612/100))</f>
        <v/>
      </c>
      <c r="E612" s="11">
        <f>IF(A612="","",$B$6*TAN(RADIANS(A612)))</f>
        <v/>
      </c>
    </row>
    <row r="613">
      <c r="A613" s="10" t="n"/>
      <c r="B613" s="10" t="n"/>
      <c r="C613" s="11">
        <f>IF(A613="","",$B$5*TAN(RADIANS(A613)))</f>
        <v/>
      </c>
      <c r="D613" s="11">
        <f>IF(C613="","",C613*(1+B613/100))</f>
        <v/>
      </c>
      <c r="E613" s="11">
        <f>IF(A613="","",$B$6*TAN(RADIANS(A613)))</f>
        <v/>
      </c>
    </row>
    <row r="614">
      <c r="A614" s="10" t="n"/>
      <c r="B614" s="10" t="n"/>
      <c r="C614" s="11">
        <f>IF(A614="","",$B$5*TAN(RADIANS(A614)))</f>
        <v/>
      </c>
      <c r="D614" s="11">
        <f>IF(C614="","",C614*(1+B614/100))</f>
        <v/>
      </c>
      <c r="E614" s="11">
        <f>IF(A614="","",$B$6*TAN(RADIANS(A614)))</f>
        <v/>
      </c>
    </row>
    <row r="615">
      <c r="A615" s="10" t="n"/>
      <c r="B615" s="10" t="n"/>
      <c r="C615" s="11">
        <f>IF(A615="","",$B$5*TAN(RADIANS(A615)))</f>
        <v/>
      </c>
      <c r="D615" s="11">
        <f>IF(C615="","",C615*(1+B615/100))</f>
        <v/>
      </c>
      <c r="E615" s="11">
        <f>IF(A615="","",$B$6*TAN(RADIANS(A615)))</f>
        <v/>
      </c>
    </row>
    <row r="616">
      <c r="A616" s="10" t="n"/>
      <c r="B616" s="10" t="n"/>
      <c r="C616" s="11">
        <f>IF(A616="","",$B$5*TAN(RADIANS(A616)))</f>
        <v/>
      </c>
      <c r="D616" s="11">
        <f>IF(C616="","",C616*(1+B616/100))</f>
        <v/>
      </c>
      <c r="E616" s="11">
        <f>IF(A616="","",$B$6*TAN(RADIANS(A616)))</f>
        <v/>
      </c>
    </row>
    <row r="617">
      <c r="A617" s="10" t="n"/>
      <c r="B617" s="10" t="n"/>
      <c r="C617" s="11">
        <f>IF(A617="","",$B$5*TAN(RADIANS(A617)))</f>
        <v/>
      </c>
      <c r="D617" s="11">
        <f>IF(C617="","",C617*(1+B617/100))</f>
        <v/>
      </c>
      <c r="E617" s="11">
        <f>IF(A617="","",$B$6*TAN(RADIANS(A617)))</f>
        <v/>
      </c>
    </row>
    <row r="618">
      <c r="A618" s="10" t="n"/>
      <c r="B618" s="10" t="n"/>
      <c r="C618" s="11">
        <f>IF(A618="","",$B$5*TAN(RADIANS(A618)))</f>
        <v/>
      </c>
      <c r="D618" s="11">
        <f>IF(C618="","",C618*(1+B618/100))</f>
        <v/>
      </c>
      <c r="E618" s="11">
        <f>IF(A618="","",$B$6*TAN(RADIANS(A618)))</f>
        <v/>
      </c>
    </row>
    <row r="619">
      <c r="A619" s="10" t="n"/>
      <c r="B619" s="10" t="n"/>
      <c r="C619" s="11">
        <f>IF(A619="","",$B$5*TAN(RADIANS(A619)))</f>
        <v/>
      </c>
      <c r="D619" s="11">
        <f>IF(C619="","",C619*(1+B619/100))</f>
        <v/>
      </c>
      <c r="E619" s="11">
        <f>IF(A619="","",$B$6*TAN(RADIANS(A619)))</f>
        <v/>
      </c>
    </row>
    <row r="620">
      <c r="A620" s="10" t="n"/>
      <c r="B620" s="10" t="n"/>
      <c r="C620" s="11">
        <f>IF(A620="","",$B$5*TAN(RADIANS(A620)))</f>
        <v/>
      </c>
      <c r="D620" s="11">
        <f>IF(C620="","",C620*(1+B620/100))</f>
        <v/>
      </c>
      <c r="E620" s="11">
        <f>IF(A620="","",$B$6*TAN(RADIANS(A620)))</f>
        <v/>
      </c>
    </row>
    <row r="621">
      <c r="A621" s="10" t="n"/>
      <c r="B621" s="10" t="n"/>
      <c r="C621" s="11">
        <f>IF(A621="","",$B$5*TAN(RADIANS(A621)))</f>
        <v/>
      </c>
      <c r="D621" s="11">
        <f>IF(C621="","",C621*(1+B621/100))</f>
        <v/>
      </c>
      <c r="E621" s="11">
        <f>IF(A621="","",$B$6*TAN(RADIANS(A621)))</f>
        <v/>
      </c>
    </row>
    <row r="622">
      <c r="A622" s="10" t="n"/>
      <c r="B622" s="10" t="n"/>
      <c r="C622" s="11">
        <f>IF(A622="","",$B$5*TAN(RADIANS(A622)))</f>
        <v/>
      </c>
      <c r="D622" s="11">
        <f>IF(C622="","",C622*(1+B622/100))</f>
        <v/>
      </c>
      <c r="E622" s="11">
        <f>IF(A622="","",$B$6*TAN(RADIANS(A622)))</f>
        <v/>
      </c>
    </row>
    <row r="623">
      <c r="A623" s="10" t="n"/>
      <c r="B623" s="10" t="n"/>
      <c r="C623" s="11">
        <f>IF(A623="","",$B$5*TAN(RADIANS(A623)))</f>
        <v/>
      </c>
      <c r="D623" s="11">
        <f>IF(C623="","",C623*(1+B623/100))</f>
        <v/>
      </c>
      <c r="E623" s="11">
        <f>IF(A623="","",$B$6*TAN(RADIANS(A623)))</f>
        <v/>
      </c>
    </row>
    <row r="624">
      <c r="A624" s="10" t="n"/>
      <c r="B624" s="10" t="n"/>
      <c r="C624" s="11">
        <f>IF(A624="","",$B$5*TAN(RADIANS(A624)))</f>
        <v/>
      </c>
      <c r="D624" s="11">
        <f>IF(C624="","",C624*(1+B624/100))</f>
        <v/>
      </c>
      <c r="E624" s="11">
        <f>IF(A624="","",$B$6*TAN(RADIANS(A624)))</f>
        <v/>
      </c>
    </row>
    <row r="625">
      <c r="A625" s="10" t="n"/>
      <c r="B625" s="10" t="n"/>
      <c r="C625" s="11">
        <f>IF(A625="","",$B$5*TAN(RADIANS(A625)))</f>
        <v/>
      </c>
      <c r="D625" s="11">
        <f>IF(C625="","",C625*(1+B625/100))</f>
        <v/>
      </c>
      <c r="E625" s="11">
        <f>IF(A625="","",$B$6*TAN(RADIANS(A625)))</f>
        <v/>
      </c>
    </row>
    <row r="626">
      <c r="A626" s="10" t="n"/>
      <c r="B626" s="10" t="n"/>
      <c r="C626" s="11">
        <f>IF(A626="","",$B$5*TAN(RADIANS(A626)))</f>
        <v/>
      </c>
      <c r="D626" s="11">
        <f>IF(C626="","",C626*(1+B626/100))</f>
        <v/>
      </c>
      <c r="E626" s="11">
        <f>IF(A626="","",$B$6*TAN(RADIANS(A626)))</f>
        <v/>
      </c>
    </row>
    <row r="627">
      <c r="A627" s="10" t="n"/>
      <c r="B627" s="10" t="n"/>
      <c r="C627" s="11">
        <f>IF(A627="","",$B$5*TAN(RADIANS(A627)))</f>
        <v/>
      </c>
      <c r="D627" s="11">
        <f>IF(C627="","",C627*(1+B627/100))</f>
        <v/>
      </c>
      <c r="E627" s="11">
        <f>IF(A627="","",$B$6*TAN(RADIANS(A627)))</f>
        <v/>
      </c>
    </row>
    <row r="628">
      <c r="A628" s="10" t="n"/>
      <c r="B628" s="10" t="n"/>
      <c r="C628" s="11">
        <f>IF(A628="","",$B$5*TAN(RADIANS(A628)))</f>
        <v/>
      </c>
      <c r="D628" s="11">
        <f>IF(C628="","",C628*(1+B628/100))</f>
        <v/>
      </c>
      <c r="E628" s="11">
        <f>IF(A628="","",$B$6*TAN(RADIANS(A628)))</f>
        <v/>
      </c>
    </row>
    <row r="629">
      <c r="A629" s="10" t="n"/>
      <c r="B629" s="10" t="n"/>
      <c r="C629" s="11">
        <f>IF(A629="","",$B$5*TAN(RADIANS(A629)))</f>
        <v/>
      </c>
      <c r="D629" s="11">
        <f>IF(C629="","",C629*(1+B629/100))</f>
        <v/>
      </c>
      <c r="E629" s="11">
        <f>IF(A629="","",$B$6*TAN(RADIANS(A629)))</f>
        <v/>
      </c>
    </row>
    <row r="630">
      <c r="A630" s="10" t="n"/>
      <c r="B630" s="10" t="n"/>
      <c r="C630" s="11">
        <f>IF(A630="","",$B$5*TAN(RADIANS(A630)))</f>
        <v/>
      </c>
      <c r="D630" s="11">
        <f>IF(C630="","",C630*(1+B630/100))</f>
        <v/>
      </c>
      <c r="E630" s="11">
        <f>IF(A630="","",$B$6*TAN(RADIANS(A630)))</f>
        <v/>
      </c>
    </row>
    <row r="631">
      <c r="A631" s="10" t="n"/>
      <c r="B631" s="10" t="n"/>
      <c r="C631" s="11">
        <f>IF(A631="","",$B$5*TAN(RADIANS(A631)))</f>
        <v/>
      </c>
      <c r="D631" s="11">
        <f>IF(C631="","",C631*(1+B631/100))</f>
        <v/>
      </c>
      <c r="E631" s="11">
        <f>IF(A631="","",$B$6*TAN(RADIANS(A631)))</f>
        <v/>
      </c>
    </row>
    <row r="632">
      <c r="A632" s="10" t="n"/>
      <c r="B632" s="10" t="n"/>
      <c r="C632" s="11">
        <f>IF(A632="","",$B$5*TAN(RADIANS(A632)))</f>
        <v/>
      </c>
      <c r="D632" s="11">
        <f>IF(C632="","",C632*(1+B632/100))</f>
        <v/>
      </c>
      <c r="E632" s="11">
        <f>IF(A632="","",$B$6*TAN(RADIANS(A632)))</f>
        <v/>
      </c>
    </row>
    <row r="633">
      <c r="A633" s="10" t="n"/>
      <c r="B633" s="10" t="n"/>
      <c r="C633" s="11">
        <f>IF(A633="","",$B$5*TAN(RADIANS(A633)))</f>
        <v/>
      </c>
      <c r="D633" s="11">
        <f>IF(C633="","",C633*(1+B633/100))</f>
        <v/>
      </c>
      <c r="E633" s="11">
        <f>IF(A633="","",$B$6*TAN(RADIANS(A633)))</f>
        <v/>
      </c>
    </row>
    <row r="634">
      <c r="A634" s="10" t="n"/>
      <c r="B634" s="10" t="n"/>
      <c r="C634" s="11">
        <f>IF(A634="","",$B$5*TAN(RADIANS(A634)))</f>
        <v/>
      </c>
      <c r="D634" s="11">
        <f>IF(C634="","",C634*(1+B634/100))</f>
        <v/>
      </c>
      <c r="E634" s="11">
        <f>IF(A634="","",$B$6*TAN(RADIANS(A634)))</f>
        <v/>
      </c>
    </row>
    <row r="635">
      <c r="A635" s="10" t="n"/>
      <c r="B635" s="10" t="n"/>
      <c r="C635" s="11">
        <f>IF(A635="","",$B$5*TAN(RADIANS(A635)))</f>
        <v/>
      </c>
      <c r="D635" s="11">
        <f>IF(C635="","",C635*(1+B635/100))</f>
        <v/>
      </c>
      <c r="E635" s="11">
        <f>IF(A635="","",$B$6*TAN(RADIANS(A635)))</f>
        <v/>
      </c>
    </row>
    <row r="636">
      <c r="A636" s="10" t="n"/>
      <c r="B636" s="10" t="n"/>
      <c r="C636" s="11">
        <f>IF(A636="","",$B$5*TAN(RADIANS(A636)))</f>
        <v/>
      </c>
      <c r="D636" s="11">
        <f>IF(C636="","",C636*(1+B636/100))</f>
        <v/>
      </c>
      <c r="E636" s="11">
        <f>IF(A636="","",$B$6*TAN(RADIANS(A636)))</f>
        <v/>
      </c>
    </row>
    <row r="637">
      <c r="A637" s="10" t="n"/>
      <c r="B637" s="10" t="n"/>
      <c r="C637" s="11">
        <f>IF(A637="","",$B$5*TAN(RADIANS(A637)))</f>
        <v/>
      </c>
      <c r="D637" s="11">
        <f>IF(C637="","",C637*(1+B637/100))</f>
        <v/>
      </c>
      <c r="E637" s="11">
        <f>IF(A637="","",$B$6*TAN(RADIANS(A637)))</f>
        <v/>
      </c>
    </row>
    <row r="638">
      <c r="A638" s="10" t="n"/>
      <c r="B638" s="10" t="n"/>
      <c r="C638" s="11">
        <f>IF(A638="","",$B$5*TAN(RADIANS(A638)))</f>
        <v/>
      </c>
      <c r="D638" s="11">
        <f>IF(C638="","",C638*(1+B638/100))</f>
        <v/>
      </c>
      <c r="E638" s="11">
        <f>IF(A638="","",$B$6*TAN(RADIANS(A638)))</f>
        <v/>
      </c>
    </row>
    <row r="639">
      <c r="A639" s="10" t="n"/>
      <c r="B639" s="10" t="n"/>
      <c r="C639" s="11">
        <f>IF(A639="","",$B$5*TAN(RADIANS(A639)))</f>
        <v/>
      </c>
      <c r="D639" s="11">
        <f>IF(C639="","",C639*(1+B639/100))</f>
        <v/>
      </c>
      <c r="E639" s="11">
        <f>IF(A639="","",$B$6*TAN(RADIANS(A639)))</f>
        <v/>
      </c>
    </row>
    <row r="640">
      <c r="A640" s="10" t="n"/>
      <c r="B640" s="10" t="n"/>
      <c r="C640" s="11">
        <f>IF(A640="","",$B$5*TAN(RADIANS(A640)))</f>
        <v/>
      </c>
      <c r="D640" s="11">
        <f>IF(C640="","",C640*(1+B640/100))</f>
        <v/>
      </c>
      <c r="E640" s="11">
        <f>IF(A640="","",$B$6*TAN(RADIANS(A640)))</f>
        <v/>
      </c>
    </row>
    <row r="641">
      <c r="A641" s="10" t="n"/>
      <c r="B641" s="10" t="n"/>
      <c r="C641" s="11">
        <f>IF(A641="","",$B$5*TAN(RADIANS(A641)))</f>
        <v/>
      </c>
      <c r="D641" s="11">
        <f>IF(C641="","",C641*(1+B641/100))</f>
        <v/>
      </c>
      <c r="E641" s="11">
        <f>IF(A641="","",$B$6*TAN(RADIANS(A641)))</f>
        <v/>
      </c>
    </row>
    <row r="642">
      <c r="A642" s="10" t="n"/>
      <c r="B642" s="10" t="n"/>
      <c r="C642" s="11">
        <f>IF(A642="","",$B$5*TAN(RADIANS(A642)))</f>
        <v/>
      </c>
      <c r="D642" s="11">
        <f>IF(C642="","",C642*(1+B642/100))</f>
        <v/>
      </c>
      <c r="E642" s="11">
        <f>IF(A642="","",$B$6*TAN(RADIANS(A642)))</f>
        <v/>
      </c>
    </row>
    <row r="643">
      <c r="A643" s="10" t="n"/>
      <c r="B643" s="10" t="n"/>
      <c r="C643" s="11">
        <f>IF(A643="","",$B$5*TAN(RADIANS(A643)))</f>
        <v/>
      </c>
      <c r="D643" s="11">
        <f>IF(C643="","",C643*(1+B643/100))</f>
        <v/>
      </c>
      <c r="E643" s="11">
        <f>IF(A643="","",$B$6*TAN(RADIANS(A643)))</f>
        <v/>
      </c>
    </row>
    <row r="644">
      <c r="A644" s="10" t="n"/>
      <c r="B644" s="10" t="n"/>
      <c r="C644" s="11">
        <f>IF(A644="","",$B$5*TAN(RADIANS(A644)))</f>
        <v/>
      </c>
      <c r="D644" s="11">
        <f>IF(C644="","",C644*(1+B644/100))</f>
        <v/>
      </c>
      <c r="E644" s="11">
        <f>IF(A644="","",$B$6*TAN(RADIANS(A644)))</f>
        <v/>
      </c>
    </row>
    <row r="645">
      <c r="A645" s="10" t="n"/>
      <c r="B645" s="10" t="n"/>
      <c r="C645" s="11">
        <f>IF(A645="","",$B$5*TAN(RADIANS(A645)))</f>
        <v/>
      </c>
      <c r="D645" s="11">
        <f>IF(C645="","",C645*(1+B645/100))</f>
        <v/>
      </c>
      <c r="E645" s="11">
        <f>IF(A645="","",$B$6*TAN(RADIANS(A645)))</f>
        <v/>
      </c>
    </row>
    <row r="646">
      <c r="A646" s="10" t="n"/>
      <c r="B646" s="10" t="n"/>
      <c r="C646" s="11">
        <f>IF(A646="","",$B$5*TAN(RADIANS(A646)))</f>
        <v/>
      </c>
      <c r="D646" s="11">
        <f>IF(C646="","",C646*(1+B646/100))</f>
        <v/>
      </c>
      <c r="E646" s="11">
        <f>IF(A646="","",$B$6*TAN(RADIANS(A646)))</f>
        <v/>
      </c>
    </row>
    <row r="647">
      <c r="A647" s="10" t="n"/>
      <c r="B647" s="10" t="n"/>
      <c r="C647" s="11">
        <f>IF(A647="","",$B$5*TAN(RADIANS(A647)))</f>
        <v/>
      </c>
      <c r="D647" s="11">
        <f>IF(C647="","",C647*(1+B647/100))</f>
        <v/>
      </c>
      <c r="E647" s="11">
        <f>IF(A647="","",$B$6*TAN(RADIANS(A647)))</f>
        <v/>
      </c>
    </row>
    <row r="648">
      <c r="A648" s="10" t="n"/>
      <c r="B648" s="10" t="n"/>
      <c r="C648" s="11">
        <f>IF(A648="","",$B$5*TAN(RADIANS(A648)))</f>
        <v/>
      </c>
      <c r="D648" s="11">
        <f>IF(C648="","",C648*(1+B648/100))</f>
        <v/>
      </c>
      <c r="E648" s="11">
        <f>IF(A648="","",$B$6*TAN(RADIANS(A648)))</f>
        <v/>
      </c>
    </row>
    <row r="649">
      <c r="A649" s="10" t="n"/>
      <c r="B649" s="10" t="n"/>
      <c r="C649" s="11">
        <f>IF(A649="","",$B$5*TAN(RADIANS(A649)))</f>
        <v/>
      </c>
      <c r="D649" s="11">
        <f>IF(C649="","",C649*(1+B649/100))</f>
        <v/>
      </c>
      <c r="E649" s="11">
        <f>IF(A649="","",$B$6*TAN(RADIANS(A649)))</f>
        <v/>
      </c>
    </row>
    <row r="650">
      <c r="A650" s="10" t="n"/>
      <c r="B650" s="10" t="n"/>
      <c r="C650" s="11">
        <f>IF(A650="","",$B$5*TAN(RADIANS(A650)))</f>
        <v/>
      </c>
      <c r="D650" s="11">
        <f>IF(C650="","",C650*(1+B650/100))</f>
        <v/>
      </c>
      <c r="E650" s="11">
        <f>IF(A650="","",$B$6*TAN(RADIANS(A650)))</f>
        <v/>
      </c>
    </row>
    <row r="651">
      <c r="A651" s="10" t="n"/>
      <c r="B651" s="10" t="n"/>
      <c r="C651" s="11">
        <f>IF(A651="","",$B$5*TAN(RADIANS(A651)))</f>
        <v/>
      </c>
      <c r="D651" s="11">
        <f>IF(C651="","",C651*(1+B651/100))</f>
        <v/>
      </c>
      <c r="E651" s="11">
        <f>IF(A651="","",$B$6*TAN(RADIANS(A651)))</f>
        <v/>
      </c>
    </row>
    <row r="652">
      <c r="A652" s="10" t="n"/>
      <c r="B652" s="10" t="n"/>
      <c r="C652" s="11">
        <f>IF(A652="","",$B$5*TAN(RADIANS(A652)))</f>
        <v/>
      </c>
      <c r="D652" s="11">
        <f>IF(C652="","",C652*(1+B652/100))</f>
        <v/>
      </c>
      <c r="E652" s="11">
        <f>IF(A652="","",$B$6*TAN(RADIANS(A652)))</f>
        <v/>
      </c>
    </row>
    <row r="653">
      <c r="A653" s="10" t="n"/>
      <c r="B653" s="10" t="n"/>
      <c r="C653" s="11">
        <f>IF(A653="","",$B$5*TAN(RADIANS(A653)))</f>
        <v/>
      </c>
      <c r="D653" s="11">
        <f>IF(C653="","",C653*(1+B653/100))</f>
        <v/>
      </c>
      <c r="E653" s="11">
        <f>IF(A653="","",$B$6*TAN(RADIANS(A653)))</f>
        <v/>
      </c>
    </row>
    <row r="654">
      <c r="A654" s="10" t="n"/>
      <c r="B654" s="10" t="n"/>
      <c r="C654" s="11">
        <f>IF(A654="","",$B$5*TAN(RADIANS(A654)))</f>
        <v/>
      </c>
      <c r="D654" s="11">
        <f>IF(C654="","",C654*(1+B654/100))</f>
        <v/>
      </c>
      <c r="E654" s="11">
        <f>IF(A654="","",$B$6*TAN(RADIANS(A654)))</f>
        <v/>
      </c>
    </row>
    <row r="655">
      <c r="A655" s="10" t="n"/>
      <c r="B655" s="10" t="n"/>
      <c r="C655" s="11">
        <f>IF(A655="","",$B$5*TAN(RADIANS(A655)))</f>
        <v/>
      </c>
      <c r="D655" s="11">
        <f>IF(C655="","",C655*(1+B655/100))</f>
        <v/>
      </c>
      <c r="E655" s="11">
        <f>IF(A655="","",$B$6*TAN(RADIANS(A655)))</f>
        <v/>
      </c>
    </row>
    <row r="656">
      <c r="A656" s="10" t="n"/>
      <c r="B656" s="10" t="n"/>
      <c r="C656" s="11">
        <f>IF(A656="","",$B$5*TAN(RADIANS(A656)))</f>
        <v/>
      </c>
      <c r="D656" s="11">
        <f>IF(C656="","",C656*(1+B656/100))</f>
        <v/>
      </c>
      <c r="E656" s="11">
        <f>IF(A656="","",$B$6*TAN(RADIANS(A656)))</f>
        <v/>
      </c>
    </row>
    <row r="657">
      <c r="A657" s="10" t="n"/>
      <c r="B657" s="10" t="n"/>
      <c r="C657" s="11">
        <f>IF(A657="","",$B$5*TAN(RADIANS(A657)))</f>
        <v/>
      </c>
      <c r="D657" s="11">
        <f>IF(C657="","",C657*(1+B657/100))</f>
        <v/>
      </c>
      <c r="E657" s="11">
        <f>IF(A657="","",$B$6*TAN(RADIANS(A657)))</f>
        <v/>
      </c>
    </row>
    <row r="658">
      <c r="A658" s="10" t="n"/>
      <c r="B658" s="10" t="n"/>
      <c r="C658" s="11">
        <f>IF(A658="","",$B$5*TAN(RADIANS(A658)))</f>
        <v/>
      </c>
      <c r="D658" s="11">
        <f>IF(C658="","",C658*(1+B658/100))</f>
        <v/>
      </c>
      <c r="E658" s="11">
        <f>IF(A658="","",$B$6*TAN(RADIANS(A658)))</f>
        <v/>
      </c>
    </row>
    <row r="659">
      <c r="A659" s="10" t="n"/>
      <c r="B659" s="10" t="n"/>
      <c r="C659" s="11">
        <f>IF(A659="","",$B$5*TAN(RADIANS(A659)))</f>
        <v/>
      </c>
      <c r="D659" s="11">
        <f>IF(C659="","",C659*(1+B659/100))</f>
        <v/>
      </c>
      <c r="E659" s="11">
        <f>IF(A659="","",$B$6*TAN(RADIANS(A659)))</f>
        <v/>
      </c>
    </row>
    <row r="660">
      <c r="A660" s="10" t="n"/>
      <c r="B660" s="10" t="n"/>
      <c r="C660" s="11">
        <f>IF(A660="","",$B$5*TAN(RADIANS(A660)))</f>
        <v/>
      </c>
      <c r="D660" s="11">
        <f>IF(C660="","",C660*(1+B660/100))</f>
        <v/>
      </c>
      <c r="E660" s="11">
        <f>IF(A660="","",$B$6*TAN(RADIANS(A660)))</f>
        <v/>
      </c>
    </row>
    <row r="661">
      <c r="A661" s="10" t="n"/>
      <c r="B661" s="10" t="n"/>
      <c r="C661" s="11">
        <f>IF(A661="","",$B$5*TAN(RADIANS(A661)))</f>
        <v/>
      </c>
      <c r="D661" s="11">
        <f>IF(C661="","",C661*(1+B661/100))</f>
        <v/>
      </c>
      <c r="E661" s="11">
        <f>IF(A661="","",$B$6*TAN(RADIANS(A661)))</f>
        <v/>
      </c>
    </row>
    <row r="662">
      <c r="A662" s="10" t="n"/>
      <c r="B662" s="10" t="n"/>
      <c r="C662" s="11">
        <f>IF(A662="","",$B$5*TAN(RADIANS(A662)))</f>
        <v/>
      </c>
      <c r="D662" s="11">
        <f>IF(C662="","",C662*(1+B662/100))</f>
        <v/>
      </c>
      <c r="E662" s="11">
        <f>IF(A662="","",$B$6*TAN(RADIANS(A662)))</f>
        <v/>
      </c>
    </row>
    <row r="663">
      <c r="A663" s="10" t="n"/>
      <c r="B663" s="10" t="n"/>
      <c r="C663" s="11">
        <f>IF(A663="","",$B$5*TAN(RADIANS(A663)))</f>
        <v/>
      </c>
      <c r="D663" s="11">
        <f>IF(C663="","",C663*(1+B663/100))</f>
        <v/>
      </c>
      <c r="E663" s="11">
        <f>IF(A663="","",$B$6*TAN(RADIANS(A663)))</f>
        <v/>
      </c>
    </row>
    <row r="664">
      <c r="A664" s="10" t="n"/>
      <c r="B664" s="10" t="n"/>
      <c r="C664" s="11">
        <f>IF(A664="","",$B$5*TAN(RADIANS(A664)))</f>
        <v/>
      </c>
      <c r="D664" s="11">
        <f>IF(C664="","",C664*(1+B664/100))</f>
        <v/>
      </c>
      <c r="E664" s="11">
        <f>IF(A664="","",$B$6*TAN(RADIANS(A664)))</f>
        <v/>
      </c>
    </row>
    <row r="665">
      <c r="A665" s="10" t="n"/>
      <c r="B665" s="10" t="n"/>
      <c r="C665" s="11">
        <f>IF(A665="","",$B$5*TAN(RADIANS(A665)))</f>
        <v/>
      </c>
      <c r="D665" s="11">
        <f>IF(C665="","",C665*(1+B665/100))</f>
        <v/>
      </c>
      <c r="E665" s="11">
        <f>IF(A665="","",$B$6*TAN(RADIANS(A665)))</f>
        <v/>
      </c>
    </row>
    <row r="666">
      <c r="A666" s="10" t="n"/>
      <c r="B666" s="10" t="n"/>
      <c r="C666" s="11">
        <f>IF(A666="","",$B$5*TAN(RADIANS(A666)))</f>
        <v/>
      </c>
      <c r="D666" s="11">
        <f>IF(C666="","",C666*(1+B666/100))</f>
        <v/>
      </c>
      <c r="E666" s="11">
        <f>IF(A666="","",$B$6*TAN(RADIANS(A666)))</f>
        <v/>
      </c>
    </row>
    <row r="667">
      <c r="A667" s="10" t="n"/>
      <c r="B667" s="10" t="n"/>
      <c r="C667" s="11">
        <f>IF(A667="","",$B$5*TAN(RADIANS(A667)))</f>
        <v/>
      </c>
      <c r="D667" s="11">
        <f>IF(C667="","",C667*(1+B667/100))</f>
        <v/>
      </c>
      <c r="E667" s="11">
        <f>IF(A667="","",$B$6*TAN(RADIANS(A667)))</f>
        <v/>
      </c>
    </row>
    <row r="668">
      <c r="A668" s="10" t="n"/>
      <c r="B668" s="10" t="n"/>
      <c r="C668" s="11">
        <f>IF(A668="","",$B$5*TAN(RADIANS(A668)))</f>
        <v/>
      </c>
      <c r="D668" s="11">
        <f>IF(C668="","",C668*(1+B668/100))</f>
        <v/>
      </c>
      <c r="E668" s="11">
        <f>IF(A668="","",$B$6*TAN(RADIANS(A668)))</f>
        <v/>
      </c>
    </row>
    <row r="669">
      <c r="A669" s="10" t="n"/>
      <c r="B669" s="10" t="n"/>
      <c r="C669" s="11">
        <f>IF(A669="","",$B$5*TAN(RADIANS(A669)))</f>
        <v/>
      </c>
      <c r="D669" s="11">
        <f>IF(C669="","",C669*(1+B669/100))</f>
        <v/>
      </c>
      <c r="E669" s="11">
        <f>IF(A669="","",$B$6*TAN(RADIANS(A669)))</f>
        <v/>
      </c>
    </row>
    <row r="670">
      <c r="A670" s="10" t="n"/>
      <c r="B670" s="10" t="n"/>
      <c r="C670" s="11">
        <f>IF(A670="","",$B$5*TAN(RADIANS(A670)))</f>
        <v/>
      </c>
      <c r="D670" s="11">
        <f>IF(C670="","",C670*(1+B670/100))</f>
        <v/>
      </c>
      <c r="E670" s="11">
        <f>IF(A670="","",$B$6*TAN(RADIANS(A670)))</f>
        <v/>
      </c>
    </row>
    <row r="671">
      <c r="A671" s="10" t="n"/>
      <c r="B671" s="10" t="n"/>
      <c r="C671" s="11">
        <f>IF(A671="","",$B$5*TAN(RADIANS(A671)))</f>
        <v/>
      </c>
      <c r="D671" s="11">
        <f>IF(C671="","",C671*(1+B671/100))</f>
        <v/>
      </c>
      <c r="E671" s="11">
        <f>IF(A671="","",$B$6*TAN(RADIANS(A671)))</f>
        <v/>
      </c>
    </row>
    <row r="672">
      <c r="A672" s="10" t="n"/>
      <c r="B672" s="10" t="n"/>
      <c r="C672" s="11">
        <f>IF(A672="","",$B$5*TAN(RADIANS(A672)))</f>
        <v/>
      </c>
      <c r="D672" s="11">
        <f>IF(C672="","",C672*(1+B672/100))</f>
        <v/>
      </c>
      <c r="E672" s="11">
        <f>IF(A672="","",$B$6*TAN(RADIANS(A672)))</f>
        <v/>
      </c>
    </row>
    <row r="673">
      <c r="A673" s="10" t="n"/>
      <c r="B673" s="10" t="n"/>
      <c r="C673" s="11">
        <f>IF(A673="","",$B$5*TAN(RADIANS(A673)))</f>
        <v/>
      </c>
      <c r="D673" s="11">
        <f>IF(C673="","",C673*(1+B673/100))</f>
        <v/>
      </c>
      <c r="E673" s="11">
        <f>IF(A673="","",$B$6*TAN(RADIANS(A673)))</f>
        <v/>
      </c>
    </row>
    <row r="674">
      <c r="A674" s="10" t="n"/>
      <c r="B674" s="10" t="n"/>
      <c r="C674" s="11">
        <f>IF(A674="","",$B$5*TAN(RADIANS(A674)))</f>
        <v/>
      </c>
      <c r="D674" s="11">
        <f>IF(C674="","",C674*(1+B674/100))</f>
        <v/>
      </c>
      <c r="E674" s="11">
        <f>IF(A674="","",$B$6*TAN(RADIANS(A674)))</f>
        <v/>
      </c>
    </row>
    <row r="675">
      <c r="A675" s="10" t="n"/>
      <c r="B675" s="10" t="n"/>
      <c r="C675" s="11">
        <f>IF(A675="","",$B$5*TAN(RADIANS(A675)))</f>
        <v/>
      </c>
      <c r="D675" s="11">
        <f>IF(C675="","",C675*(1+B675/100))</f>
        <v/>
      </c>
      <c r="E675" s="11">
        <f>IF(A675="","",$B$6*TAN(RADIANS(A675)))</f>
        <v/>
      </c>
    </row>
    <row r="676">
      <c r="A676" s="10" t="n"/>
      <c r="B676" s="10" t="n"/>
      <c r="C676" s="11">
        <f>IF(A676="","",$B$5*TAN(RADIANS(A676)))</f>
        <v/>
      </c>
      <c r="D676" s="11">
        <f>IF(C676="","",C676*(1+B676/100))</f>
        <v/>
      </c>
      <c r="E676" s="11">
        <f>IF(A676="","",$B$6*TAN(RADIANS(A676)))</f>
        <v/>
      </c>
    </row>
    <row r="677">
      <c r="A677" s="10" t="n"/>
      <c r="B677" s="10" t="n"/>
      <c r="C677" s="11">
        <f>IF(A677="","",$B$5*TAN(RADIANS(A677)))</f>
        <v/>
      </c>
      <c r="D677" s="11">
        <f>IF(C677="","",C677*(1+B677/100))</f>
        <v/>
      </c>
      <c r="E677" s="11">
        <f>IF(A677="","",$B$6*TAN(RADIANS(A677)))</f>
        <v/>
      </c>
    </row>
    <row r="678">
      <c r="A678" s="10" t="n"/>
      <c r="B678" s="10" t="n"/>
      <c r="C678" s="11">
        <f>IF(A678="","",$B$5*TAN(RADIANS(A678)))</f>
        <v/>
      </c>
      <c r="D678" s="11">
        <f>IF(C678="","",C678*(1+B678/100))</f>
        <v/>
      </c>
      <c r="E678" s="11">
        <f>IF(A678="","",$B$6*TAN(RADIANS(A678)))</f>
        <v/>
      </c>
    </row>
    <row r="679">
      <c r="A679" s="10" t="n"/>
      <c r="B679" s="10" t="n"/>
      <c r="C679" s="11">
        <f>IF(A679="","",$B$5*TAN(RADIANS(A679)))</f>
        <v/>
      </c>
      <c r="D679" s="11">
        <f>IF(C679="","",C679*(1+B679/100))</f>
        <v/>
      </c>
      <c r="E679" s="11">
        <f>IF(A679="","",$B$6*TAN(RADIANS(A679)))</f>
        <v/>
      </c>
    </row>
    <row r="680">
      <c r="A680" s="10" t="n"/>
      <c r="B680" s="10" t="n"/>
      <c r="C680" s="11">
        <f>IF(A680="","",$B$5*TAN(RADIANS(A680)))</f>
        <v/>
      </c>
      <c r="D680" s="11">
        <f>IF(C680="","",C680*(1+B680/100))</f>
        <v/>
      </c>
      <c r="E680" s="11">
        <f>IF(A680="","",$B$6*TAN(RADIANS(A680)))</f>
        <v/>
      </c>
    </row>
    <row r="681">
      <c r="A681" s="10" t="n"/>
      <c r="B681" s="10" t="n"/>
      <c r="C681" s="11">
        <f>IF(A681="","",$B$5*TAN(RADIANS(A681)))</f>
        <v/>
      </c>
      <c r="D681" s="11">
        <f>IF(C681="","",C681*(1+B681/100))</f>
        <v/>
      </c>
      <c r="E681" s="11">
        <f>IF(A681="","",$B$6*TAN(RADIANS(A681)))</f>
        <v/>
      </c>
    </row>
    <row r="682">
      <c r="A682" s="10" t="n"/>
      <c r="B682" s="10" t="n"/>
      <c r="C682" s="11">
        <f>IF(A682="","",$B$5*TAN(RADIANS(A682)))</f>
        <v/>
      </c>
      <c r="D682" s="11">
        <f>IF(C682="","",C682*(1+B682/100))</f>
        <v/>
      </c>
      <c r="E682" s="11">
        <f>IF(A682="","",$B$6*TAN(RADIANS(A682)))</f>
        <v/>
      </c>
    </row>
    <row r="683">
      <c r="A683" s="10" t="n"/>
      <c r="B683" s="10" t="n"/>
      <c r="C683" s="11">
        <f>IF(A683="","",$B$5*TAN(RADIANS(A683)))</f>
        <v/>
      </c>
      <c r="D683" s="11">
        <f>IF(C683="","",C683*(1+B683/100))</f>
        <v/>
      </c>
      <c r="E683" s="11">
        <f>IF(A683="","",$B$6*TAN(RADIANS(A683)))</f>
        <v/>
      </c>
    </row>
    <row r="684">
      <c r="A684" s="10" t="n"/>
      <c r="B684" s="10" t="n"/>
      <c r="C684" s="11">
        <f>IF(A684="","",$B$5*TAN(RADIANS(A684)))</f>
        <v/>
      </c>
      <c r="D684" s="11">
        <f>IF(C684="","",C684*(1+B684/100))</f>
        <v/>
      </c>
      <c r="E684" s="11">
        <f>IF(A684="","",$B$6*TAN(RADIANS(A684)))</f>
        <v/>
      </c>
    </row>
    <row r="685">
      <c r="A685" s="10" t="n"/>
      <c r="B685" s="10" t="n"/>
      <c r="C685" s="11">
        <f>IF(A685="","",$B$5*TAN(RADIANS(A685)))</f>
        <v/>
      </c>
      <c r="D685" s="11">
        <f>IF(C685="","",C685*(1+B685/100))</f>
        <v/>
      </c>
      <c r="E685" s="11">
        <f>IF(A685="","",$B$6*TAN(RADIANS(A685)))</f>
        <v/>
      </c>
    </row>
    <row r="686">
      <c r="A686" s="10" t="n"/>
      <c r="B686" s="10" t="n"/>
      <c r="C686" s="11">
        <f>IF(A686="","",$B$5*TAN(RADIANS(A686)))</f>
        <v/>
      </c>
      <c r="D686" s="11">
        <f>IF(C686="","",C686*(1+B686/100))</f>
        <v/>
      </c>
      <c r="E686" s="11">
        <f>IF(A686="","",$B$6*TAN(RADIANS(A686)))</f>
        <v/>
      </c>
    </row>
    <row r="687">
      <c r="A687" s="10" t="n"/>
      <c r="B687" s="10" t="n"/>
      <c r="C687" s="11">
        <f>IF(A687="","",$B$5*TAN(RADIANS(A687)))</f>
        <v/>
      </c>
      <c r="D687" s="11">
        <f>IF(C687="","",C687*(1+B687/100))</f>
        <v/>
      </c>
      <c r="E687" s="11">
        <f>IF(A687="","",$B$6*TAN(RADIANS(A687)))</f>
        <v/>
      </c>
    </row>
    <row r="688">
      <c r="A688" s="10" t="n"/>
      <c r="B688" s="10" t="n"/>
      <c r="C688" s="11">
        <f>IF(A688="","",$B$5*TAN(RADIANS(A688)))</f>
        <v/>
      </c>
      <c r="D688" s="11">
        <f>IF(C688="","",C688*(1+B688/100))</f>
        <v/>
      </c>
      <c r="E688" s="11">
        <f>IF(A688="","",$B$6*TAN(RADIANS(A688)))</f>
        <v/>
      </c>
    </row>
    <row r="689">
      <c r="A689" s="10" t="n"/>
      <c r="B689" s="10" t="n"/>
      <c r="C689" s="11">
        <f>IF(A689="","",$B$5*TAN(RADIANS(A689)))</f>
        <v/>
      </c>
      <c r="D689" s="11">
        <f>IF(C689="","",C689*(1+B689/100))</f>
        <v/>
      </c>
      <c r="E689" s="11">
        <f>IF(A689="","",$B$6*TAN(RADIANS(A689)))</f>
        <v/>
      </c>
    </row>
    <row r="690">
      <c r="A690" s="10" t="n"/>
      <c r="B690" s="10" t="n"/>
      <c r="C690" s="11">
        <f>IF(A690="","",$B$5*TAN(RADIANS(A690)))</f>
        <v/>
      </c>
      <c r="D690" s="11">
        <f>IF(C690="","",C690*(1+B690/100))</f>
        <v/>
      </c>
      <c r="E690" s="11">
        <f>IF(A690="","",$B$6*TAN(RADIANS(A690)))</f>
        <v/>
      </c>
    </row>
    <row r="691">
      <c r="A691" s="10" t="n"/>
      <c r="B691" s="10" t="n"/>
      <c r="C691" s="11">
        <f>IF(A691="","",$B$5*TAN(RADIANS(A691)))</f>
        <v/>
      </c>
      <c r="D691" s="11">
        <f>IF(C691="","",C691*(1+B691/100))</f>
        <v/>
      </c>
      <c r="E691" s="11">
        <f>IF(A691="","",$B$6*TAN(RADIANS(A691)))</f>
        <v/>
      </c>
    </row>
    <row r="692">
      <c r="A692" s="10" t="n"/>
      <c r="B692" s="10" t="n"/>
      <c r="C692" s="11">
        <f>IF(A692="","",$B$5*TAN(RADIANS(A692)))</f>
        <v/>
      </c>
      <c r="D692" s="11">
        <f>IF(C692="","",C692*(1+B692/100))</f>
        <v/>
      </c>
      <c r="E692" s="11">
        <f>IF(A692="","",$B$6*TAN(RADIANS(A692)))</f>
        <v/>
      </c>
    </row>
    <row r="693">
      <c r="A693" s="10" t="n"/>
      <c r="B693" s="10" t="n"/>
      <c r="C693" s="11">
        <f>IF(A693="","",$B$5*TAN(RADIANS(A693)))</f>
        <v/>
      </c>
      <c r="D693" s="11">
        <f>IF(C693="","",C693*(1+B693/100))</f>
        <v/>
      </c>
      <c r="E693" s="11">
        <f>IF(A693="","",$B$6*TAN(RADIANS(A693)))</f>
        <v/>
      </c>
    </row>
    <row r="694">
      <c r="A694" s="10" t="n"/>
      <c r="B694" s="10" t="n"/>
      <c r="C694" s="11">
        <f>IF(A694="","",$B$5*TAN(RADIANS(A694)))</f>
        <v/>
      </c>
      <c r="D694" s="11">
        <f>IF(C694="","",C694*(1+B694/100))</f>
        <v/>
      </c>
      <c r="E694" s="11">
        <f>IF(A694="","",$B$6*TAN(RADIANS(A694)))</f>
        <v/>
      </c>
    </row>
    <row r="695">
      <c r="A695" s="10" t="n"/>
      <c r="B695" s="10" t="n"/>
      <c r="C695" s="11">
        <f>IF(A695="","",$B$5*TAN(RADIANS(A695)))</f>
        <v/>
      </c>
      <c r="D695" s="11">
        <f>IF(C695="","",C695*(1+B695/100))</f>
        <v/>
      </c>
      <c r="E695" s="11">
        <f>IF(A695="","",$B$6*TAN(RADIANS(A695)))</f>
        <v/>
      </c>
    </row>
    <row r="696">
      <c r="A696" s="10" t="n"/>
      <c r="B696" s="10" t="n"/>
      <c r="C696" s="11">
        <f>IF(A696="","",$B$5*TAN(RADIANS(A696)))</f>
        <v/>
      </c>
      <c r="D696" s="11">
        <f>IF(C696="","",C696*(1+B696/100))</f>
        <v/>
      </c>
      <c r="E696" s="11">
        <f>IF(A696="","",$B$6*TAN(RADIANS(A696)))</f>
        <v/>
      </c>
    </row>
    <row r="697">
      <c r="A697" s="10" t="n"/>
      <c r="B697" s="10" t="n"/>
      <c r="C697" s="11">
        <f>IF(A697="","",$B$5*TAN(RADIANS(A697)))</f>
        <v/>
      </c>
      <c r="D697" s="11">
        <f>IF(C697="","",C697*(1+B697/100))</f>
        <v/>
      </c>
      <c r="E697" s="11">
        <f>IF(A697="","",$B$6*TAN(RADIANS(A697)))</f>
        <v/>
      </c>
    </row>
    <row r="698">
      <c r="A698" s="10" t="n"/>
      <c r="B698" s="10" t="n"/>
      <c r="C698" s="11">
        <f>IF(A698="","",$B$5*TAN(RADIANS(A698)))</f>
        <v/>
      </c>
      <c r="D698" s="11">
        <f>IF(C698="","",C698*(1+B698/100))</f>
        <v/>
      </c>
      <c r="E698" s="11">
        <f>IF(A698="","",$B$6*TAN(RADIANS(A698)))</f>
        <v/>
      </c>
    </row>
    <row r="699">
      <c r="A699" s="10" t="n"/>
      <c r="B699" s="10" t="n"/>
      <c r="C699" s="11">
        <f>IF(A699="","",$B$5*TAN(RADIANS(A699)))</f>
        <v/>
      </c>
      <c r="D699" s="11">
        <f>IF(C699="","",C699*(1+B699/100))</f>
        <v/>
      </c>
      <c r="E699" s="11">
        <f>IF(A699="","",$B$6*TAN(RADIANS(A699)))</f>
        <v/>
      </c>
    </row>
    <row r="700">
      <c r="A700" s="10" t="n"/>
      <c r="B700" s="10" t="n"/>
      <c r="C700" s="11">
        <f>IF(A700="","",$B$5*TAN(RADIANS(A700)))</f>
        <v/>
      </c>
      <c r="D700" s="11">
        <f>IF(C700="","",C700*(1+B700/100))</f>
        <v/>
      </c>
      <c r="E700" s="11">
        <f>IF(A700="","",$B$6*TAN(RADIANS(A700)))</f>
        <v/>
      </c>
    </row>
    <row r="701">
      <c r="A701" s="10" t="n"/>
      <c r="B701" s="10" t="n"/>
      <c r="C701" s="11">
        <f>IF(A701="","",$B$5*TAN(RADIANS(A701)))</f>
        <v/>
      </c>
      <c r="D701" s="11">
        <f>IF(C701="","",C701*(1+B701/100))</f>
        <v/>
      </c>
      <c r="E701" s="11">
        <f>IF(A701="","",$B$6*TAN(RADIANS(A701)))</f>
        <v/>
      </c>
    </row>
    <row r="702">
      <c r="A702" s="10" t="n"/>
      <c r="B702" s="10" t="n"/>
      <c r="C702" s="11">
        <f>IF(A702="","",$B$5*TAN(RADIANS(A702)))</f>
        <v/>
      </c>
      <c r="D702" s="11">
        <f>IF(C702="","",C702*(1+B702/100))</f>
        <v/>
      </c>
      <c r="E702" s="11">
        <f>IF(A702="","",$B$6*TAN(RADIANS(A702)))</f>
        <v/>
      </c>
    </row>
    <row r="703">
      <c r="A703" s="10" t="n"/>
      <c r="B703" s="10" t="n"/>
      <c r="C703" s="11">
        <f>IF(A703="","",$B$5*TAN(RADIANS(A703)))</f>
        <v/>
      </c>
      <c r="D703" s="11">
        <f>IF(C703="","",C703*(1+B703/100))</f>
        <v/>
      </c>
      <c r="E703" s="11">
        <f>IF(A703="","",$B$6*TAN(RADIANS(A703)))</f>
        <v/>
      </c>
    </row>
    <row r="704">
      <c r="A704" s="10" t="n"/>
      <c r="B704" s="10" t="n"/>
      <c r="C704" s="11">
        <f>IF(A704="","",$B$5*TAN(RADIANS(A704)))</f>
        <v/>
      </c>
      <c r="D704" s="11">
        <f>IF(C704="","",C704*(1+B704/100))</f>
        <v/>
      </c>
      <c r="E704" s="11">
        <f>IF(A704="","",$B$6*TAN(RADIANS(A704)))</f>
        <v/>
      </c>
    </row>
    <row r="705">
      <c r="A705" s="10" t="n"/>
      <c r="B705" s="10" t="n"/>
      <c r="C705" s="11">
        <f>IF(A705="","",$B$5*TAN(RADIANS(A705)))</f>
        <v/>
      </c>
      <c r="D705" s="11">
        <f>IF(C705="","",C705*(1+B705/100))</f>
        <v/>
      </c>
      <c r="E705" s="11">
        <f>IF(A705="","",$B$6*TAN(RADIANS(A705)))</f>
        <v/>
      </c>
    </row>
    <row r="706">
      <c r="A706" s="10" t="n"/>
      <c r="B706" s="10" t="n"/>
      <c r="C706" s="11">
        <f>IF(A706="","",$B$5*TAN(RADIANS(A706)))</f>
        <v/>
      </c>
      <c r="D706" s="11">
        <f>IF(C706="","",C706*(1+B706/100))</f>
        <v/>
      </c>
      <c r="E706" s="11">
        <f>IF(A706="","",$B$6*TAN(RADIANS(A706)))</f>
        <v/>
      </c>
    </row>
    <row r="707">
      <c r="A707" s="10" t="n"/>
      <c r="B707" s="10" t="n"/>
      <c r="C707" s="11">
        <f>IF(A707="","",$B$5*TAN(RADIANS(A707)))</f>
        <v/>
      </c>
      <c r="D707" s="11">
        <f>IF(C707="","",C707*(1+B707/100))</f>
        <v/>
      </c>
      <c r="E707" s="11">
        <f>IF(A707="","",$B$6*TAN(RADIANS(A707)))</f>
        <v/>
      </c>
    </row>
    <row r="708">
      <c r="A708" s="10" t="n"/>
      <c r="B708" s="10" t="n"/>
      <c r="C708" s="11">
        <f>IF(A708="","",$B$5*TAN(RADIANS(A708)))</f>
        <v/>
      </c>
      <c r="D708" s="11">
        <f>IF(C708="","",C708*(1+B708/100))</f>
        <v/>
      </c>
      <c r="E708" s="11">
        <f>IF(A708="","",$B$6*TAN(RADIANS(A708)))</f>
        <v/>
      </c>
    </row>
    <row r="709">
      <c r="A709" s="10" t="n"/>
      <c r="B709" s="10" t="n"/>
      <c r="C709" s="11">
        <f>IF(A709="","",$B$5*TAN(RADIANS(A709)))</f>
        <v/>
      </c>
      <c r="D709" s="11">
        <f>IF(C709="","",C709*(1+B709/100))</f>
        <v/>
      </c>
      <c r="E709" s="11">
        <f>IF(A709="","",$B$6*TAN(RADIANS(A709)))</f>
        <v/>
      </c>
    </row>
    <row r="710">
      <c r="A710" s="10" t="n"/>
      <c r="B710" s="10" t="n"/>
      <c r="C710" s="11">
        <f>IF(A710="","",$B$5*TAN(RADIANS(A710)))</f>
        <v/>
      </c>
      <c r="D710" s="11">
        <f>IF(C710="","",C710*(1+B710/100))</f>
        <v/>
      </c>
      <c r="E710" s="11">
        <f>IF(A710="","",$B$6*TAN(RADIANS(A710)))</f>
        <v/>
      </c>
    </row>
    <row r="711">
      <c r="A711" s="10" t="n"/>
      <c r="B711" s="10" t="n"/>
      <c r="C711" s="11">
        <f>IF(A711="","",$B$5*TAN(RADIANS(A711)))</f>
        <v/>
      </c>
      <c r="D711" s="11">
        <f>IF(C711="","",C711*(1+B711/100))</f>
        <v/>
      </c>
      <c r="E711" s="11">
        <f>IF(A711="","",$B$6*TAN(RADIANS(A711)))</f>
        <v/>
      </c>
    </row>
    <row r="712">
      <c r="A712" s="10" t="n"/>
      <c r="B712" s="10" t="n"/>
      <c r="C712" s="11">
        <f>IF(A712="","",$B$5*TAN(RADIANS(A712)))</f>
        <v/>
      </c>
      <c r="D712" s="11">
        <f>IF(C712="","",C712*(1+B712/100))</f>
        <v/>
      </c>
      <c r="E712" s="11">
        <f>IF(A712="","",$B$6*TAN(RADIANS(A712)))</f>
        <v/>
      </c>
    </row>
    <row r="713">
      <c r="A713" s="10" t="n"/>
      <c r="B713" s="10" t="n"/>
      <c r="C713" s="11">
        <f>IF(A713="","",$B$5*TAN(RADIANS(A713)))</f>
        <v/>
      </c>
      <c r="D713" s="11">
        <f>IF(C713="","",C713*(1+B713/100))</f>
        <v/>
      </c>
      <c r="E713" s="11">
        <f>IF(A713="","",$B$6*TAN(RADIANS(A713)))</f>
        <v/>
      </c>
    </row>
    <row r="714">
      <c r="A714" s="10" t="n"/>
      <c r="B714" s="10" t="n"/>
      <c r="C714" s="11">
        <f>IF(A714="","",$B$5*TAN(RADIANS(A714)))</f>
        <v/>
      </c>
      <c r="D714" s="11">
        <f>IF(C714="","",C714*(1+B714/100))</f>
        <v/>
      </c>
      <c r="E714" s="11">
        <f>IF(A714="","",$B$6*TAN(RADIANS(A714)))</f>
        <v/>
      </c>
    </row>
    <row r="715">
      <c r="A715" s="10" t="n"/>
      <c r="B715" s="10" t="n"/>
      <c r="C715" s="11">
        <f>IF(A715="","",$B$5*TAN(RADIANS(A715)))</f>
        <v/>
      </c>
      <c r="D715" s="11">
        <f>IF(C715="","",C715*(1+B715/100))</f>
        <v/>
      </c>
      <c r="E715" s="11">
        <f>IF(A715="","",$B$6*TAN(RADIANS(A715)))</f>
        <v/>
      </c>
    </row>
    <row r="716">
      <c r="A716" s="10" t="n"/>
      <c r="B716" s="10" t="n"/>
      <c r="C716" s="11">
        <f>IF(A716="","",$B$5*TAN(RADIANS(A716)))</f>
        <v/>
      </c>
      <c r="D716" s="11">
        <f>IF(C716="","",C716*(1+B716/100))</f>
        <v/>
      </c>
      <c r="E716" s="11">
        <f>IF(A716="","",$B$6*TAN(RADIANS(A716)))</f>
        <v/>
      </c>
    </row>
    <row r="717">
      <c r="A717" s="10" t="n"/>
      <c r="B717" s="10" t="n"/>
      <c r="C717" s="11">
        <f>IF(A717="","",$B$5*TAN(RADIANS(A717)))</f>
        <v/>
      </c>
      <c r="D717" s="11">
        <f>IF(C717="","",C717*(1+B717/100))</f>
        <v/>
      </c>
      <c r="E717" s="11">
        <f>IF(A717="","",$B$6*TAN(RADIANS(A717)))</f>
        <v/>
      </c>
    </row>
    <row r="718">
      <c r="A718" s="10" t="n"/>
      <c r="B718" s="10" t="n"/>
      <c r="C718" s="11">
        <f>IF(A718="","",$B$5*TAN(RADIANS(A718)))</f>
        <v/>
      </c>
      <c r="D718" s="11">
        <f>IF(C718="","",C718*(1+B718/100))</f>
        <v/>
      </c>
      <c r="E718" s="11">
        <f>IF(A718="","",$B$6*TAN(RADIANS(A718)))</f>
        <v/>
      </c>
    </row>
    <row r="719">
      <c r="A719" s="10" t="n"/>
      <c r="B719" s="10" t="n"/>
      <c r="C719" s="11">
        <f>IF(A719="","",$B$5*TAN(RADIANS(A719)))</f>
        <v/>
      </c>
      <c r="D719" s="11">
        <f>IF(C719="","",C719*(1+B719/100))</f>
        <v/>
      </c>
      <c r="E719" s="11">
        <f>IF(A719="","",$B$6*TAN(RADIANS(A719)))</f>
        <v/>
      </c>
    </row>
    <row r="720">
      <c r="A720" s="10" t="n"/>
      <c r="B720" s="10" t="n"/>
      <c r="C720" s="11">
        <f>IF(A720="","",$B$5*TAN(RADIANS(A720)))</f>
        <v/>
      </c>
      <c r="D720" s="11">
        <f>IF(C720="","",C720*(1+B720/100))</f>
        <v/>
      </c>
      <c r="E720" s="11">
        <f>IF(A720="","",$B$6*TAN(RADIANS(A720)))</f>
        <v/>
      </c>
    </row>
    <row r="721">
      <c r="A721" s="10" t="n"/>
      <c r="B721" s="10" t="n"/>
      <c r="C721" s="11">
        <f>IF(A721="","",$B$5*TAN(RADIANS(A721)))</f>
        <v/>
      </c>
      <c r="D721" s="11">
        <f>IF(C721="","",C721*(1+B721/100))</f>
        <v/>
      </c>
      <c r="E721" s="11">
        <f>IF(A721="","",$B$6*TAN(RADIANS(A721)))</f>
        <v/>
      </c>
    </row>
    <row r="722">
      <c r="A722" s="10" t="n"/>
      <c r="B722" s="10" t="n"/>
      <c r="C722" s="11">
        <f>IF(A722="","",$B$5*TAN(RADIANS(A722)))</f>
        <v/>
      </c>
      <c r="D722" s="11">
        <f>IF(C722="","",C722*(1+B722/100))</f>
        <v/>
      </c>
      <c r="E722" s="11">
        <f>IF(A722="","",$B$6*TAN(RADIANS(A722)))</f>
        <v/>
      </c>
    </row>
    <row r="723">
      <c r="A723" s="10" t="n"/>
      <c r="B723" s="10" t="n"/>
      <c r="C723" s="11">
        <f>IF(A723="","",$B$5*TAN(RADIANS(A723)))</f>
        <v/>
      </c>
      <c r="D723" s="11">
        <f>IF(C723="","",C723*(1+B723/100))</f>
        <v/>
      </c>
      <c r="E723" s="11">
        <f>IF(A723="","",$B$6*TAN(RADIANS(A723)))</f>
        <v/>
      </c>
    </row>
    <row r="724">
      <c r="A724" s="10" t="n"/>
      <c r="B724" s="10" t="n"/>
      <c r="C724" s="11">
        <f>IF(A724="","",$B$5*TAN(RADIANS(A724)))</f>
        <v/>
      </c>
      <c r="D724" s="11">
        <f>IF(C724="","",C724*(1+B724/100))</f>
        <v/>
      </c>
      <c r="E724" s="11">
        <f>IF(A724="","",$B$6*TAN(RADIANS(A724)))</f>
        <v/>
      </c>
    </row>
    <row r="725">
      <c r="A725" s="10" t="n"/>
      <c r="B725" s="10" t="n"/>
      <c r="C725" s="11">
        <f>IF(A725="","",$B$5*TAN(RADIANS(A725)))</f>
        <v/>
      </c>
      <c r="D725" s="11">
        <f>IF(C725="","",C725*(1+B725/100))</f>
        <v/>
      </c>
      <c r="E725" s="11">
        <f>IF(A725="","",$B$6*TAN(RADIANS(A725)))</f>
        <v/>
      </c>
    </row>
    <row r="726">
      <c r="A726" s="10" t="n"/>
      <c r="B726" s="10" t="n"/>
      <c r="C726" s="11">
        <f>IF(A726="","",$B$5*TAN(RADIANS(A726)))</f>
        <v/>
      </c>
      <c r="D726" s="11">
        <f>IF(C726="","",C726*(1+B726/100))</f>
        <v/>
      </c>
      <c r="E726" s="11">
        <f>IF(A726="","",$B$6*TAN(RADIANS(A726)))</f>
        <v/>
      </c>
    </row>
    <row r="727">
      <c r="A727" s="10" t="n"/>
      <c r="B727" s="10" t="n"/>
      <c r="C727" s="11">
        <f>IF(A727="","",$B$5*TAN(RADIANS(A727)))</f>
        <v/>
      </c>
      <c r="D727" s="11">
        <f>IF(C727="","",C727*(1+B727/100))</f>
        <v/>
      </c>
      <c r="E727" s="11">
        <f>IF(A727="","",$B$6*TAN(RADIANS(A727)))</f>
        <v/>
      </c>
    </row>
    <row r="728">
      <c r="A728" s="10" t="n"/>
      <c r="B728" s="10" t="n"/>
      <c r="C728" s="11">
        <f>IF(A728="","",$B$5*TAN(RADIANS(A728)))</f>
        <v/>
      </c>
      <c r="D728" s="11">
        <f>IF(C728="","",C728*(1+B728/100))</f>
        <v/>
      </c>
      <c r="E728" s="11">
        <f>IF(A728="","",$B$6*TAN(RADIANS(A728)))</f>
        <v/>
      </c>
    </row>
    <row r="729">
      <c r="A729" s="10" t="n"/>
      <c r="B729" s="10" t="n"/>
      <c r="C729" s="11">
        <f>IF(A729="","",$B$5*TAN(RADIANS(A729)))</f>
        <v/>
      </c>
      <c r="D729" s="11">
        <f>IF(C729="","",C729*(1+B729/100))</f>
        <v/>
      </c>
      <c r="E729" s="11">
        <f>IF(A729="","",$B$6*TAN(RADIANS(A729)))</f>
        <v/>
      </c>
    </row>
    <row r="730">
      <c r="A730" s="10" t="n"/>
      <c r="B730" s="10" t="n"/>
      <c r="C730" s="11">
        <f>IF(A730="","",$B$5*TAN(RADIANS(A730)))</f>
        <v/>
      </c>
      <c r="D730" s="11">
        <f>IF(C730="","",C730*(1+B730/100))</f>
        <v/>
      </c>
      <c r="E730" s="11">
        <f>IF(A730="","",$B$6*TAN(RADIANS(A730)))</f>
        <v/>
      </c>
    </row>
    <row r="731">
      <c r="A731" s="10" t="n"/>
      <c r="B731" s="10" t="n"/>
      <c r="C731" s="11">
        <f>IF(A731="","",$B$5*TAN(RADIANS(A731)))</f>
        <v/>
      </c>
      <c r="D731" s="11">
        <f>IF(C731="","",C731*(1+B731/100))</f>
        <v/>
      </c>
      <c r="E731" s="11">
        <f>IF(A731="","",$B$6*TAN(RADIANS(A731)))</f>
        <v/>
      </c>
    </row>
    <row r="732">
      <c r="A732" s="10" t="n"/>
      <c r="B732" s="10" t="n"/>
      <c r="C732" s="11">
        <f>IF(A732="","",$B$5*TAN(RADIANS(A732)))</f>
        <v/>
      </c>
      <c r="D732" s="11">
        <f>IF(C732="","",C732*(1+B732/100))</f>
        <v/>
      </c>
      <c r="E732" s="11">
        <f>IF(A732="","",$B$6*TAN(RADIANS(A732)))</f>
        <v/>
      </c>
    </row>
    <row r="733">
      <c r="A733" s="10" t="n"/>
      <c r="B733" s="10" t="n"/>
      <c r="C733" s="11">
        <f>IF(A733="","",$B$5*TAN(RADIANS(A733)))</f>
        <v/>
      </c>
      <c r="D733" s="11">
        <f>IF(C733="","",C733*(1+B733/100))</f>
        <v/>
      </c>
      <c r="E733" s="11">
        <f>IF(A733="","",$B$6*TAN(RADIANS(A733)))</f>
        <v/>
      </c>
    </row>
    <row r="734">
      <c r="A734" s="10" t="n"/>
      <c r="B734" s="10" t="n"/>
      <c r="C734" s="11">
        <f>IF(A734="","",$B$5*TAN(RADIANS(A734)))</f>
        <v/>
      </c>
      <c r="D734" s="11">
        <f>IF(C734="","",C734*(1+B734/100))</f>
        <v/>
      </c>
      <c r="E734" s="11">
        <f>IF(A734="","",$B$6*TAN(RADIANS(A734)))</f>
        <v/>
      </c>
    </row>
    <row r="735">
      <c r="A735" s="10" t="n"/>
      <c r="B735" s="10" t="n"/>
      <c r="C735" s="11">
        <f>IF(A735="","",$B$5*TAN(RADIANS(A735)))</f>
        <v/>
      </c>
      <c r="D735" s="11">
        <f>IF(C735="","",C735*(1+B735/100))</f>
        <v/>
      </c>
      <c r="E735" s="11">
        <f>IF(A735="","",$B$6*TAN(RADIANS(A735)))</f>
        <v/>
      </c>
    </row>
    <row r="736">
      <c r="A736" s="10" t="n"/>
      <c r="B736" s="10" t="n"/>
      <c r="C736" s="11">
        <f>IF(A736="","",$B$5*TAN(RADIANS(A736)))</f>
        <v/>
      </c>
      <c r="D736" s="11">
        <f>IF(C736="","",C736*(1+B736/100))</f>
        <v/>
      </c>
      <c r="E736" s="11">
        <f>IF(A736="","",$B$6*TAN(RADIANS(A736)))</f>
        <v/>
      </c>
    </row>
    <row r="737">
      <c r="A737" s="10" t="n"/>
      <c r="B737" s="10" t="n"/>
      <c r="C737" s="11">
        <f>IF(A737="","",$B$5*TAN(RADIANS(A737)))</f>
        <v/>
      </c>
      <c r="D737" s="11">
        <f>IF(C737="","",C737*(1+B737/100))</f>
        <v/>
      </c>
      <c r="E737" s="11">
        <f>IF(A737="","",$B$6*TAN(RADIANS(A737)))</f>
        <v/>
      </c>
    </row>
    <row r="738">
      <c r="A738" s="10" t="n"/>
      <c r="B738" s="10" t="n"/>
      <c r="C738" s="11">
        <f>IF(A738="","",$B$5*TAN(RADIANS(A738)))</f>
        <v/>
      </c>
      <c r="D738" s="11">
        <f>IF(C738="","",C738*(1+B738/100))</f>
        <v/>
      </c>
      <c r="E738" s="11">
        <f>IF(A738="","",$B$6*TAN(RADIANS(A738)))</f>
        <v/>
      </c>
    </row>
    <row r="739">
      <c r="A739" s="10" t="n"/>
      <c r="B739" s="10" t="n"/>
      <c r="C739" s="11">
        <f>IF(A739="","",$B$5*TAN(RADIANS(A739)))</f>
        <v/>
      </c>
      <c r="D739" s="11">
        <f>IF(C739="","",C739*(1+B739/100))</f>
        <v/>
      </c>
      <c r="E739" s="11">
        <f>IF(A739="","",$B$6*TAN(RADIANS(A739)))</f>
        <v/>
      </c>
    </row>
    <row r="740">
      <c r="A740" s="10" t="n"/>
      <c r="B740" s="10" t="n"/>
      <c r="C740" s="11">
        <f>IF(A740="","",$B$5*TAN(RADIANS(A740)))</f>
        <v/>
      </c>
      <c r="D740" s="11">
        <f>IF(C740="","",C740*(1+B740/100))</f>
        <v/>
      </c>
      <c r="E740" s="11">
        <f>IF(A740="","",$B$6*TAN(RADIANS(A740)))</f>
        <v/>
      </c>
    </row>
    <row r="741">
      <c r="A741" s="10" t="n"/>
      <c r="B741" s="10" t="n"/>
      <c r="C741" s="11">
        <f>IF(A741="","",$B$5*TAN(RADIANS(A741)))</f>
        <v/>
      </c>
      <c r="D741" s="11">
        <f>IF(C741="","",C741*(1+B741/100))</f>
        <v/>
      </c>
      <c r="E741" s="11">
        <f>IF(A741="","",$B$6*TAN(RADIANS(A741)))</f>
        <v/>
      </c>
    </row>
    <row r="742">
      <c r="A742" s="10" t="n"/>
      <c r="B742" s="10" t="n"/>
      <c r="C742" s="11">
        <f>IF(A742="","",$B$5*TAN(RADIANS(A742)))</f>
        <v/>
      </c>
      <c r="D742" s="11">
        <f>IF(C742="","",C742*(1+B742/100))</f>
        <v/>
      </c>
      <c r="E742" s="11">
        <f>IF(A742="","",$B$6*TAN(RADIANS(A742)))</f>
        <v/>
      </c>
    </row>
    <row r="743">
      <c r="A743" s="10" t="n"/>
      <c r="B743" s="10" t="n"/>
      <c r="C743" s="11">
        <f>IF(A743="","",$B$5*TAN(RADIANS(A743)))</f>
        <v/>
      </c>
      <c r="D743" s="11">
        <f>IF(C743="","",C743*(1+B743/100))</f>
        <v/>
      </c>
      <c r="E743" s="11">
        <f>IF(A743="","",$B$6*TAN(RADIANS(A743)))</f>
        <v/>
      </c>
    </row>
    <row r="744">
      <c r="A744" s="10" t="n"/>
      <c r="B744" s="10" t="n"/>
      <c r="C744" s="11">
        <f>IF(A744="","",$B$5*TAN(RADIANS(A744)))</f>
        <v/>
      </c>
      <c r="D744" s="11">
        <f>IF(C744="","",C744*(1+B744/100))</f>
        <v/>
      </c>
      <c r="E744" s="11">
        <f>IF(A744="","",$B$6*TAN(RADIANS(A744)))</f>
        <v/>
      </c>
    </row>
    <row r="745">
      <c r="A745" s="10" t="n"/>
      <c r="B745" s="10" t="n"/>
      <c r="C745" s="11">
        <f>IF(A745="","",$B$5*TAN(RADIANS(A745)))</f>
        <v/>
      </c>
      <c r="D745" s="11">
        <f>IF(C745="","",C745*(1+B745/100))</f>
        <v/>
      </c>
      <c r="E745" s="11">
        <f>IF(A745="","",$B$6*TAN(RADIANS(A745)))</f>
        <v/>
      </c>
    </row>
    <row r="746">
      <c r="A746" s="10" t="n"/>
      <c r="B746" s="10" t="n"/>
      <c r="C746" s="11">
        <f>IF(A746="","",$B$5*TAN(RADIANS(A746)))</f>
        <v/>
      </c>
      <c r="D746" s="11">
        <f>IF(C746="","",C746*(1+B746/100))</f>
        <v/>
      </c>
      <c r="E746" s="11">
        <f>IF(A746="","",$B$6*TAN(RADIANS(A746)))</f>
        <v/>
      </c>
    </row>
    <row r="747">
      <c r="A747" s="10" t="n"/>
      <c r="B747" s="10" t="n"/>
      <c r="C747" s="11">
        <f>IF(A747="","",$B$5*TAN(RADIANS(A747)))</f>
        <v/>
      </c>
      <c r="D747" s="11">
        <f>IF(C747="","",C747*(1+B747/100))</f>
        <v/>
      </c>
      <c r="E747" s="11">
        <f>IF(A747="","",$B$6*TAN(RADIANS(A747)))</f>
        <v/>
      </c>
    </row>
    <row r="748">
      <c r="A748" s="10" t="n"/>
      <c r="B748" s="10" t="n"/>
      <c r="C748" s="11">
        <f>IF(A748="","",$B$5*TAN(RADIANS(A748)))</f>
        <v/>
      </c>
      <c r="D748" s="11">
        <f>IF(C748="","",C748*(1+B748/100))</f>
        <v/>
      </c>
      <c r="E748" s="11">
        <f>IF(A748="","",$B$6*TAN(RADIANS(A748)))</f>
        <v/>
      </c>
    </row>
    <row r="749">
      <c r="A749" s="10" t="n"/>
      <c r="B749" s="10" t="n"/>
      <c r="C749" s="11">
        <f>IF(A749="","",$B$5*TAN(RADIANS(A749)))</f>
        <v/>
      </c>
      <c r="D749" s="11">
        <f>IF(C749="","",C749*(1+B749/100))</f>
        <v/>
      </c>
      <c r="E749" s="11">
        <f>IF(A749="","",$B$6*TAN(RADIANS(A749)))</f>
        <v/>
      </c>
    </row>
    <row r="750">
      <c r="A750" s="10" t="n"/>
      <c r="B750" s="10" t="n"/>
      <c r="C750" s="11">
        <f>IF(A750="","",$B$5*TAN(RADIANS(A750)))</f>
        <v/>
      </c>
      <c r="D750" s="11">
        <f>IF(C750="","",C750*(1+B750/100))</f>
        <v/>
      </c>
      <c r="E750" s="11">
        <f>IF(A750="","",$B$6*TAN(RADIANS(A750)))</f>
        <v/>
      </c>
    </row>
    <row r="751">
      <c r="A751" s="10" t="n"/>
      <c r="B751" s="10" t="n"/>
      <c r="C751" s="11">
        <f>IF(A751="","",$B$5*TAN(RADIANS(A751)))</f>
        <v/>
      </c>
      <c r="D751" s="11">
        <f>IF(C751="","",C751*(1+B751/100))</f>
        <v/>
      </c>
      <c r="E751" s="11">
        <f>IF(A751="","",$B$6*TAN(RADIANS(A751)))</f>
        <v/>
      </c>
    </row>
    <row r="752">
      <c r="A752" s="10" t="n"/>
      <c r="B752" s="10" t="n"/>
      <c r="C752" s="11">
        <f>IF(A752="","",$B$5*TAN(RADIANS(A752)))</f>
        <v/>
      </c>
      <c r="D752" s="11">
        <f>IF(C752="","",C752*(1+B752/100))</f>
        <v/>
      </c>
      <c r="E752" s="11">
        <f>IF(A752="","",$B$6*TAN(RADIANS(A752)))</f>
        <v/>
      </c>
    </row>
    <row r="753">
      <c r="A753" s="10" t="n"/>
      <c r="B753" s="10" t="n"/>
      <c r="C753" s="11">
        <f>IF(A753="","",$B$5*TAN(RADIANS(A753)))</f>
        <v/>
      </c>
      <c r="D753" s="11">
        <f>IF(C753="","",C753*(1+B753/100))</f>
        <v/>
      </c>
      <c r="E753" s="11">
        <f>IF(A753="","",$B$6*TAN(RADIANS(A753)))</f>
        <v/>
      </c>
    </row>
    <row r="754">
      <c r="A754" s="10" t="n"/>
      <c r="B754" s="10" t="n"/>
      <c r="C754" s="11">
        <f>IF(A754="","",$B$5*TAN(RADIANS(A754)))</f>
        <v/>
      </c>
      <c r="D754" s="11">
        <f>IF(C754="","",C754*(1+B754/100))</f>
        <v/>
      </c>
      <c r="E754" s="11">
        <f>IF(A754="","",$B$6*TAN(RADIANS(A754)))</f>
        <v/>
      </c>
    </row>
    <row r="755">
      <c r="A755" s="10" t="n"/>
      <c r="B755" s="10" t="n"/>
      <c r="C755" s="11">
        <f>IF(A755="","",$B$5*TAN(RADIANS(A755)))</f>
        <v/>
      </c>
      <c r="D755" s="11">
        <f>IF(C755="","",C755*(1+B755/100))</f>
        <v/>
      </c>
      <c r="E755" s="11">
        <f>IF(A755="","",$B$6*TAN(RADIANS(A755)))</f>
        <v/>
      </c>
    </row>
    <row r="756">
      <c r="A756" s="10" t="n"/>
      <c r="B756" s="10" t="n"/>
      <c r="C756" s="11">
        <f>IF(A756="","",$B$5*TAN(RADIANS(A756)))</f>
        <v/>
      </c>
      <c r="D756" s="11">
        <f>IF(C756="","",C756*(1+B756/100))</f>
        <v/>
      </c>
      <c r="E756" s="11">
        <f>IF(A756="","",$B$6*TAN(RADIANS(A756)))</f>
        <v/>
      </c>
    </row>
    <row r="757">
      <c r="A757" s="10" t="n"/>
      <c r="B757" s="10" t="n"/>
      <c r="C757" s="11">
        <f>IF(A757="","",$B$5*TAN(RADIANS(A757)))</f>
        <v/>
      </c>
      <c r="D757" s="11">
        <f>IF(C757="","",C757*(1+B757/100))</f>
        <v/>
      </c>
      <c r="E757" s="11">
        <f>IF(A757="","",$B$6*TAN(RADIANS(A757)))</f>
        <v/>
      </c>
    </row>
    <row r="758">
      <c r="A758" s="10" t="n"/>
      <c r="B758" s="10" t="n"/>
      <c r="C758" s="11">
        <f>IF(A758="","",$B$5*TAN(RADIANS(A758)))</f>
        <v/>
      </c>
      <c r="D758" s="11">
        <f>IF(C758="","",C758*(1+B758/100))</f>
        <v/>
      </c>
      <c r="E758" s="11">
        <f>IF(A758="","",$B$6*TAN(RADIANS(A758)))</f>
        <v/>
      </c>
    </row>
    <row r="759">
      <c r="A759" s="10" t="n"/>
      <c r="B759" s="10" t="n"/>
      <c r="C759" s="11">
        <f>IF(A759="","",$B$5*TAN(RADIANS(A759)))</f>
        <v/>
      </c>
      <c r="D759" s="11">
        <f>IF(C759="","",C759*(1+B759/100))</f>
        <v/>
      </c>
      <c r="E759" s="11">
        <f>IF(A759="","",$B$6*TAN(RADIANS(A759)))</f>
        <v/>
      </c>
    </row>
    <row r="760">
      <c r="A760" s="10" t="n"/>
      <c r="B760" s="10" t="n"/>
      <c r="C760" s="11">
        <f>IF(A760="","",$B$5*TAN(RADIANS(A760)))</f>
        <v/>
      </c>
      <c r="D760" s="11">
        <f>IF(C760="","",C760*(1+B760/100))</f>
        <v/>
      </c>
      <c r="E760" s="11">
        <f>IF(A760="","",$B$6*TAN(RADIANS(A760)))</f>
        <v/>
      </c>
    </row>
    <row r="761">
      <c r="A761" s="10" t="n"/>
      <c r="B761" s="10" t="n"/>
      <c r="C761" s="11">
        <f>IF(A761="","",$B$5*TAN(RADIANS(A761)))</f>
        <v/>
      </c>
      <c r="D761" s="11">
        <f>IF(C761="","",C761*(1+B761/100))</f>
        <v/>
      </c>
      <c r="E761" s="11">
        <f>IF(A761="","",$B$6*TAN(RADIANS(A761)))</f>
        <v/>
      </c>
    </row>
    <row r="762">
      <c r="A762" s="10" t="n"/>
      <c r="B762" s="10" t="n"/>
      <c r="C762" s="11">
        <f>IF(A762="","",$B$5*TAN(RADIANS(A762)))</f>
        <v/>
      </c>
      <c r="D762" s="11">
        <f>IF(C762="","",C762*(1+B762/100))</f>
        <v/>
      </c>
      <c r="E762" s="11">
        <f>IF(A762="","",$B$6*TAN(RADIANS(A762)))</f>
        <v/>
      </c>
    </row>
    <row r="763">
      <c r="A763" s="10" t="n"/>
      <c r="B763" s="10" t="n"/>
      <c r="C763" s="11">
        <f>IF(A763="","",$B$5*TAN(RADIANS(A763)))</f>
        <v/>
      </c>
      <c r="D763" s="11">
        <f>IF(C763="","",C763*(1+B763/100))</f>
        <v/>
      </c>
      <c r="E763" s="11">
        <f>IF(A763="","",$B$6*TAN(RADIANS(A763)))</f>
        <v/>
      </c>
    </row>
    <row r="764">
      <c r="A764" s="10" t="n"/>
      <c r="B764" s="10" t="n"/>
      <c r="C764" s="11">
        <f>IF(A764="","",$B$5*TAN(RADIANS(A764)))</f>
        <v/>
      </c>
      <c r="D764" s="11">
        <f>IF(C764="","",C764*(1+B764/100))</f>
        <v/>
      </c>
      <c r="E764" s="11">
        <f>IF(A764="","",$B$6*TAN(RADIANS(A764)))</f>
        <v/>
      </c>
    </row>
    <row r="765">
      <c r="A765" s="10" t="n"/>
      <c r="B765" s="10" t="n"/>
      <c r="C765" s="11">
        <f>IF(A765="","",$B$5*TAN(RADIANS(A765)))</f>
        <v/>
      </c>
      <c r="D765" s="11">
        <f>IF(C765="","",C765*(1+B765/100))</f>
        <v/>
      </c>
      <c r="E765" s="11">
        <f>IF(A765="","",$B$6*TAN(RADIANS(A765)))</f>
        <v/>
      </c>
    </row>
    <row r="766">
      <c r="A766" s="10" t="n"/>
      <c r="B766" s="10" t="n"/>
      <c r="C766" s="11">
        <f>IF(A766="","",$B$5*TAN(RADIANS(A766)))</f>
        <v/>
      </c>
      <c r="D766" s="11">
        <f>IF(C766="","",C766*(1+B766/100))</f>
        <v/>
      </c>
      <c r="E766" s="11">
        <f>IF(A766="","",$B$6*TAN(RADIANS(A766)))</f>
        <v/>
      </c>
    </row>
    <row r="767">
      <c r="A767" s="10" t="n"/>
      <c r="B767" s="10" t="n"/>
      <c r="C767" s="11">
        <f>IF(A767="","",$B$5*TAN(RADIANS(A767)))</f>
        <v/>
      </c>
      <c r="D767" s="11">
        <f>IF(C767="","",C767*(1+B767/100))</f>
        <v/>
      </c>
      <c r="E767" s="11">
        <f>IF(A767="","",$B$6*TAN(RADIANS(A767)))</f>
        <v/>
      </c>
    </row>
    <row r="768">
      <c r="A768" s="10" t="n"/>
      <c r="B768" s="10" t="n"/>
      <c r="C768" s="11">
        <f>IF(A768="","",$B$5*TAN(RADIANS(A768)))</f>
        <v/>
      </c>
      <c r="D768" s="11">
        <f>IF(C768="","",C768*(1+B768/100))</f>
        <v/>
      </c>
      <c r="E768" s="11">
        <f>IF(A768="","",$B$6*TAN(RADIANS(A768)))</f>
        <v/>
      </c>
    </row>
    <row r="769">
      <c r="A769" s="10" t="n"/>
      <c r="B769" s="10" t="n"/>
      <c r="C769" s="11">
        <f>IF(A769="","",$B$5*TAN(RADIANS(A769)))</f>
        <v/>
      </c>
      <c r="D769" s="11">
        <f>IF(C769="","",C769*(1+B769/100))</f>
        <v/>
      </c>
      <c r="E769" s="11">
        <f>IF(A769="","",$B$6*TAN(RADIANS(A769)))</f>
        <v/>
      </c>
    </row>
    <row r="770">
      <c r="A770" s="10" t="n"/>
      <c r="B770" s="10" t="n"/>
      <c r="C770" s="11">
        <f>IF(A770="","",$B$5*TAN(RADIANS(A770)))</f>
        <v/>
      </c>
      <c r="D770" s="11">
        <f>IF(C770="","",C770*(1+B770/100))</f>
        <v/>
      </c>
      <c r="E770" s="11">
        <f>IF(A770="","",$B$6*TAN(RADIANS(A770)))</f>
        <v/>
      </c>
    </row>
    <row r="771">
      <c r="A771" s="10" t="n"/>
      <c r="B771" s="10" t="n"/>
      <c r="C771" s="11">
        <f>IF(A771="","",$B$5*TAN(RADIANS(A771)))</f>
        <v/>
      </c>
      <c r="D771" s="11">
        <f>IF(C771="","",C771*(1+B771/100))</f>
        <v/>
      </c>
      <c r="E771" s="11">
        <f>IF(A771="","",$B$6*TAN(RADIANS(A771)))</f>
        <v/>
      </c>
    </row>
    <row r="772">
      <c r="A772" s="10" t="n"/>
      <c r="B772" s="10" t="n"/>
      <c r="C772" s="11">
        <f>IF(A772="","",$B$5*TAN(RADIANS(A772)))</f>
        <v/>
      </c>
      <c r="D772" s="11">
        <f>IF(C772="","",C772*(1+B772/100))</f>
        <v/>
      </c>
      <c r="E772" s="11">
        <f>IF(A772="","",$B$6*TAN(RADIANS(A772)))</f>
        <v/>
      </c>
    </row>
    <row r="773">
      <c r="A773" s="10" t="n"/>
      <c r="B773" s="10" t="n"/>
      <c r="C773" s="11">
        <f>IF(A773="","",$B$5*TAN(RADIANS(A773)))</f>
        <v/>
      </c>
      <c r="D773" s="11">
        <f>IF(C773="","",C773*(1+B773/100))</f>
        <v/>
      </c>
      <c r="E773" s="11">
        <f>IF(A773="","",$B$6*TAN(RADIANS(A773)))</f>
        <v/>
      </c>
    </row>
    <row r="774">
      <c r="A774" s="10" t="n"/>
      <c r="B774" s="10" t="n"/>
      <c r="C774" s="11">
        <f>IF(A774="","",$B$5*TAN(RADIANS(A774)))</f>
        <v/>
      </c>
      <c r="D774" s="11">
        <f>IF(C774="","",C774*(1+B774/100))</f>
        <v/>
      </c>
      <c r="E774" s="11">
        <f>IF(A774="","",$B$6*TAN(RADIANS(A774)))</f>
        <v/>
      </c>
    </row>
    <row r="775">
      <c r="A775" s="10" t="n"/>
      <c r="B775" s="10" t="n"/>
      <c r="C775" s="11">
        <f>IF(A775="","",$B$5*TAN(RADIANS(A775)))</f>
        <v/>
      </c>
      <c r="D775" s="11">
        <f>IF(C775="","",C775*(1+B775/100))</f>
        <v/>
      </c>
      <c r="E775" s="11">
        <f>IF(A775="","",$B$6*TAN(RADIANS(A775)))</f>
        <v/>
      </c>
    </row>
    <row r="776">
      <c r="A776" s="10" t="n"/>
      <c r="B776" s="10" t="n"/>
      <c r="C776" s="11">
        <f>IF(A776="","",$B$5*TAN(RADIANS(A776)))</f>
        <v/>
      </c>
      <c r="D776" s="11">
        <f>IF(C776="","",C776*(1+B776/100))</f>
        <v/>
      </c>
      <c r="E776" s="11">
        <f>IF(A776="","",$B$6*TAN(RADIANS(A776)))</f>
        <v/>
      </c>
    </row>
    <row r="777">
      <c r="A777" s="10" t="n"/>
      <c r="B777" s="10" t="n"/>
      <c r="C777" s="11">
        <f>IF(A777="","",$B$5*TAN(RADIANS(A777)))</f>
        <v/>
      </c>
      <c r="D777" s="11">
        <f>IF(C777="","",C777*(1+B777/100))</f>
        <v/>
      </c>
      <c r="E777" s="11">
        <f>IF(A777="","",$B$6*TAN(RADIANS(A777)))</f>
        <v/>
      </c>
    </row>
    <row r="778">
      <c r="A778" s="10" t="n"/>
      <c r="B778" s="10" t="n"/>
      <c r="C778" s="11">
        <f>IF(A778="","",$B$5*TAN(RADIANS(A778)))</f>
        <v/>
      </c>
      <c r="D778" s="11">
        <f>IF(C778="","",C778*(1+B778/100))</f>
        <v/>
      </c>
      <c r="E778" s="11">
        <f>IF(A778="","",$B$6*TAN(RADIANS(A778)))</f>
        <v/>
      </c>
    </row>
    <row r="779">
      <c r="A779" s="10" t="n"/>
      <c r="B779" s="10" t="n"/>
      <c r="C779" s="11">
        <f>IF(A779="","",$B$5*TAN(RADIANS(A779)))</f>
        <v/>
      </c>
      <c r="D779" s="11">
        <f>IF(C779="","",C779*(1+B779/100))</f>
        <v/>
      </c>
      <c r="E779" s="11">
        <f>IF(A779="","",$B$6*TAN(RADIANS(A779)))</f>
        <v/>
      </c>
    </row>
    <row r="780">
      <c r="A780" s="10" t="n"/>
      <c r="B780" s="10" t="n"/>
      <c r="C780" s="11">
        <f>IF(A780="","",$B$5*TAN(RADIANS(A780)))</f>
        <v/>
      </c>
      <c r="D780" s="11">
        <f>IF(C780="","",C780*(1+B780/100))</f>
        <v/>
      </c>
      <c r="E780" s="11">
        <f>IF(A780="","",$B$6*TAN(RADIANS(A780)))</f>
        <v/>
      </c>
    </row>
    <row r="781">
      <c r="A781" s="10" t="n"/>
      <c r="B781" s="10" t="n"/>
      <c r="C781" s="11">
        <f>IF(A781="","",$B$5*TAN(RADIANS(A781)))</f>
        <v/>
      </c>
      <c r="D781" s="11">
        <f>IF(C781="","",C781*(1+B781/100))</f>
        <v/>
      </c>
      <c r="E781" s="11">
        <f>IF(A781="","",$B$6*TAN(RADIANS(A781)))</f>
        <v/>
      </c>
    </row>
    <row r="782">
      <c r="A782" s="10" t="n"/>
      <c r="B782" s="10" t="n"/>
      <c r="C782" s="11">
        <f>IF(A782="","",$B$5*TAN(RADIANS(A782)))</f>
        <v/>
      </c>
      <c r="D782" s="11">
        <f>IF(C782="","",C782*(1+B782/100))</f>
        <v/>
      </c>
      <c r="E782" s="11">
        <f>IF(A782="","",$B$6*TAN(RADIANS(A782)))</f>
        <v/>
      </c>
    </row>
    <row r="783">
      <c r="A783" s="10" t="n"/>
      <c r="B783" s="10" t="n"/>
      <c r="C783" s="11">
        <f>IF(A783="","",$B$5*TAN(RADIANS(A783)))</f>
        <v/>
      </c>
      <c r="D783" s="11">
        <f>IF(C783="","",C783*(1+B783/100))</f>
        <v/>
      </c>
      <c r="E783" s="11">
        <f>IF(A783="","",$B$6*TAN(RADIANS(A783)))</f>
        <v/>
      </c>
    </row>
    <row r="784">
      <c r="A784" s="10" t="n"/>
      <c r="B784" s="10" t="n"/>
      <c r="C784" s="11">
        <f>IF(A784="","",$B$5*TAN(RADIANS(A784)))</f>
        <v/>
      </c>
      <c r="D784" s="11">
        <f>IF(C784="","",C784*(1+B784/100))</f>
        <v/>
      </c>
      <c r="E784" s="11">
        <f>IF(A784="","",$B$6*TAN(RADIANS(A784)))</f>
        <v/>
      </c>
    </row>
    <row r="785">
      <c r="A785" s="10" t="n"/>
      <c r="B785" s="10" t="n"/>
      <c r="C785" s="11">
        <f>IF(A785="","",$B$5*TAN(RADIANS(A785)))</f>
        <v/>
      </c>
      <c r="D785" s="11">
        <f>IF(C785="","",C785*(1+B785/100))</f>
        <v/>
      </c>
      <c r="E785" s="11">
        <f>IF(A785="","",$B$6*TAN(RADIANS(A785)))</f>
        <v/>
      </c>
    </row>
    <row r="786">
      <c r="A786" s="10" t="n"/>
      <c r="B786" s="10" t="n"/>
      <c r="C786" s="11">
        <f>IF(A786="","",$B$5*TAN(RADIANS(A786)))</f>
        <v/>
      </c>
      <c r="D786" s="11">
        <f>IF(C786="","",C786*(1+B786/100))</f>
        <v/>
      </c>
      <c r="E786" s="11">
        <f>IF(A786="","",$B$6*TAN(RADIANS(A786)))</f>
        <v/>
      </c>
    </row>
    <row r="787">
      <c r="A787" s="10" t="n"/>
      <c r="B787" s="10" t="n"/>
      <c r="C787" s="11">
        <f>IF(A787="","",$B$5*TAN(RADIANS(A787)))</f>
        <v/>
      </c>
      <c r="D787" s="11">
        <f>IF(C787="","",C787*(1+B787/100))</f>
        <v/>
      </c>
      <c r="E787" s="11">
        <f>IF(A787="","",$B$6*TAN(RADIANS(A787)))</f>
        <v/>
      </c>
    </row>
    <row r="788">
      <c r="A788" s="10" t="n"/>
      <c r="B788" s="10" t="n"/>
      <c r="C788" s="11">
        <f>IF(A788="","",$B$5*TAN(RADIANS(A788)))</f>
        <v/>
      </c>
      <c r="D788" s="11">
        <f>IF(C788="","",C788*(1+B788/100))</f>
        <v/>
      </c>
      <c r="E788" s="11">
        <f>IF(A788="","",$B$6*TAN(RADIANS(A788)))</f>
        <v/>
      </c>
    </row>
    <row r="789">
      <c r="A789" s="10" t="n"/>
      <c r="B789" s="10" t="n"/>
      <c r="C789" s="11">
        <f>IF(A789="","",$B$5*TAN(RADIANS(A789)))</f>
        <v/>
      </c>
      <c r="D789" s="11">
        <f>IF(C789="","",C789*(1+B789/100))</f>
        <v/>
      </c>
      <c r="E789" s="11">
        <f>IF(A789="","",$B$6*TAN(RADIANS(A789)))</f>
        <v/>
      </c>
    </row>
    <row r="790">
      <c r="A790" s="10" t="n"/>
      <c r="B790" s="10" t="n"/>
      <c r="C790" s="11">
        <f>IF(A790="","",$B$5*TAN(RADIANS(A790)))</f>
        <v/>
      </c>
      <c r="D790" s="11">
        <f>IF(C790="","",C790*(1+B790/100))</f>
        <v/>
      </c>
      <c r="E790" s="11">
        <f>IF(A790="","",$B$6*TAN(RADIANS(A790)))</f>
        <v/>
      </c>
    </row>
    <row r="791">
      <c r="A791" s="10" t="n"/>
      <c r="B791" s="10" t="n"/>
      <c r="C791" s="11">
        <f>IF(A791="","",$B$5*TAN(RADIANS(A791)))</f>
        <v/>
      </c>
      <c r="D791" s="11">
        <f>IF(C791="","",C791*(1+B791/100))</f>
        <v/>
      </c>
      <c r="E791" s="11">
        <f>IF(A791="","",$B$6*TAN(RADIANS(A791)))</f>
        <v/>
      </c>
    </row>
    <row r="792">
      <c r="A792" s="10" t="n"/>
      <c r="B792" s="10" t="n"/>
      <c r="C792" s="11">
        <f>IF(A792="","",$B$5*TAN(RADIANS(A792)))</f>
        <v/>
      </c>
      <c r="D792" s="11">
        <f>IF(C792="","",C792*(1+B792/100))</f>
        <v/>
      </c>
      <c r="E792" s="11">
        <f>IF(A792="","",$B$6*TAN(RADIANS(A792)))</f>
        <v/>
      </c>
    </row>
    <row r="793">
      <c r="A793" s="10" t="n"/>
      <c r="B793" s="10" t="n"/>
      <c r="C793" s="11">
        <f>IF(A793="","",$B$5*TAN(RADIANS(A793)))</f>
        <v/>
      </c>
      <c r="D793" s="11">
        <f>IF(C793="","",C793*(1+B793/100))</f>
        <v/>
      </c>
      <c r="E793" s="11">
        <f>IF(A793="","",$B$6*TAN(RADIANS(A793)))</f>
        <v/>
      </c>
    </row>
    <row r="794">
      <c r="A794" s="10" t="n"/>
      <c r="B794" s="10" t="n"/>
      <c r="C794" s="11">
        <f>IF(A794="","",$B$5*TAN(RADIANS(A794)))</f>
        <v/>
      </c>
      <c r="D794" s="11">
        <f>IF(C794="","",C794*(1+B794/100))</f>
        <v/>
      </c>
      <c r="E794" s="11">
        <f>IF(A794="","",$B$6*TAN(RADIANS(A794)))</f>
        <v/>
      </c>
    </row>
    <row r="795">
      <c r="A795" s="10" t="n"/>
      <c r="B795" s="10" t="n"/>
      <c r="C795" s="11">
        <f>IF(A795="","",$B$5*TAN(RADIANS(A795)))</f>
        <v/>
      </c>
      <c r="D795" s="11">
        <f>IF(C795="","",C795*(1+B795/100))</f>
        <v/>
      </c>
      <c r="E795" s="11">
        <f>IF(A795="","",$B$6*TAN(RADIANS(A795)))</f>
        <v/>
      </c>
    </row>
    <row r="796">
      <c r="A796" s="10" t="n"/>
      <c r="B796" s="10" t="n"/>
      <c r="C796" s="11">
        <f>IF(A796="","",$B$5*TAN(RADIANS(A796)))</f>
        <v/>
      </c>
      <c r="D796" s="11">
        <f>IF(C796="","",C796*(1+B796/100))</f>
        <v/>
      </c>
      <c r="E796" s="11">
        <f>IF(A796="","",$B$6*TAN(RADIANS(A796)))</f>
        <v/>
      </c>
    </row>
    <row r="797">
      <c r="A797" s="10" t="n"/>
      <c r="B797" s="10" t="n"/>
      <c r="C797" s="11">
        <f>IF(A797="","",$B$5*TAN(RADIANS(A797)))</f>
        <v/>
      </c>
      <c r="D797" s="11">
        <f>IF(C797="","",C797*(1+B797/100))</f>
        <v/>
      </c>
      <c r="E797" s="11">
        <f>IF(A797="","",$B$6*TAN(RADIANS(A797)))</f>
        <v/>
      </c>
    </row>
    <row r="798">
      <c r="A798" s="10" t="n"/>
      <c r="B798" s="10" t="n"/>
      <c r="C798" s="11">
        <f>IF(A798="","",$B$5*TAN(RADIANS(A798)))</f>
        <v/>
      </c>
      <c r="D798" s="11">
        <f>IF(C798="","",C798*(1+B798/100))</f>
        <v/>
      </c>
      <c r="E798" s="11">
        <f>IF(A798="","",$B$6*TAN(RADIANS(A798)))</f>
        <v/>
      </c>
    </row>
    <row r="799">
      <c r="A799" s="10" t="n"/>
      <c r="B799" s="10" t="n"/>
      <c r="C799" s="11">
        <f>IF(A799="","",$B$5*TAN(RADIANS(A799)))</f>
        <v/>
      </c>
      <c r="D799" s="11">
        <f>IF(C799="","",C799*(1+B799/100))</f>
        <v/>
      </c>
      <c r="E799" s="11">
        <f>IF(A799="","",$B$6*TAN(RADIANS(A799)))</f>
        <v/>
      </c>
    </row>
    <row r="800">
      <c r="A800" s="10" t="n"/>
      <c r="B800" s="10" t="n"/>
      <c r="C800" s="11">
        <f>IF(A800="","",$B$5*TAN(RADIANS(A800)))</f>
        <v/>
      </c>
      <c r="D800" s="11">
        <f>IF(C800="","",C800*(1+B800/100))</f>
        <v/>
      </c>
      <c r="E800" s="11">
        <f>IF(A800="","",$B$6*TAN(RADIANS(A800)))</f>
        <v/>
      </c>
    </row>
    <row r="801">
      <c r="A801" s="10" t="n"/>
      <c r="B801" s="10" t="n"/>
      <c r="C801" s="11">
        <f>IF(A801="","",$B$5*TAN(RADIANS(A801)))</f>
        <v/>
      </c>
      <c r="D801" s="11">
        <f>IF(C801="","",C801*(1+B801/100))</f>
        <v/>
      </c>
      <c r="E801" s="11">
        <f>IF(A801="","",$B$6*TAN(RADIANS(A801)))</f>
        <v/>
      </c>
    </row>
    <row r="802">
      <c r="A802" s="10" t="n"/>
      <c r="B802" s="10" t="n"/>
      <c r="C802" s="11">
        <f>IF(A802="","",$B$5*TAN(RADIANS(A802)))</f>
        <v/>
      </c>
      <c r="D802" s="11">
        <f>IF(C802="","",C802*(1+B802/100))</f>
        <v/>
      </c>
      <c r="E802" s="11">
        <f>IF(A802="","",$B$6*TAN(RADIANS(A802)))</f>
        <v/>
      </c>
    </row>
    <row r="803">
      <c r="A803" s="10" t="n"/>
      <c r="B803" s="10" t="n"/>
      <c r="C803" s="11">
        <f>IF(A803="","",$B$5*TAN(RADIANS(A803)))</f>
        <v/>
      </c>
      <c r="D803" s="11">
        <f>IF(C803="","",C803*(1+B803/100))</f>
        <v/>
      </c>
      <c r="E803" s="11">
        <f>IF(A803="","",$B$6*TAN(RADIANS(A803)))</f>
        <v/>
      </c>
    </row>
    <row r="804">
      <c r="A804" s="10" t="n"/>
      <c r="B804" s="10" t="n"/>
      <c r="C804" s="11">
        <f>IF(A804="","",$B$5*TAN(RADIANS(A804)))</f>
        <v/>
      </c>
      <c r="D804" s="11">
        <f>IF(C804="","",C804*(1+B804/100))</f>
        <v/>
      </c>
      <c r="E804" s="11">
        <f>IF(A804="","",$B$6*TAN(RADIANS(A804)))</f>
        <v/>
      </c>
    </row>
    <row r="805">
      <c r="A805" s="10" t="n"/>
      <c r="B805" s="10" t="n"/>
      <c r="C805" s="11">
        <f>IF(A805="","",$B$5*TAN(RADIANS(A805)))</f>
        <v/>
      </c>
      <c r="D805" s="11">
        <f>IF(C805="","",C805*(1+B805/100))</f>
        <v/>
      </c>
      <c r="E805" s="11">
        <f>IF(A805="","",$B$6*TAN(RADIANS(A805)))</f>
        <v/>
      </c>
    </row>
    <row r="806">
      <c r="A806" s="10" t="n"/>
      <c r="B806" s="10" t="n"/>
      <c r="C806" s="11">
        <f>IF(A806="","",$B$5*TAN(RADIANS(A806)))</f>
        <v/>
      </c>
      <c r="D806" s="11">
        <f>IF(C806="","",C806*(1+B806/100))</f>
        <v/>
      </c>
      <c r="E806" s="11">
        <f>IF(A806="","",$B$6*TAN(RADIANS(A806)))</f>
        <v/>
      </c>
    </row>
    <row r="807">
      <c r="A807" s="10" t="n"/>
      <c r="B807" s="10" t="n"/>
      <c r="C807" s="11">
        <f>IF(A807="","",$B$5*TAN(RADIANS(A807)))</f>
        <v/>
      </c>
      <c r="D807" s="11">
        <f>IF(C807="","",C807*(1+B807/100))</f>
        <v/>
      </c>
      <c r="E807" s="11">
        <f>IF(A807="","",$B$6*TAN(RADIANS(A807)))</f>
        <v/>
      </c>
    </row>
    <row r="808">
      <c r="A808" s="10" t="n"/>
      <c r="B808" s="10" t="n"/>
      <c r="C808" s="11">
        <f>IF(A808="","",$B$5*TAN(RADIANS(A808)))</f>
        <v/>
      </c>
      <c r="D808" s="11">
        <f>IF(C808="","",C808*(1+B808/100))</f>
        <v/>
      </c>
      <c r="E808" s="11">
        <f>IF(A808="","",$B$6*TAN(RADIANS(A808)))</f>
        <v/>
      </c>
    </row>
    <row r="809">
      <c r="A809" s="10" t="n"/>
      <c r="B809" s="10" t="n"/>
      <c r="C809" s="11">
        <f>IF(A809="","",$B$5*TAN(RADIANS(A809)))</f>
        <v/>
      </c>
      <c r="D809" s="11">
        <f>IF(C809="","",C809*(1+B809/100))</f>
        <v/>
      </c>
      <c r="E809" s="11">
        <f>IF(A809="","",$B$6*TAN(RADIANS(A809)))</f>
        <v/>
      </c>
    </row>
    <row r="810">
      <c r="A810" s="10" t="n"/>
      <c r="B810" s="10" t="n"/>
      <c r="C810" s="11">
        <f>IF(A810="","",$B$5*TAN(RADIANS(A810)))</f>
        <v/>
      </c>
      <c r="D810" s="11">
        <f>IF(C810="","",C810*(1+B810/100))</f>
        <v/>
      </c>
      <c r="E810" s="11">
        <f>IF(A810="","",$B$6*TAN(RADIANS(A810)))</f>
        <v/>
      </c>
    </row>
    <row r="811">
      <c r="A811" s="10" t="n"/>
      <c r="B811" s="10" t="n"/>
      <c r="C811" s="11">
        <f>IF(A811="","",$B$5*TAN(RADIANS(A811)))</f>
        <v/>
      </c>
      <c r="D811" s="11">
        <f>IF(C811="","",C811*(1+B811/100))</f>
        <v/>
      </c>
      <c r="E811" s="11">
        <f>IF(A811="","",$B$6*TAN(RADIANS(A811)))</f>
        <v/>
      </c>
    </row>
    <row r="812">
      <c r="A812" s="10" t="n"/>
      <c r="B812" s="10" t="n"/>
      <c r="C812" s="11">
        <f>IF(A812="","",$B$5*TAN(RADIANS(A812)))</f>
        <v/>
      </c>
      <c r="D812" s="11">
        <f>IF(C812="","",C812*(1+B812/100))</f>
        <v/>
      </c>
      <c r="E812" s="11">
        <f>IF(A812="","",$B$6*TAN(RADIANS(A812)))</f>
        <v/>
      </c>
    </row>
    <row r="813">
      <c r="A813" s="10" t="n"/>
      <c r="B813" s="10" t="n"/>
      <c r="C813" s="11">
        <f>IF(A813="","",$B$5*TAN(RADIANS(A813)))</f>
        <v/>
      </c>
      <c r="D813" s="11">
        <f>IF(C813="","",C813*(1+B813/100))</f>
        <v/>
      </c>
      <c r="E813" s="11">
        <f>IF(A813="","",$B$6*TAN(RADIANS(A813)))</f>
        <v/>
      </c>
    </row>
    <row r="814">
      <c r="A814" s="10" t="n"/>
      <c r="B814" s="10" t="n"/>
      <c r="C814" s="11">
        <f>IF(A814="","",$B$5*TAN(RADIANS(A814)))</f>
        <v/>
      </c>
      <c r="D814" s="11">
        <f>IF(C814="","",C814*(1+B814/100))</f>
        <v/>
      </c>
      <c r="E814" s="11">
        <f>IF(A814="","",$B$6*TAN(RADIANS(A814)))</f>
        <v/>
      </c>
    </row>
    <row r="815">
      <c r="A815" s="10" t="n"/>
      <c r="B815" s="10" t="n"/>
      <c r="C815" s="11">
        <f>IF(A815="","",$B$5*TAN(RADIANS(A815)))</f>
        <v/>
      </c>
      <c r="D815" s="11">
        <f>IF(C815="","",C815*(1+B815/100))</f>
        <v/>
      </c>
      <c r="E815" s="11">
        <f>IF(A815="","",$B$6*TAN(RADIANS(A815)))</f>
        <v/>
      </c>
    </row>
    <row r="816">
      <c r="A816" s="10" t="n"/>
      <c r="B816" s="10" t="n"/>
      <c r="C816" s="11">
        <f>IF(A816="","",$B$5*TAN(RADIANS(A816)))</f>
        <v/>
      </c>
      <c r="D816" s="11">
        <f>IF(C816="","",C816*(1+B816/100))</f>
        <v/>
      </c>
      <c r="E816" s="11">
        <f>IF(A816="","",$B$6*TAN(RADIANS(A816)))</f>
        <v/>
      </c>
    </row>
    <row r="817">
      <c r="A817" s="10" t="n"/>
      <c r="B817" s="10" t="n"/>
      <c r="C817" s="11">
        <f>IF(A817="","",$B$5*TAN(RADIANS(A817)))</f>
        <v/>
      </c>
      <c r="D817" s="11">
        <f>IF(C817="","",C817*(1+B817/100))</f>
        <v/>
      </c>
      <c r="E817" s="11">
        <f>IF(A817="","",$B$6*TAN(RADIANS(A817)))</f>
        <v/>
      </c>
    </row>
    <row r="818">
      <c r="A818" s="10" t="n"/>
      <c r="B818" s="10" t="n"/>
      <c r="C818" s="11">
        <f>IF(A818="","",$B$5*TAN(RADIANS(A818)))</f>
        <v/>
      </c>
      <c r="D818" s="11">
        <f>IF(C818="","",C818*(1+B818/100))</f>
        <v/>
      </c>
      <c r="E818" s="11">
        <f>IF(A818="","",$B$6*TAN(RADIANS(A818)))</f>
        <v/>
      </c>
    </row>
    <row r="819">
      <c r="A819" s="10" t="n"/>
      <c r="B819" s="10" t="n"/>
      <c r="C819" s="11">
        <f>IF(A819="","",$B$5*TAN(RADIANS(A819)))</f>
        <v/>
      </c>
      <c r="D819" s="11">
        <f>IF(C819="","",C819*(1+B819/100))</f>
        <v/>
      </c>
      <c r="E819" s="11">
        <f>IF(A819="","",$B$6*TAN(RADIANS(A819)))</f>
        <v/>
      </c>
    </row>
    <row r="820">
      <c r="A820" s="10" t="n"/>
      <c r="B820" s="10" t="n"/>
      <c r="C820" s="11">
        <f>IF(A820="","",$B$5*TAN(RADIANS(A820)))</f>
        <v/>
      </c>
      <c r="D820" s="11">
        <f>IF(C820="","",C820*(1+B820/100))</f>
        <v/>
      </c>
      <c r="E820" s="11">
        <f>IF(A820="","",$B$6*TAN(RADIANS(A820)))</f>
        <v/>
      </c>
    </row>
    <row r="821">
      <c r="A821" s="10" t="n"/>
      <c r="B821" s="10" t="n"/>
      <c r="C821" s="11">
        <f>IF(A821="","",$B$5*TAN(RADIANS(A821)))</f>
        <v/>
      </c>
      <c r="D821" s="11">
        <f>IF(C821="","",C821*(1+B821/100))</f>
        <v/>
      </c>
      <c r="E821" s="11">
        <f>IF(A821="","",$B$6*TAN(RADIANS(A821)))</f>
        <v/>
      </c>
    </row>
    <row r="822">
      <c r="A822" s="10" t="n"/>
      <c r="B822" s="10" t="n"/>
      <c r="C822" s="11">
        <f>IF(A822="","",$B$5*TAN(RADIANS(A822)))</f>
        <v/>
      </c>
      <c r="D822" s="11">
        <f>IF(C822="","",C822*(1+B822/100))</f>
        <v/>
      </c>
      <c r="E822" s="11">
        <f>IF(A822="","",$B$6*TAN(RADIANS(A822)))</f>
        <v/>
      </c>
    </row>
    <row r="823">
      <c r="A823" s="10" t="n"/>
      <c r="B823" s="10" t="n"/>
      <c r="C823" s="11">
        <f>IF(A823="","",$B$5*TAN(RADIANS(A823)))</f>
        <v/>
      </c>
      <c r="D823" s="11">
        <f>IF(C823="","",C823*(1+B823/100))</f>
        <v/>
      </c>
      <c r="E823" s="11">
        <f>IF(A823="","",$B$6*TAN(RADIANS(A823)))</f>
        <v/>
      </c>
    </row>
    <row r="824">
      <c r="A824" s="10" t="n"/>
      <c r="B824" s="10" t="n"/>
      <c r="C824" s="11">
        <f>IF(A824="","",$B$5*TAN(RADIANS(A824)))</f>
        <v/>
      </c>
      <c r="D824" s="11">
        <f>IF(C824="","",C824*(1+B824/100))</f>
        <v/>
      </c>
      <c r="E824" s="11">
        <f>IF(A824="","",$B$6*TAN(RADIANS(A824)))</f>
        <v/>
      </c>
    </row>
    <row r="825">
      <c r="A825" s="10" t="n"/>
      <c r="B825" s="10" t="n"/>
      <c r="C825" s="11">
        <f>IF(A825="","",$B$5*TAN(RADIANS(A825)))</f>
        <v/>
      </c>
      <c r="D825" s="11">
        <f>IF(C825="","",C825*(1+B825/100))</f>
        <v/>
      </c>
      <c r="E825" s="11">
        <f>IF(A825="","",$B$6*TAN(RADIANS(A825)))</f>
        <v/>
      </c>
    </row>
    <row r="826">
      <c r="A826" s="10" t="n"/>
      <c r="B826" s="10" t="n"/>
      <c r="C826" s="11">
        <f>IF(A826="","",$B$5*TAN(RADIANS(A826)))</f>
        <v/>
      </c>
      <c r="D826" s="11">
        <f>IF(C826="","",C826*(1+B826/100))</f>
        <v/>
      </c>
      <c r="E826" s="11">
        <f>IF(A826="","",$B$6*TAN(RADIANS(A826)))</f>
        <v/>
      </c>
    </row>
    <row r="827">
      <c r="A827" s="10" t="n"/>
      <c r="B827" s="10" t="n"/>
      <c r="C827" s="11">
        <f>IF(A827="","",$B$5*TAN(RADIANS(A827)))</f>
        <v/>
      </c>
      <c r="D827" s="11">
        <f>IF(C827="","",C827*(1+B827/100))</f>
        <v/>
      </c>
      <c r="E827" s="11">
        <f>IF(A827="","",$B$6*TAN(RADIANS(A827)))</f>
        <v/>
      </c>
    </row>
    <row r="828">
      <c r="A828" s="10" t="n"/>
      <c r="B828" s="10" t="n"/>
      <c r="C828" s="11">
        <f>IF(A828="","",$B$5*TAN(RADIANS(A828)))</f>
        <v/>
      </c>
      <c r="D828" s="11">
        <f>IF(C828="","",C828*(1+B828/100))</f>
        <v/>
      </c>
      <c r="E828" s="11">
        <f>IF(A828="","",$B$6*TAN(RADIANS(A828)))</f>
        <v/>
      </c>
    </row>
    <row r="829">
      <c r="A829" s="10" t="n"/>
      <c r="B829" s="10" t="n"/>
      <c r="C829" s="11">
        <f>IF(A829="","",$B$5*TAN(RADIANS(A829)))</f>
        <v/>
      </c>
      <c r="D829" s="11">
        <f>IF(C829="","",C829*(1+B829/100))</f>
        <v/>
      </c>
      <c r="E829" s="11">
        <f>IF(A829="","",$B$6*TAN(RADIANS(A829)))</f>
        <v/>
      </c>
    </row>
    <row r="830">
      <c r="A830" s="10" t="n"/>
      <c r="B830" s="10" t="n"/>
      <c r="C830" s="11">
        <f>IF(A830="","",$B$5*TAN(RADIANS(A830)))</f>
        <v/>
      </c>
      <c r="D830" s="11">
        <f>IF(C830="","",C830*(1+B830/100))</f>
        <v/>
      </c>
      <c r="E830" s="11">
        <f>IF(A830="","",$B$6*TAN(RADIANS(A830)))</f>
        <v/>
      </c>
    </row>
    <row r="831">
      <c r="A831" s="10" t="n"/>
      <c r="B831" s="10" t="n"/>
      <c r="C831" s="11">
        <f>IF(A831="","",$B$5*TAN(RADIANS(A831)))</f>
        <v/>
      </c>
      <c r="D831" s="11">
        <f>IF(C831="","",C831*(1+B831/100))</f>
        <v/>
      </c>
      <c r="E831" s="11">
        <f>IF(A831="","",$B$6*TAN(RADIANS(A831)))</f>
        <v/>
      </c>
    </row>
    <row r="832">
      <c r="A832" s="10" t="n"/>
      <c r="B832" s="10" t="n"/>
      <c r="C832" s="11">
        <f>IF(A832="","",$B$5*TAN(RADIANS(A832)))</f>
        <v/>
      </c>
      <c r="D832" s="11">
        <f>IF(C832="","",C832*(1+B832/100))</f>
        <v/>
      </c>
      <c r="E832" s="11">
        <f>IF(A832="","",$B$6*TAN(RADIANS(A832)))</f>
        <v/>
      </c>
    </row>
    <row r="833">
      <c r="A833" s="10" t="n"/>
      <c r="B833" s="10" t="n"/>
      <c r="C833" s="11">
        <f>IF(A833="","",$B$5*TAN(RADIANS(A833)))</f>
        <v/>
      </c>
      <c r="D833" s="11">
        <f>IF(C833="","",C833*(1+B833/100))</f>
        <v/>
      </c>
      <c r="E833" s="11">
        <f>IF(A833="","",$B$6*TAN(RADIANS(A833)))</f>
        <v/>
      </c>
    </row>
    <row r="834">
      <c r="A834" s="10" t="n"/>
      <c r="B834" s="10" t="n"/>
      <c r="C834" s="11">
        <f>IF(A834="","",$B$5*TAN(RADIANS(A834)))</f>
        <v/>
      </c>
      <c r="D834" s="11">
        <f>IF(C834="","",C834*(1+B834/100))</f>
        <v/>
      </c>
      <c r="E834" s="11">
        <f>IF(A834="","",$B$6*TAN(RADIANS(A834)))</f>
        <v/>
      </c>
    </row>
    <row r="835">
      <c r="A835" s="10" t="n"/>
      <c r="B835" s="10" t="n"/>
      <c r="C835" s="11">
        <f>IF(A835="","",$B$5*TAN(RADIANS(A835)))</f>
        <v/>
      </c>
      <c r="D835" s="11">
        <f>IF(C835="","",C835*(1+B835/100))</f>
        <v/>
      </c>
      <c r="E835" s="11">
        <f>IF(A835="","",$B$6*TAN(RADIANS(A835)))</f>
        <v/>
      </c>
    </row>
    <row r="836">
      <c r="A836" s="10" t="n"/>
      <c r="B836" s="10" t="n"/>
      <c r="C836" s="11">
        <f>IF(A836="","",$B$5*TAN(RADIANS(A836)))</f>
        <v/>
      </c>
      <c r="D836" s="11">
        <f>IF(C836="","",C836*(1+B836/100))</f>
        <v/>
      </c>
      <c r="E836" s="11">
        <f>IF(A836="","",$B$6*TAN(RADIANS(A836)))</f>
        <v/>
      </c>
    </row>
    <row r="837">
      <c r="A837" s="10" t="n"/>
      <c r="B837" s="10" t="n"/>
      <c r="C837" s="11">
        <f>IF(A837="","",$B$5*TAN(RADIANS(A837)))</f>
        <v/>
      </c>
      <c r="D837" s="11">
        <f>IF(C837="","",C837*(1+B837/100))</f>
        <v/>
      </c>
      <c r="E837" s="11">
        <f>IF(A837="","",$B$6*TAN(RADIANS(A837)))</f>
        <v/>
      </c>
    </row>
    <row r="838">
      <c r="A838" s="10" t="n"/>
      <c r="B838" s="10" t="n"/>
      <c r="C838" s="11">
        <f>IF(A838="","",$B$5*TAN(RADIANS(A838)))</f>
        <v/>
      </c>
      <c r="D838" s="11">
        <f>IF(C838="","",C838*(1+B838/100))</f>
        <v/>
      </c>
      <c r="E838" s="11">
        <f>IF(A838="","",$B$6*TAN(RADIANS(A838)))</f>
        <v/>
      </c>
    </row>
    <row r="839">
      <c r="A839" s="10" t="n"/>
      <c r="B839" s="10" t="n"/>
      <c r="C839" s="11">
        <f>IF(A839="","",$B$5*TAN(RADIANS(A839)))</f>
        <v/>
      </c>
      <c r="D839" s="11">
        <f>IF(C839="","",C839*(1+B839/100))</f>
        <v/>
      </c>
      <c r="E839" s="11">
        <f>IF(A839="","",$B$6*TAN(RADIANS(A839)))</f>
        <v/>
      </c>
    </row>
    <row r="840">
      <c r="A840" s="10" t="n"/>
      <c r="B840" s="10" t="n"/>
      <c r="C840" s="11">
        <f>IF(A840="","",$B$5*TAN(RADIANS(A840)))</f>
        <v/>
      </c>
      <c r="D840" s="11">
        <f>IF(C840="","",C840*(1+B840/100))</f>
        <v/>
      </c>
      <c r="E840" s="11">
        <f>IF(A840="","",$B$6*TAN(RADIANS(A840)))</f>
        <v/>
      </c>
    </row>
    <row r="841">
      <c r="A841" s="10" t="n"/>
      <c r="B841" s="10" t="n"/>
      <c r="C841" s="11">
        <f>IF(A841="","",$B$5*TAN(RADIANS(A841)))</f>
        <v/>
      </c>
      <c r="D841" s="11">
        <f>IF(C841="","",C841*(1+B841/100))</f>
        <v/>
      </c>
      <c r="E841" s="11">
        <f>IF(A841="","",$B$6*TAN(RADIANS(A841)))</f>
        <v/>
      </c>
    </row>
    <row r="842">
      <c r="A842" s="10" t="n"/>
      <c r="B842" s="10" t="n"/>
      <c r="C842" s="11">
        <f>IF(A842="","",$B$5*TAN(RADIANS(A842)))</f>
        <v/>
      </c>
      <c r="D842" s="11">
        <f>IF(C842="","",C842*(1+B842/100))</f>
        <v/>
      </c>
      <c r="E842" s="11">
        <f>IF(A842="","",$B$6*TAN(RADIANS(A842)))</f>
        <v/>
      </c>
    </row>
    <row r="843">
      <c r="A843" s="10" t="n"/>
      <c r="B843" s="10" t="n"/>
      <c r="C843" s="11">
        <f>IF(A843="","",$B$5*TAN(RADIANS(A843)))</f>
        <v/>
      </c>
      <c r="D843" s="11">
        <f>IF(C843="","",C843*(1+B843/100))</f>
        <v/>
      </c>
      <c r="E843" s="11">
        <f>IF(A843="","",$B$6*TAN(RADIANS(A843)))</f>
        <v/>
      </c>
    </row>
    <row r="844">
      <c r="A844" s="10" t="n"/>
      <c r="B844" s="10" t="n"/>
      <c r="C844" s="11">
        <f>IF(A844="","",$B$5*TAN(RADIANS(A844)))</f>
        <v/>
      </c>
      <c r="D844" s="11">
        <f>IF(C844="","",C844*(1+B844/100))</f>
        <v/>
      </c>
      <c r="E844" s="11">
        <f>IF(A844="","",$B$6*TAN(RADIANS(A844)))</f>
        <v/>
      </c>
    </row>
    <row r="845">
      <c r="A845" s="10" t="n"/>
      <c r="B845" s="10" t="n"/>
      <c r="C845" s="11">
        <f>IF(A845="","",$B$5*TAN(RADIANS(A845)))</f>
        <v/>
      </c>
      <c r="D845" s="11">
        <f>IF(C845="","",C845*(1+B845/100))</f>
        <v/>
      </c>
      <c r="E845" s="11">
        <f>IF(A845="","",$B$6*TAN(RADIANS(A845)))</f>
        <v/>
      </c>
    </row>
    <row r="846">
      <c r="A846" s="10" t="n"/>
      <c r="B846" s="10" t="n"/>
      <c r="C846" s="11">
        <f>IF(A846="","",$B$5*TAN(RADIANS(A846)))</f>
        <v/>
      </c>
      <c r="D846" s="11">
        <f>IF(C846="","",C846*(1+B846/100))</f>
        <v/>
      </c>
      <c r="E846" s="11">
        <f>IF(A846="","",$B$6*TAN(RADIANS(A846)))</f>
        <v/>
      </c>
    </row>
    <row r="847">
      <c r="A847" s="10" t="n"/>
      <c r="B847" s="10" t="n"/>
      <c r="C847" s="11">
        <f>IF(A847="","",$B$5*TAN(RADIANS(A847)))</f>
        <v/>
      </c>
      <c r="D847" s="11">
        <f>IF(C847="","",C847*(1+B847/100))</f>
        <v/>
      </c>
      <c r="E847" s="11">
        <f>IF(A847="","",$B$6*TAN(RADIANS(A847)))</f>
        <v/>
      </c>
    </row>
    <row r="848">
      <c r="A848" s="10" t="n"/>
      <c r="B848" s="10" t="n"/>
      <c r="C848" s="11">
        <f>IF(A848="","",$B$5*TAN(RADIANS(A848)))</f>
        <v/>
      </c>
      <c r="D848" s="11">
        <f>IF(C848="","",C848*(1+B848/100))</f>
        <v/>
      </c>
      <c r="E848" s="11">
        <f>IF(A848="","",$B$6*TAN(RADIANS(A848)))</f>
        <v/>
      </c>
    </row>
    <row r="849">
      <c r="A849" s="10" t="n"/>
      <c r="B849" s="10" t="n"/>
      <c r="C849" s="11">
        <f>IF(A849="","",$B$5*TAN(RADIANS(A849)))</f>
        <v/>
      </c>
      <c r="D849" s="11">
        <f>IF(C849="","",C849*(1+B849/100))</f>
        <v/>
      </c>
      <c r="E849" s="11">
        <f>IF(A849="","",$B$6*TAN(RADIANS(A849)))</f>
        <v/>
      </c>
    </row>
    <row r="850">
      <c r="A850" s="10" t="n"/>
      <c r="B850" s="10" t="n"/>
      <c r="C850" s="11">
        <f>IF(A850="","",$B$5*TAN(RADIANS(A850)))</f>
        <v/>
      </c>
      <c r="D850" s="11">
        <f>IF(C850="","",C850*(1+B850/100))</f>
        <v/>
      </c>
      <c r="E850" s="11">
        <f>IF(A850="","",$B$6*TAN(RADIANS(A850)))</f>
        <v/>
      </c>
    </row>
    <row r="851">
      <c r="A851" s="10" t="n"/>
      <c r="B851" s="10" t="n"/>
      <c r="C851" s="11">
        <f>IF(A851="","",$B$5*TAN(RADIANS(A851)))</f>
        <v/>
      </c>
      <c r="D851" s="11">
        <f>IF(C851="","",C851*(1+B851/100))</f>
        <v/>
      </c>
      <c r="E851" s="11">
        <f>IF(A851="","",$B$6*TAN(RADIANS(A851)))</f>
        <v/>
      </c>
    </row>
    <row r="852">
      <c r="A852" s="10" t="n"/>
      <c r="B852" s="10" t="n"/>
      <c r="C852" s="11">
        <f>IF(A852="","",$B$5*TAN(RADIANS(A852)))</f>
        <v/>
      </c>
      <c r="D852" s="11">
        <f>IF(C852="","",C852*(1+B852/100))</f>
        <v/>
      </c>
      <c r="E852" s="11">
        <f>IF(A852="","",$B$6*TAN(RADIANS(A852)))</f>
        <v/>
      </c>
    </row>
    <row r="853">
      <c r="A853" s="10" t="n"/>
      <c r="B853" s="10" t="n"/>
      <c r="C853" s="11">
        <f>IF(A853="","",$B$5*TAN(RADIANS(A853)))</f>
        <v/>
      </c>
      <c r="D853" s="11">
        <f>IF(C853="","",C853*(1+B853/100))</f>
        <v/>
      </c>
      <c r="E853" s="11">
        <f>IF(A853="","",$B$6*TAN(RADIANS(A853)))</f>
        <v/>
      </c>
    </row>
    <row r="854">
      <c r="A854" s="10" t="n"/>
      <c r="B854" s="10" t="n"/>
      <c r="C854" s="11">
        <f>IF(A854="","",$B$5*TAN(RADIANS(A854)))</f>
        <v/>
      </c>
      <c r="D854" s="11">
        <f>IF(C854="","",C854*(1+B854/100))</f>
        <v/>
      </c>
      <c r="E854" s="11">
        <f>IF(A854="","",$B$6*TAN(RADIANS(A854)))</f>
        <v/>
      </c>
    </row>
    <row r="855">
      <c r="A855" s="10" t="n"/>
      <c r="B855" s="10" t="n"/>
      <c r="C855" s="11">
        <f>IF(A855="","",$B$5*TAN(RADIANS(A855)))</f>
        <v/>
      </c>
      <c r="D855" s="11">
        <f>IF(C855="","",C855*(1+B855/100))</f>
        <v/>
      </c>
      <c r="E855" s="11">
        <f>IF(A855="","",$B$6*TAN(RADIANS(A855)))</f>
        <v/>
      </c>
    </row>
    <row r="856">
      <c r="A856" s="10" t="n"/>
      <c r="B856" s="10" t="n"/>
      <c r="C856" s="11">
        <f>IF(A856="","",$B$5*TAN(RADIANS(A856)))</f>
        <v/>
      </c>
      <c r="D856" s="11">
        <f>IF(C856="","",C856*(1+B856/100))</f>
        <v/>
      </c>
      <c r="E856" s="11">
        <f>IF(A856="","",$B$6*TAN(RADIANS(A856)))</f>
        <v/>
      </c>
    </row>
    <row r="857">
      <c r="A857" s="10" t="n"/>
      <c r="B857" s="10" t="n"/>
      <c r="C857" s="11">
        <f>IF(A857="","",$B$5*TAN(RADIANS(A857)))</f>
        <v/>
      </c>
      <c r="D857" s="11">
        <f>IF(C857="","",C857*(1+B857/100))</f>
        <v/>
      </c>
      <c r="E857" s="11">
        <f>IF(A857="","",$B$6*TAN(RADIANS(A857)))</f>
        <v/>
      </c>
    </row>
    <row r="858">
      <c r="A858" s="10" t="n"/>
      <c r="B858" s="10" t="n"/>
      <c r="C858" s="11">
        <f>IF(A858="","",$B$5*TAN(RADIANS(A858)))</f>
        <v/>
      </c>
      <c r="D858" s="11">
        <f>IF(C858="","",C858*(1+B858/100))</f>
        <v/>
      </c>
      <c r="E858" s="11">
        <f>IF(A858="","",$B$6*TAN(RADIANS(A858)))</f>
        <v/>
      </c>
    </row>
    <row r="859">
      <c r="A859" s="10" t="n"/>
      <c r="B859" s="10" t="n"/>
      <c r="C859" s="11">
        <f>IF(A859="","",$B$5*TAN(RADIANS(A859)))</f>
        <v/>
      </c>
      <c r="D859" s="11">
        <f>IF(C859="","",C859*(1+B859/100))</f>
        <v/>
      </c>
      <c r="E859" s="11">
        <f>IF(A859="","",$B$6*TAN(RADIANS(A859)))</f>
        <v/>
      </c>
    </row>
    <row r="860">
      <c r="A860" s="10" t="n"/>
      <c r="B860" s="10" t="n"/>
      <c r="C860" s="11">
        <f>IF(A860="","",$B$5*TAN(RADIANS(A860)))</f>
        <v/>
      </c>
      <c r="D860" s="11">
        <f>IF(C860="","",C860*(1+B860/100))</f>
        <v/>
      </c>
      <c r="E860" s="11">
        <f>IF(A860="","",$B$6*TAN(RADIANS(A860)))</f>
        <v/>
      </c>
    </row>
    <row r="861">
      <c r="A861" s="10" t="n"/>
      <c r="B861" s="10" t="n"/>
      <c r="C861" s="11">
        <f>IF(A861="","",$B$5*TAN(RADIANS(A861)))</f>
        <v/>
      </c>
      <c r="D861" s="11">
        <f>IF(C861="","",C861*(1+B861/100))</f>
        <v/>
      </c>
      <c r="E861" s="11">
        <f>IF(A861="","",$B$6*TAN(RADIANS(A861)))</f>
        <v/>
      </c>
    </row>
    <row r="862">
      <c r="A862" s="10" t="n"/>
      <c r="B862" s="10" t="n"/>
      <c r="C862" s="11">
        <f>IF(A862="","",$B$5*TAN(RADIANS(A862)))</f>
        <v/>
      </c>
      <c r="D862" s="11">
        <f>IF(C862="","",C862*(1+B862/100))</f>
        <v/>
      </c>
      <c r="E862" s="11">
        <f>IF(A862="","",$B$6*TAN(RADIANS(A862)))</f>
        <v/>
      </c>
    </row>
    <row r="863">
      <c r="A863" s="10" t="n"/>
      <c r="B863" s="10" t="n"/>
      <c r="C863" s="11">
        <f>IF(A863="","",$B$5*TAN(RADIANS(A863)))</f>
        <v/>
      </c>
      <c r="D863" s="11">
        <f>IF(C863="","",C863*(1+B863/100))</f>
        <v/>
      </c>
      <c r="E863" s="11">
        <f>IF(A863="","",$B$6*TAN(RADIANS(A863)))</f>
        <v/>
      </c>
    </row>
    <row r="864">
      <c r="A864" s="10" t="n"/>
      <c r="B864" s="10" t="n"/>
      <c r="C864" s="11">
        <f>IF(A864="","",$B$5*TAN(RADIANS(A864)))</f>
        <v/>
      </c>
      <c r="D864" s="11">
        <f>IF(C864="","",C864*(1+B864/100))</f>
        <v/>
      </c>
      <c r="E864" s="11">
        <f>IF(A864="","",$B$6*TAN(RADIANS(A864)))</f>
        <v/>
      </c>
    </row>
    <row r="865">
      <c r="A865" s="10" t="n"/>
      <c r="B865" s="10" t="n"/>
      <c r="C865" s="11">
        <f>IF(A865="","",$B$5*TAN(RADIANS(A865)))</f>
        <v/>
      </c>
      <c r="D865" s="11">
        <f>IF(C865="","",C865*(1+B865/100))</f>
        <v/>
      </c>
      <c r="E865" s="11">
        <f>IF(A865="","",$B$6*TAN(RADIANS(A865)))</f>
        <v/>
      </c>
    </row>
    <row r="866">
      <c r="A866" s="10" t="n"/>
      <c r="B866" s="10" t="n"/>
      <c r="C866" s="11">
        <f>IF(A866="","",$B$5*TAN(RADIANS(A866)))</f>
        <v/>
      </c>
      <c r="D866" s="11">
        <f>IF(C866="","",C866*(1+B866/100))</f>
        <v/>
      </c>
      <c r="E866" s="11">
        <f>IF(A866="","",$B$6*TAN(RADIANS(A866)))</f>
        <v/>
      </c>
    </row>
    <row r="867">
      <c r="A867" s="10" t="n"/>
      <c r="B867" s="10" t="n"/>
      <c r="C867" s="11">
        <f>IF(A867="","",$B$5*TAN(RADIANS(A867)))</f>
        <v/>
      </c>
      <c r="D867" s="11">
        <f>IF(C867="","",C867*(1+B867/100))</f>
        <v/>
      </c>
      <c r="E867" s="11">
        <f>IF(A867="","",$B$6*TAN(RADIANS(A867)))</f>
        <v/>
      </c>
    </row>
    <row r="868">
      <c r="A868" s="10" t="n"/>
      <c r="B868" s="10" t="n"/>
      <c r="C868" s="11">
        <f>IF(A868="","",$B$5*TAN(RADIANS(A868)))</f>
        <v/>
      </c>
      <c r="D868" s="11">
        <f>IF(C868="","",C868*(1+B868/100))</f>
        <v/>
      </c>
      <c r="E868" s="11">
        <f>IF(A868="","",$B$6*TAN(RADIANS(A868)))</f>
        <v/>
      </c>
    </row>
    <row r="869">
      <c r="A869" s="10" t="n"/>
      <c r="B869" s="10" t="n"/>
      <c r="C869" s="11">
        <f>IF(A869="","",$B$5*TAN(RADIANS(A869)))</f>
        <v/>
      </c>
      <c r="D869" s="11">
        <f>IF(C869="","",C869*(1+B869/100))</f>
        <v/>
      </c>
      <c r="E869" s="11">
        <f>IF(A869="","",$B$6*TAN(RADIANS(A869)))</f>
        <v/>
      </c>
    </row>
    <row r="870">
      <c r="A870" s="10" t="n"/>
      <c r="B870" s="10" t="n"/>
      <c r="C870" s="11">
        <f>IF(A870="","",$B$5*TAN(RADIANS(A870)))</f>
        <v/>
      </c>
      <c r="D870" s="11">
        <f>IF(C870="","",C870*(1+B870/100))</f>
        <v/>
      </c>
      <c r="E870" s="11">
        <f>IF(A870="","",$B$6*TAN(RADIANS(A870)))</f>
        <v/>
      </c>
    </row>
    <row r="871">
      <c r="A871" s="10" t="n"/>
      <c r="B871" s="10" t="n"/>
      <c r="C871" s="11">
        <f>IF(A871="","",$B$5*TAN(RADIANS(A871)))</f>
        <v/>
      </c>
      <c r="D871" s="11">
        <f>IF(C871="","",C871*(1+B871/100))</f>
        <v/>
      </c>
      <c r="E871" s="11">
        <f>IF(A871="","",$B$6*TAN(RADIANS(A871)))</f>
        <v/>
      </c>
    </row>
    <row r="872">
      <c r="A872" s="10" t="n"/>
      <c r="B872" s="10" t="n"/>
      <c r="C872" s="11">
        <f>IF(A872="","",$B$5*TAN(RADIANS(A872)))</f>
        <v/>
      </c>
      <c r="D872" s="11">
        <f>IF(C872="","",C872*(1+B872/100))</f>
        <v/>
      </c>
      <c r="E872" s="11">
        <f>IF(A872="","",$B$6*TAN(RADIANS(A872)))</f>
        <v/>
      </c>
    </row>
    <row r="873">
      <c r="A873" s="10" t="n"/>
      <c r="B873" s="10" t="n"/>
      <c r="C873" s="11">
        <f>IF(A873="","",$B$5*TAN(RADIANS(A873)))</f>
        <v/>
      </c>
      <c r="D873" s="11">
        <f>IF(C873="","",C873*(1+B873/100))</f>
        <v/>
      </c>
      <c r="E873" s="11">
        <f>IF(A873="","",$B$6*TAN(RADIANS(A873)))</f>
        <v/>
      </c>
    </row>
    <row r="874">
      <c r="A874" s="10" t="n"/>
      <c r="B874" s="10" t="n"/>
      <c r="C874" s="11">
        <f>IF(A874="","",$B$5*TAN(RADIANS(A874)))</f>
        <v/>
      </c>
      <c r="D874" s="11">
        <f>IF(C874="","",C874*(1+B874/100))</f>
        <v/>
      </c>
      <c r="E874" s="11">
        <f>IF(A874="","",$B$6*TAN(RADIANS(A874)))</f>
        <v/>
      </c>
    </row>
    <row r="875">
      <c r="A875" s="10" t="n"/>
      <c r="B875" s="10" t="n"/>
      <c r="C875" s="11">
        <f>IF(A875="","",$B$5*TAN(RADIANS(A875)))</f>
        <v/>
      </c>
      <c r="D875" s="11">
        <f>IF(C875="","",C875*(1+B875/100))</f>
        <v/>
      </c>
      <c r="E875" s="11">
        <f>IF(A875="","",$B$6*TAN(RADIANS(A875)))</f>
        <v/>
      </c>
    </row>
    <row r="876">
      <c r="A876" s="10" t="n"/>
      <c r="B876" s="10" t="n"/>
      <c r="C876" s="11">
        <f>IF(A876="","",$B$5*TAN(RADIANS(A876)))</f>
        <v/>
      </c>
      <c r="D876" s="11">
        <f>IF(C876="","",C876*(1+B876/100))</f>
        <v/>
      </c>
      <c r="E876" s="11">
        <f>IF(A876="","",$B$6*TAN(RADIANS(A876)))</f>
        <v/>
      </c>
    </row>
    <row r="877">
      <c r="A877" s="10" t="n"/>
      <c r="B877" s="10" t="n"/>
      <c r="C877" s="11">
        <f>IF(A877="","",$B$5*TAN(RADIANS(A877)))</f>
        <v/>
      </c>
      <c r="D877" s="11">
        <f>IF(C877="","",C877*(1+B877/100))</f>
        <v/>
      </c>
      <c r="E877" s="11">
        <f>IF(A877="","",$B$6*TAN(RADIANS(A877)))</f>
        <v/>
      </c>
    </row>
    <row r="878">
      <c r="A878" s="10" t="n"/>
      <c r="B878" s="10" t="n"/>
      <c r="C878" s="11">
        <f>IF(A878="","",$B$5*TAN(RADIANS(A878)))</f>
        <v/>
      </c>
      <c r="D878" s="11">
        <f>IF(C878="","",C878*(1+B878/100))</f>
        <v/>
      </c>
      <c r="E878" s="11">
        <f>IF(A878="","",$B$6*TAN(RADIANS(A878)))</f>
        <v/>
      </c>
    </row>
    <row r="879">
      <c r="A879" s="10" t="n"/>
      <c r="B879" s="10" t="n"/>
      <c r="C879" s="11">
        <f>IF(A879="","",$B$5*TAN(RADIANS(A879)))</f>
        <v/>
      </c>
      <c r="D879" s="11">
        <f>IF(C879="","",C879*(1+B879/100))</f>
        <v/>
      </c>
      <c r="E879" s="11">
        <f>IF(A879="","",$B$6*TAN(RADIANS(A879)))</f>
        <v/>
      </c>
    </row>
    <row r="880">
      <c r="A880" s="10" t="n"/>
      <c r="B880" s="10" t="n"/>
      <c r="C880" s="11">
        <f>IF(A880="","",$B$5*TAN(RADIANS(A880)))</f>
        <v/>
      </c>
      <c r="D880" s="11">
        <f>IF(C880="","",C880*(1+B880/100))</f>
        <v/>
      </c>
      <c r="E880" s="11">
        <f>IF(A880="","",$B$6*TAN(RADIANS(A880)))</f>
        <v/>
      </c>
    </row>
    <row r="881">
      <c r="A881" s="10" t="n"/>
      <c r="B881" s="10" t="n"/>
      <c r="C881" s="11">
        <f>IF(A881="","",$B$5*TAN(RADIANS(A881)))</f>
        <v/>
      </c>
      <c r="D881" s="11">
        <f>IF(C881="","",C881*(1+B881/100))</f>
        <v/>
      </c>
      <c r="E881" s="11">
        <f>IF(A881="","",$B$6*TAN(RADIANS(A881)))</f>
        <v/>
      </c>
    </row>
    <row r="882">
      <c r="A882" s="10" t="n"/>
      <c r="B882" s="10" t="n"/>
      <c r="C882" s="11">
        <f>IF(A882="","",$B$5*TAN(RADIANS(A882)))</f>
        <v/>
      </c>
      <c r="D882" s="11">
        <f>IF(C882="","",C882*(1+B882/100))</f>
        <v/>
      </c>
      <c r="E882" s="11">
        <f>IF(A882="","",$B$6*TAN(RADIANS(A882)))</f>
        <v/>
      </c>
    </row>
    <row r="883">
      <c r="A883" s="10" t="n"/>
      <c r="B883" s="10" t="n"/>
      <c r="C883" s="11">
        <f>IF(A883="","",$B$5*TAN(RADIANS(A883)))</f>
        <v/>
      </c>
      <c r="D883" s="11">
        <f>IF(C883="","",C883*(1+B883/100))</f>
        <v/>
      </c>
      <c r="E883" s="11">
        <f>IF(A883="","",$B$6*TAN(RADIANS(A883)))</f>
        <v/>
      </c>
    </row>
    <row r="884">
      <c r="A884" s="10" t="n"/>
      <c r="B884" s="10" t="n"/>
      <c r="C884" s="11">
        <f>IF(A884="","",$B$5*TAN(RADIANS(A884)))</f>
        <v/>
      </c>
      <c r="D884" s="11">
        <f>IF(C884="","",C884*(1+B884/100))</f>
        <v/>
      </c>
      <c r="E884" s="11">
        <f>IF(A884="","",$B$6*TAN(RADIANS(A884)))</f>
        <v/>
      </c>
    </row>
    <row r="885">
      <c r="A885" s="10" t="n"/>
      <c r="B885" s="10" t="n"/>
      <c r="C885" s="11">
        <f>IF(A885="","",$B$5*TAN(RADIANS(A885)))</f>
        <v/>
      </c>
      <c r="D885" s="11">
        <f>IF(C885="","",C885*(1+B885/100))</f>
        <v/>
      </c>
      <c r="E885" s="11">
        <f>IF(A885="","",$B$6*TAN(RADIANS(A885)))</f>
        <v/>
      </c>
    </row>
    <row r="886">
      <c r="A886" s="10" t="n"/>
      <c r="B886" s="10" t="n"/>
      <c r="C886" s="11">
        <f>IF(A886="","",$B$5*TAN(RADIANS(A886)))</f>
        <v/>
      </c>
      <c r="D886" s="11">
        <f>IF(C886="","",C886*(1+B886/100))</f>
        <v/>
      </c>
      <c r="E886" s="11">
        <f>IF(A886="","",$B$6*TAN(RADIANS(A886)))</f>
        <v/>
      </c>
    </row>
    <row r="887">
      <c r="A887" s="10" t="n"/>
      <c r="B887" s="10" t="n"/>
      <c r="C887" s="11">
        <f>IF(A887="","",$B$5*TAN(RADIANS(A887)))</f>
        <v/>
      </c>
      <c r="D887" s="11">
        <f>IF(C887="","",C887*(1+B887/100))</f>
        <v/>
      </c>
      <c r="E887" s="11">
        <f>IF(A887="","",$B$6*TAN(RADIANS(A887)))</f>
        <v/>
      </c>
    </row>
    <row r="888">
      <c r="A888" s="10" t="n"/>
      <c r="B888" s="10" t="n"/>
      <c r="C888" s="11">
        <f>IF(A888="","",$B$5*TAN(RADIANS(A888)))</f>
        <v/>
      </c>
      <c r="D888" s="11">
        <f>IF(C888="","",C888*(1+B888/100))</f>
        <v/>
      </c>
      <c r="E888" s="11">
        <f>IF(A888="","",$B$6*TAN(RADIANS(A888)))</f>
        <v/>
      </c>
    </row>
    <row r="889">
      <c r="A889" s="10" t="n"/>
      <c r="B889" s="10" t="n"/>
      <c r="C889" s="11">
        <f>IF(A889="","",$B$5*TAN(RADIANS(A889)))</f>
        <v/>
      </c>
      <c r="D889" s="11">
        <f>IF(C889="","",C889*(1+B889/100))</f>
        <v/>
      </c>
      <c r="E889" s="11">
        <f>IF(A889="","",$B$6*TAN(RADIANS(A889)))</f>
        <v/>
      </c>
    </row>
    <row r="890">
      <c r="A890" s="10" t="n"/>
      <c r="B890" s="10" t="n"/>
      <c r="C890" s="11">
        <f>IF(A890="","",$B$5*TAN(RADIANS(A890)))</f>
        <v/>
      </c>
      <c r="D890" s="11">
        <f>IF(C890="","",C890*(1+B890/100))</f>
        <v/>
      </c>
      <c r="E890" s="11">
        <f>IF(A890="","",$B$6*TAN(RADIANS(A890)))</f>
        <v/>
      </c>
    </row>
    <row r="891">
      <c r="A891" s="10" t="n"/>
      <c r="B891" s="10" t="n"/>
      <c r="C891" s="11">
        <f>IF(A891="","",$B$5*TAN(RADIANS(A891)))</f>
        <v/>
      </c>
      <c r="D891" s="11">
        <f>IF(C891="","",C891*(1+B891/100))</f>
        <v/>
      </c>
      <c r="E891" s="11">
        <f>IF(A891="","",$B$6*TAN(RADIANS(A891)))</f>
        <v/>
      </c>
    </row>
    <row r="892">
      <c r="A892" s="10" t="n"/>
      <c r="B892" s="10" t="n"/>
      <c r="C892" s="11">
        <f>IF(A892="","",$B$5*TAN(RADIANS(A892)))</f>
        <v/>
      </c>
      <c r="D892" s="11">
        <f>IF(C892="","",C892*(1+B892/100))</f>
        <v/>
      </c>
      <c r="E892" s="11">
        <f>IF(A892="","",$B$6*TAN(RADIANS(A892)))</f>
        <v/>
      </c>
    </row>
    <row r="893">
      <c r="A893" s="10" t="n"/>
      <c r="B893" s="10" t="n"/>
      <c r="C893" s="11">
        <f>IF(A893="","",$B$5*TAN(RADIANS(A893)))</f>
        <v/>
      </c>
      <c r="D893" s="11">
        <f>IF(C893="","",C893*(1+B893/100))</f>
        <v/>
      </c>
      <c r="E893" s="11">
        <f>IF(A893="","",$B$6*TAN(RADIANS(A893)))</f>
        <v/>
      </c>
    </row>
    <row r="894">
      <c r="A894" s="10" t="n"/>
      <c r="B894" s="10" t="n"/>
      <c r="C894" s="11">
        <f>IF(A894="","",$B$5*TAN(RADIANS(A894)))</f>
        <v/>
      </c>
      <c r="D894" s="11">
        <f>IF(C894="","",C894*(1+B894/100))</f>
        <v/>
      </c>
      <c r="E894" s="11">
        <f>IF(A894="","",$B$6*TAN(RADIANS(A894)))</f>
        <v/>
      </c>
    </row>
    <row r="895">
      <c r="A895" s="10" t="n"/>
      <c r="B895" s="10" t="n"/>
      <c r="C895" s="11">
        <f>IF(A895="","",$B$5*TAN(RADIANS(A895)))</f>
        <v/>
      </c>
      <c r="D895" s="11">
        <f>IF(C895="","",C895*(1+B895/100))</f>
        <v/>
      </c>
      <c r="E895" s="11">
        <f>IF(A895="","",$B$6*TAN(RADIANS(A895)))</f>
        <v/>
      </c>
    </row>
    <row r="896">
      <c r="A896" s="10" t="n"/>
      <c r="B896" s="10" t="n"/>
      <c r="C896" s="11">
        <f>IF(A896="","",$B$5*TAN(RADIANS(A896)))</f>
        <v/>
      </c>
      <c r="D896" s="11">
        <f>IF(C896="","",C896*(1+B896/100))</f>
        <v/>
      </c>
      <c r="E896" s="11">
        <f>IF(A896="","",$B$6*TAN(RADIANS(A896)))</f>
        <v/>
      </c>
    </row>
    <row r="897">
      <c r="A897" s="10" t="n"/>
      <c r="B897" s="10" t="n"/>
      <c r="C897" s="11">
        <f>IF(A897="","",$B$5*TAN(RADIANS(A897)))</f>
        <v/>
      </c>
      <c r="D897" s="11">
        <f>IF(C897="","",C897*(1+B897/100))</f>
        <v/>
      </c>
      <c r="E897" s="11">
        <f>IF(A897="","",$B$6*TAN(RADIANS(A897)))</f>
        <v/>
      </c>
    </row>
    <row r="898">
      <c r="A898" s="10" t="n"/>
      <c r="B898" s="10" t="n"/>
      <c r="C898" s="11">
        <f>IF(A898="","",$B$5*TAN(RADIANS(A898)))</f>
        <v/>
      </c>
      <c r="D898" s="11">
        <f>IF(C898="","",C898*(1+B898/100))</f>
        <v/>
      </c>
      <c r="E898" s="11">
        <f>IF(A898="","",$B$6*TAN(RADIANS(A898)))</f>
        <v/>
      </c>
    </row>
    <row r="899">
      <c r="A899" s="10" t="n"/>
      <c r="B899" s="10" t="n"/>
      <c r="C899" s="11">
        <f>IF(A899="","",$B$5*TAN(RADIANS(A899)))</f>
        <v/>
      </c>
      <c r="D899" s="11">
        <f>IF(C899="","",C899*(1+B899/100))</f>
        <v/>
      </c>
      <c r="E899" s="11">
        <f>IF(A899="","",$B$6*TAN(RADIANS(A899)))</f>
        <v/>
      </c>
    </row>
    <row r="900">
      <c r="A900" s="10" t="n"/>
      <c r="B900" s="10" t="n"/>
      <c r="C900" s="11">
        <f>IF(A900="","",$B$5*TAN(RADIANS(A900)))</f>
        <v/>
      </c>
      <c r="D900" s="11">
        <f>IF(C900="","",C900*(1+B900/100))</f>
        <v/>
      </c>
      <c r="E900" s="11">
        <f>IF(A900="","",$B$6*TAN(RADIANS(A900)))</f>
        <v/>
      </c>
    </row>
    <row r="901">
      <c r="A901" s="10" t="n"/>
      <c r="B901" s="10" t="n"/>
      <c r="C901" s="11">
        <f>IF(A901="","",$B$5*TAN(RADIANS(A901)))</f>
        <v/>
      </c>
      <c r="D901" s="11">
        <f>IF(C901="","",C901*(1+B901/100))</f>
        <v/>
      </c>
      <c r="E901" s="11">
        <f>IF(A901="","",$B$6*TAN(RADIANS(A901)))</f>
        <v/>
      </c>
    </row>
    <row r="902">
      <c r="A902" s="10" t="n"/>
      <c r="B902" s="10" t="n"/>
      <c r="C902" s="11">
        <f>IF(A902="","",$B$5*TAN(RADIANS(A902)))</f>
        <v/>
      </c>
      <c r="D902" s="11">
        <f>IF(C902="","",C902*(1+B902/100))</f>
        <v/>
      </c>
      <c r="E902" s="11">
        <f>IF(A902="","",$B$6*TAN(RADIANS(A902)))</f>
        <v/>
      </c>
    </row>
    <row r="903">
      <c r="A903" s="10" t="n"/>
      <c r="B903" s="10" t="n"/>
      <c r="C903" s="11">
        <f>IF(A903="","",$B$5*TAN(RADIANS(A903)))</f>
        <v/>
      </c>
      <c r="D903" s="11">
        <f>IF(C903="","",C903*(1+B903/100))</f>
        <v/>
      </c>
      <c r="E903" s="11">
        <f>IF(A903="","",$B$6*TAN(RADIANS(A903)))</f>
        <v/>
      </c>
    </row>
    <row r="904">
      <c r="A904" s="10" t="n"/>
      <c r="B904" s="10" t="n"/>
      <c r="C904" s="11">
        <f>IF(A904="","",$B$5*TAN(RADIANS(A904)))</f>
        <v/>
      </c>
      <c r="D904" s="11">
        <f>IF(C904="","",C904*(1+B904/100))</f>
        <v/>
      </c>
      <c r="E904" s="11">
        <f>IF(A904="","",$B$6*TAN(RADIANS(A904)))</f>
        <v/>
      </c>
    </row>
    <row r="905">
      <c r="A905" s="10" t="n"/>
      <c r="B905" s="10" t="n"/>
      <c r="C905" s="11">
        <f>IF(A905="","",$B$5*TAN(RADIANS(A905)))</f>
        <v/>
      </c>
      <c r="D905" s="11">
        <f>IF(C905="","",C905*(1+B905/100))</f>
        <v/>
      </c>
      <c r="E905" s="11">
        <f>IF(A905="","",$B$6*TAN(RADIANS(A905)))</f>
        <v/>
      </c>
    </row>
    <row r="906">
      <c r="A906" s="10" t="n"/>
      <c r="B906" s="10" t="n"/>
      <c r="C906" s="11">
        <f>IF(A906="","",$B$5*TAN(RADIANS(A906)))</f>
        <v/>
      </c>
      <c r="D906" s="11">
        <f>IF(C906="","",C906*(1+B906/100))</f>
        <v/>
      </c>
      <c r="E906" s="11">
        <f>IF(A906="","",$B$6*TAN(RADIANS(A906)))</f>
        <v/>
      </c>
    </row>
    <row r="907">
      <c r="A907" s="10" t="n"/>
      <c r="B907" s="10" t="n"/>
      <c r="C907" s="11">
        <f>IF(A907="","",$B$5*TAN(RADIANS(A907)))</f>
        <v/>
      </c>
      <c r="D907" s="11">
        <f>IF(C907="","",C907*(1+B907/100))</f>
        <v/>
      </c>
      <c r="E907" s="11">
        <f>IF(A907="","",$B$6*TAN(RADIANS(A907)))</f>
        <v/>
      </c>
    </row>
    <row r="908">
      <c r="A908" s="10" t="n"/>
      <c r="B908" s="10" t="n"/>
      <c r="C908" s="11">
        <f>IF(A908="","",$B$5*TAN(RADIANS(A908)))</f>
        <v/>
      </c>
      <c r="D908" s="11">
        <f>IF(C908="","",C908*(1+B908/100))</f>
        <v/>
      </c>
      <c r="E908" s="11">
        <f>IF(A908="","",$B$6*TAN(RADIANS(A908)))</f>
        <v/>
      </c>
    </row>
    <row r="909">
      <c r="A909" s="10" t="n"/>
      <c r="B909" s="10" t="n"/>
      <c r="C909" s="11">
        <f>IF(A909="","",$B$5*TAN(RADIANS(A909)))</f>
        <v/>
      </c>
      <c r="D909" s="11">
        <f>IF(C909="","",C909*(1+B909/100))</f>
        <v/>
      </c>
      <c r="E909" s="11">
        <f>IF(A909="","",$B$6*TAN(RADIANS(A909)))</f>
        <v/>
      </c>
    </row>
    <row r="910">
      <c r="A910" s="10" t="n"/>
      <c r="B910" s="10" t="n"/>
      <c r="C910" s="11">
        <f>IF(A910="","",$B$5*TAN(RADIANS(A910)))</f>
        <v/>
      </c>
      <c r="D910" s="11">
        <f>IF(C910="","",C910*(1+B910/100))</f>
        <v/>
      </c>
      <c r="E910" s="11">
        <f>IF(A910="","",$B$6*TAN(RADIANS(A910)))</f>
        <v/>
      </c>
    </row>
    <row r="911">
      <c r="A911" s="10" t="n"/>
      <c r="B911" s="10" t="n"/>
      <c r="C911" s="11">
        <f>IF(A911="","",$B$5*TAN(RADIANS(A911)))</f>
        <v/>
      </c>
      <c r="D911" s="11">
        <f>IF(C911="","",C911*(1+B911/100))</f>
        <v/>
      </c>
      <c r="E911" s="11">
        <f>IF(A911="","",$B$6*TAN(RADIANS(A911)))</f>
        <v/>
      </c>
    </row>
    <row r="912">
      <c r="A912" s="10" t="n"/>
      <c r="B912" s="10" t="n"/>
      <c r="C912" s="11">
        <f>IF(A912="","",$B$5*TAN(RADIANS(A912)))</f>
        <v/>
      </c>
      <c r="D912" s="11">
        <f>IF(C912="","",C912*(1+B912/100))</f>
        <v/>
      </c>
      <c r="E912" s="11">
        <f>IF(A912="","",$B$6*TAN(RADIANS(A912)))</f>
        <v/>
      </c>
    </row>
    <row r="913">
      <c r="A913" s="10" t="n"/>
      <c r="B913" s="10" t="n"/>
      <c r="C913" s="11">
        <f>IF(A913="","",$B$5*TAN(RADIANS(A913)))</f>
        <v/>
      </c>
      <c r="D913" s="11">
        <f>IF(C913="","",C913*(1+B913/100))</f>
        <v/>
      </c>
      <c r="E913" s="11">
        <f>IF(A913="","",$B$6*TAN(RADIANS(A913)))</f>
        <v/>
      </c>
    </row>
    <row r="914">
      <c r="A914" s="10" t="n"/>
      <c r="B914" s="10" t="n"/>
      <c r="C914" s="11">
        <f>IF(A914="","",$B$5*TAN(RADIANS(A914)))</f>
        <v/>
      </c>
      <c r="D914" s="11">
        <f>IF(C914="","",C914*(1+B914/100))</f>
        <v/>
      </c>
      <c r="E914" s="11">
        <f>IF(A914="","",$B$6*TAN(RADIANS(A914)))</f>
        <v/>
      </c>
    </row>
    <row r="915">
      <c r="A915" s="10" t="n"/>
      <c r="B915" s="10" t="n"/>
      <c r="C915" s="11">
        <f>IF(A915="","",$B$5*TAN(RADIANS(A915)))</f>
        <v/>
      </c>
      <c r="D915" s="11">
        <f>IF(C915="","",C915*(1+B915/100))</f>
        <v/>
      </c>
      <c r="E915" s="11">
        <f>IF(A915="","",$B$6*TAN(RADIANS(A915)))</f>
        <v/>
      </c>
    </row>
    <row r="916">
      <c r="A916" s="10" t="n"/>
      <c r="B916" s="10" t="n"/>
      <c r="C916" s="11">
        <f>IF(A916="","",$B$5*TAN(RADIANS(A916)))</f>
        <v/>
      </c>
      <c r="D916" s="11">
        <f>IF(C916="","",C916*(1+B916/100))</f>
        <v/>
      </c>
      <c r="E916" s="11">
        <f>IF(A916="","",$B$6*TAN(RADIANS(A916)))</f>
        <v/>
      </c>
    </row>
    <row r="917">
      <c r="A917" s="10" t="n"/>
      <c r="B917" s="10" t="n"/>
      <c r="C917" s="11">
        <f>IF(A917="","",$B$5*TAN(RADIANS(A917)))</f>
        <v/>
      </c>
      <c r="D917" s="11">
        <f>IF(C917="","",C917*(1+B917/100))</f>
        <v/>
      </c>
      <c r="E917" s="11">
        <f>IF(A917="","",$B$6*TAN(RADIANS(A917)))</f>
        <v/>
      </c>
    </row>
    <row r="918">
      <c r="A918" s="10" t="n"/>
      <c r="B918" s="10" t="n"/>
      <c r="C918" s="11">
        <f>IF(A918="","",$B$5*TAN(RADIANS(A918)))</f>
        <v/>
      </c>
      <c r="D918" s="11">
        <f>IF(C918="","",C918*(1+B918/100))</f>
        <v/>
      </c>
      <c r="E918" s="11">
        <f>IF(A918="","",$B$6*TAN(RADIANS(A918)))</f>
        <v/>
      </c>
    </row>
    <row r="919">
      <c r="A919" s="10" t="n"/>
      <c r="B919" s="10" t="n"/>
      <c r="C919" s="11">
        <f>IF(A919="","",$B$5*TAN(RADIANS(A919)))</f>
        <v/>
      </c>
      <c r="D919" s="11">
        <f>IF(C919="","",C919*(1+B919/100))</f>
        <v/>
      </c>
      <c r="E919" s="11">
        <f>IF(A919="","",$B$6*TAN(RADIANS(A919)))</f>
        <v/>
      </c>
    </row>
    <row r="920">
      <c r="A920" s="10" t="n"/>
      <c r="B920" s="10" t="n"/>
      <c r="C920" s="11">
        <f>IF(A920="","",$B$5*TAN(RADIANS(A920)))</f>
        <v/>
      </c>
      <c r="D920" s="11">
        <f>IF(C920="","",C920*(1+B920/100))</f>
        <v/>
      </c>
      <c r="E920" s="11">
        <f>IF(A920="","",$B$6*TAN(RADIANS(A920)))</f>
        <v/>
      </c>
    </row>
    <row r="921">
      <c r="A921" s="10" t="n"/>
      <c r="B921" s="10" t="n"/>
      <c r="C921" s="11">
        <f>IF(A921="","",$B$5*TAN(RADIANS(A921)))</f>
        <v/>
      </c>
      <c r="D921" s="11">
        <f>IF(C921="","",C921*(1+B921/100))</f>
        <v/>
      </c>
      <c r="E921" s="11">
        <f>IF(A921="","",$B$6*TAN(RADIANS(A921)))</f>
        <v/>
      </c>
    </row>
    <row r="922">
      <c r="A922" s="10" t="n"/>
      <c r="B922" s="10" t="n"/>
      <c r="C922" s="11">
        <f>IF(A922="","",$B$5*TAN(RADIANS(A922)))</f>
        <v/>
      </c>
      <c r="D922" s="11">
        <f>IF(C922="","",C922*(1+B922/100))</f>
        <v/>
      </c>
      <c r="E922" s="11">
        <f>IF(A922="","",$B$6*TAN(RADIANS(A922)))</f>
        <v/>
      </c>
    </row>
    <row r="923">
      <c r="A923" s="10" t="n"/>
      <c r="B923" s="10" t="n"/>
      <c r="C923" s="11">
        <f>IF(A923="","",$B$5*TAN(RADIANS(A923)))</f>
        <v/>
      </c>
      <c r="D923" s="11">
        <f>IF(C923="","",C923*(1+B923/100))</f>
        <v/>
      </c>
      <c r="E923" s="11">
        <f>IF(A923="","",$B$6*TAN(RADIANS(A923)))</f>
        <v/>
      </c>
    </row>
    <row r="924">
      <c r="A924" s="10" t="n"/>
      <c r="B924" s="10" t="n"/>
      <c r="C924" s="11">
        <f>IF(A924="","",$B$5*TAN(RADIANS(A924)))</f>
        <v/>
      </c>
      <c r="D924" s="11">
        <f>IF(C924="","",C924*(1+B924/100))</f>
        <v/>
      </c>
      <c r="E924" s="11">
        <f>IF(A924="","",$B$6*TAN(RADIANS(A924)))</f>
        <v/>
      </c>
    </row>
    <row r="925">
      <c r="A925" s="10" t="n"/>
      <c r="B925" s="10" t="n"/>
      <c r="C925" s="11">
        <f>IF(A925="","",$B$5*TAN(RADIANS(A925)))</f>
        <v/>
      </c>
      <c r="D925" s="11">
        <f>IF(C925="","",C925*(1+B925/100))</f>
        <v/>
      </c>
      <c r="E925" s="11">
        <f>IF(A925="","",$B$6*TAN(RADIANS(A925)))</f>
        <v/>
      </c>
    </row>
    <row r="926">
      <c r="A926" s="10" t="n"/>
      <c r="B926" s="10" t="n"/>
      <c r="C926" s="11">
        <f>IF(A926="","",$B$5*TAN(RADIANS(A926)))</f>
        <v/>
      </c>
      <c r="D926" s="11">
        <f>IF(C926="","",C926*(1+B926/100))</f>
        <v/>
      </c>
      <c r="E926" s="11">
        <f>IF(A926="","",$B$6*TAN(RADIANS(A926)))</f>
        <v/>
      </c>
    </row>
    <row r="927">
      <c r="A927" s="10" t="n"/>
      <c r="B927" s="10" t="n"/>
      <c r="C927" s="11">
        <f>IF(A927="","",$B$5*TAN(RADIANS(A927)))</f>
        <v/>
      </c>
      <c r="D927" s="11">
        <f>IF(C927="","",C927*(1+B927/100))</f>
        <v/>
      </c>
      <c r="E927" s="11">
        <f>IF(A927="","",$B$6*TAN(RADIANS(A927)))</f>
        <v/>
      </c>
    </row>
    <row r="928">
      <c r="A928" s="10" t="n"/>
      <c r="B928" s="10" t="n"/>
      <c r="C928" s="11">
        <f>IF(A928="","",$B$5*TAN(RADIANS(A928)))</f>
        <v/>
      </c>
      <c r="D928" s="11">
        <f>IF(C928="","",C928*(1+B928/100))</f>
        <v/>
      </c>
      <c r="E928" s="11">
        <f>IF(A928="","",$B$6*TAN(RADIANS(A928)))</f>
        <v/>
      </c>
    </row>
    <row r="929">
      <c r="A929" s="10" t="n"/>
      <c r="B929" s="10" t="n"/>
      <c r="C929" s="11">
        <f>IF(A929="","",$B$5*TAN(RADIANS(A929)))</f>
        <v/>
      </c>
      <c r="D929" s="11">
        <f>IF(C929="","",C929*(1+B929/100))</f>
        <v/>
      </c>
      <c r="E929" s="11">
        <f>IF(A929="","",$B$6*TAN(RADIANS(A929)))</f>
        <v/>
      </c>
    </row>
    <row r="930">
      <c r="A930" s="10" t="n"/>
      <c r="B930" s="10" t="n"/>
      <c r="C930" s="11">
        <f>IF(A930="","",$B$5*TAN(RADIANS(A930)))</f>
        <v/>
      </c>
      <c r="D930" s="11">
        <f>IF(C930="","",C930*(1+B930/100))</f>
        <v/>
      </c>
      <c r="E930" s="11">
        <f>IF(A930="","",$B$6*TAN(RADIANS(A930)))</f>
        <v/>
      </c>
    </row>
    <row r="931">
      <c r="A931" s="10" t="n"/>
      <c r="B931" s="10" t="n"/>
      <c r="C931" s="11">
        <f>IF(A931="","",$B$5*TAN(RADIANS(A931)))</f>
        <v/>
      </c>
      <c r="D931" s="11">
        <f>IF(C931="","",C931*(1+B931/100))</f>
        <v/>
      </c>
      <c r="E931" s="11">
        <f>IF(A931="","",$B$6*TAN(RADIANS(A931)))</f>
        <v/>
      </c>
    </row>
    <row r="932">
      <c r="A932" s="10" t="n"/>
      <c r="B932" s="10" t="n"/>
      <c r="C932" s="11">
        <f>IF(A932="","",$B$5*TAN(RADIANS(A932)))</f>
        <v/>
      </c>
      <c r="D932" s="11">
        <f>IF(C932="","",C932*(1+B932/100))</f>
        <v/>
      </c>
      <c r="E932" s="11">
        <f>IF(A932="","",$B$6*TAN(RADIANS(A932)))</f>
        <v/>
      </c>
    </row>
    <row r="933">
      <c r="A933" s="10" t="n"/>
      <c r="B933" s="10" t="n"/>
      <c r="C933" s="11">
        <f>IF(A933="","",$B$5*TAN(RADIANS(A933)))</f>
        <v/>
      </c>
      <c r="D933" s="11">
        <f>IF(C933="","",C933*(1+B933/100))</f>
        <v/>
      </c>
      <c r="E933" s="11">
        <f>IF(A933="","",$B$6*TAN(RADIANS(A933)))</f>
        <v/>
      </c>
    </row>
    <row r="934">
      <c r="A934" s="10" t="n"/>
      <c r="B934" s="10" t="n"/>
      <c r="C934" s="11">
        <f>IF(A934="","",$B$5*TAN(RADIANS(A934)))</f>
        <v/>
      </c>
      <c r="D934" s="11">
        <f>IF(C934="","",C934*(1+B934/100))</f>
        <v/>
      </c>
      <c r="E934" s="11">
        <f>IF(A934="","",$B$6*TAN(RADIANS(A934)))</f>
        <v/>
      </c>
    </row>
    <row r="935">
      <c r="A935" s="10" t="n"/>
      <c r="B935" s="10" t="n"/>
      <c r="C935" s="11">
        <f>IF(A935="","",$B$5*TAN(RADIANS(A935)))</f>
        <v/>
      </c>
      <c r="D935" s="11">
        <f>IF(C935="","",C935*(1+B935/100))</f>
        <v/>
      </c>
      <c r="E935" s="11">
        <f>IF(A935="","",$B$6*TAN(RADIANS(A935)))</f>
        <v/>
      </c>
    </row>
    <row r="936">
      <c r="A936" s="10" t="n"/>
      <c r="B936" s="10" t="n"/>
      <c r="C936" s="11">
        <f>IF(A936="","",$B$5*TAN(RADIANS(A936)))</f>
        <v/>
      </c>
      <c r="D936" s="11">
        <f>IF(C936="","",C936*(1+B936/100))</f>
        <v/>
      </c>
      <c r="E936" s="11">
        <f>IF(A936="","",$B$6*TAN(RADIANS(A936)))</f>
        <v/>
      </c>
    </row>
    <row r="937">
      <c r="A937" s="10" t="n"/>
      <c r="B937" s="10" t="n"/>
      <c r="C937" s="11">
        <f>IF(A937="","",$B$5*TAN(RADIANS(A937)))</f>
        <v/>
      </c>
      <c r="D937" s="11">
        <f>IF(C937="","",C937*(1+B937/100))</f>
        <v/>
      </c>
      <c r="E937" s="11">
        <f>IF(A937="","",$B$6*TAN(RADIANS(A937)))</f>
        <v/>
      </c>
    </row>
    <row r="938">
      <c r="A938" s="10" t="n"/>
      <c r="B938" s="10" t="n"/>
      <c r="C938" s="11">
        <f>IF(A938="","",$B$5*TAN(RADIANS(A938)))</f>
        <v/>
      </c>
      <c r="D938" s="11">
        <f>IF(C938="","",C938*(1+B938/100))</f>
        <v/>
      </c>
      <c r="E938" s="11">
        <f>IF(A938="","",$B$6*TAN(RADIANS(A938)))</f>
        <v/>
      </c>
    </row>
    <row r="939">
      <c r="A939" s="10" t="n"/>
      <c r="B939" s="10" t="n"/>
      <c r="C939" s="11">
        <f>IF(A939="","",$B$5*TAN(RADIANS(A939)))</f>
        <v/>
      </c>
      <c r="D939" s="11">
        <f>IF(C939="","",C939*(1+B939/100))</f>
        <v/>
      </c>
      <c r="E939" s="11">
        <f>IF(A939="","",$B$6*TAN(RADIANS(A939)))</f>
        <v/>
      </c>
    </row>
    <row r="940">
      <c r="A940" s="10" t="n"/>
      <c r="B940" s="10" t="n"/>
      <c r="C940" s="11">
        <f>IF(A940="","",$B$5*TAN(RADIANS(A940)))</f>
        <v/>
      </c>
      <c r="D940" s="11">
        <f>IF(C940="","",C940*(1+B940/100))</f>
        <v/>
      </c>
      <c r="E940" s="11">
        <f>IF(A940="","",$B$6*TAN(RADIANS(A940)))</f>
        <v/>
      </c>
    </row>
    <row r="941">
      <c r="A941" s="10" t="n"/>
      <c r="B941" s="10" t="n"/>
      <c r="C941" s="11">
        <f>IF(A941="","",$B$5*TAN(RADIANS(A941)))</f>
        <v/>
      </c>
      <c r="D941" s="11">
        <f>IF(C941="","",C941*(1+B941/100))</f>
        <v/>
      </c>
      <c r="E941" s="11">
        <f>IF(A941="","",$B$6*TAN(RADIANS(A941)))</f>
        <v/>
      </c>
    </row>
    <row r="942">
      <c r="A942" s="10" t="n"/>
      <c r="B942" s="10" t="n"/>
      <c r="C942" s="11">
        <f>IF(A942="","",$B$5*TAN(RADIANS(A942)))</f>
        <v/>
      </c>
      <c r="D942" s="11">
        <f>IF(C942="","",C942*(1+B942/100))</f>
        <v/>
      </c>
      <c r="E942" s="11">
        <f>IF(A942="","",$B$6*TAN(RADIANS(A942)))</f>
        <v/>
      </c>
    </row>
    <row r="943">
      <c r="A943" s="10" t="n"/>
      <c r="B943" s="10" t="n"/>
      <c r="C943" s="11">
        <f>IF(A943="","",$B$5*TAN(RADIANS(A943)))</f>
        <v/>
      </c>
      <c r="D943" s="11">
        <f>IF(C943="","",C943*(1+B943/100))</f>
        <v/>
      </c>
      <c r="E943" s="11">
        <f>IF(A943="","",$B$6*TAN(RADIANS(A943)))</f>
        <v/>
      </c>
    </row>
    <row r="944">
      <c r="A944" s="10" t="n"/>
      <c r="B944" s="10" t="n"/>
      <c r="C944" s="11">
        <f>IF(A944="","",$B$5*TAN(RADIANS(A944)))</f>
        <v/>
      </c>
      <c r="D944" s="11">
        <f>IF(C944="","",C944*(1+B944/100))</f>
        <v/>
      </c>
      <c r="E944" s="11">
        <f>IF(A944="","",$B$6*TAN(RADIANS(A944)))</f>
        <v/>
      </c>
    </row>
    <row r="945">
      <c r="A945" s="10" t="n"/>
      <c r="B945" s="10" t="n"/>
      <c r="C945" s="11">
        <f>IF(A945="","",$B$5*TAN(RADIANS(A945)))</f>
        <v/>
      </c>
      <c r="D945" s="11">
        <f>IF(C945="","",C945*(1+B945/100))</f>
        <v/>
      </c>
      <c r="E945" s="11">
        <f>IF(A945="","",$B$6*TAN(RADIANS(A945)))</f>
        <v/>
      </c>
    </row>
    <row r="946">
      <c r="A946" s="10" t="n"/>
      <c r="B946" s="10" t="n"/>
      <c r="C946" s="11">
        <f>IF(A946="","",$B$5*TAN(RADIANS(A946)))</f>
        <v/>
      </c>
      <c r="D946" s="11">
        <f>IF(C946="","",C946*(1+B946/100))</f>
        <v/>
      </c>
      <c r="E946" s="11">
        <f>IF(A946="","",$B$6*TAN(RADIANS(A946)))</f>
        <v/>
      </c>
    </row>
    <row r="947">
      <c r="A947" s="10" t="n"/>
      <c r="B947" s="10" t="n"/>
      <c r="C947" s="11">
        <f>IF(A947="","",$B$5*TAN(RADIANS(A947)))</f>
        <v/>
      </c>
      <c r="D947" s="11">
        <f>IF(C947="","",C947*(1+B947/100))</f>
        <v/>
      </c>
      <c r="E947" s="11">
        <f>IF(A947="","",$B$6*TAN(RADIANS(A947)))</f>
        <v/>
      </c>
    </row>
    <row r="948">
      <c r="A948" s="10" t="n"/>
      <c r="B948" s="10" t="n"/>
      <c r="C948" s="11">
        <f>IF(A948="","",$B$5*TAN(RADIANS(A948)))</f>
        <v/>
      </c>
      <c r="D948" s="11">
        <f>IF(C948="","",C948*(1+B948/100))</f>
        <v/>
      </c>
      <c r="E948" s="11">
        <f>IF(A948="","",$B$6*TAN(RADIANS(A948)))</f>
        <v/>
      </c>
    </row>
    <row r="949">
      <c r="A949" s="10" t="n"/>
      <c r="B949" s="10" t="n"/>
      <c r="C949" s="11">
        <f>IF(A949="","",$B$5*TAN(RADIANS(A949)))</f>
        <v/>
      </c>
      <c r="D949" s="11">
        <f>IF(C949="","",C949*(1+B949/100))</f>
        <v/>
      </c>
      <c r="E949" s="11">
        <f>IF(A949="","",$B$6*TAN(RADIANS(A949)))</f>
        <v/>
      </c>
    </row>
    <row r="950">
      <c r="A950" s="10" t="n"/>
      <c r="B950" s="10" t="n"/>
      <c r="C950" s="11">
        <f>IF(A950="","",$B$5*TAN(RADIANS(A950)))</f>
        <v/>
      </c>
      <c r="D950" s="11">
        <f>IF(C950="","",C950*(1+B950/100))</f>
        <v/>
      </c>
      <c r="E950" s="11">
        <f>IF(A950="","",$B$6*TAN(RADIANS(A950)))</f>
        <v/>
      </c>
    </row>
    <row r="951">
      <c r="A951" s="10" t="n"/>
      <c r="B951" s="10" t="n"/>
      <c r="C951" s="11">
        <f>IF(A951="","",$B$5*TAN(RADIANS(A951)))</f>
        <v/>
      </c>
      <c r="D951" s="11">
        <f>IF(C951="","",C951*(1+B951/100))</f>
        <v/>
      </c>
      <c r="E951" s="11">
        <f>IF(A951="","",$B$6*TAN(RADIANS(A951)))</f>
        <v/>
      </c>
    </row>
    <row r="952">
      <c r="A952" s="10" t="n"/>
      <c r="B952" s="10" t="n"/>
      <c r="C952" s="11">
        <f>IF(A952="","",$B$5*TAN(RADIANS(A952)))</f>
        <v/>
      </c>
      <c r="D952" s="11">
        <f>IF(C952="","",C952*(1+B952/100))</f>
        <v/>
      </c>
      <c r="E952" s="11">
        <f>IF(A952="","",$B$6*TAN(RADIANS(A952)))</f>
        <v/>
      </c>
    </row>
    <row r="953">
      <c r="A953" s="10" t="n"/>
      <c r="B953" s="10" t="n"/>
      <c r="C953" s="11">
        <f>IF(A953="","",$B$5*TAN(RADIANS(A953)))</f>
        <v/>
      </c>
      <c r="D953" s="11">
        <f>IF(C953="","",C953*(1+B953/100))</f>
        <v/>
      </c>
      <c r="E953" s="11">
        <f>IF(A953="","",$B$6*TAN(RADIANS(A953)))</f>
        <v/>
      </c>
    </row>
    <row r="954">
      <c r="A954" s="10" t="n"/>
      <c r="B954" s="10" t="n"/>
      <c r="C954" s="11">
        <f>IF(A954="","",$B$5*TAN(RADIANS(A954)))</f>
        <v/>
      </c>
      <c r="D954" s="11">
        <f>IF(C954="","",C954*(1+B954/100))</f>
        <v/>
      </c>
      <c r="E954" s="11">
        <f>IF(A954="","",$B$6*TAN(RADIANS(A954)))</f>
        <v/>
      </c>
    </row>
    <row r="955">
      <c r="A955" s="10" t="n"/>
      <c r="B955" s="10" t="n"/>
      <c r="C955" s="11">
        <f>IF(A955="","",$B$5*TAN(RADIANS(A955)))</f>
        <v/>
      </c>
      <c r="D955" s="11">
        <f>IF(C955="","",C955*(1+B955/100))</f>
        <v/>
      </c>
      <c r="E955" s="11">
        <f>IF(A955="","",$B$6*TAN(RADIANS(A955)))</f>
        <v/>
      </c>
    </row>
    <row r="956">
      <c r="A956" s="10" t="n"/>
      <c r="B956" s="10" t="n"/>
      <c r="C956" s="11">
        <f>IF(A956="","",$B$5*TAN(RADIANS(A956)))</f>
        <v/>
      </c>
      <c r="D956" s="11">
        <f>IF(C956="","",C956*(1+B956/100))</f>
        <v/>
      </c>
      <c r="E956" s="11">
        <f>IF(A956="","",$B$6*TAN(RADIANS(A956)))</f>
        <v/>
      </c>
    </row>
    <row r="957">
      <c r="A957" s="10" t="n"/>
      <c r="B957" s="10" t="n"/>
      <c r="C957" s="11">
        <f>IF(A957="","",$B$5*TAN(RADIANS(A957)))</f>
        <v/>
      </c>
      <c r="D957" s="11">
        <f>IF(C957="","",C957*(1+B957/100))</f>
        <v/>
      </c>
      <c r="E957" s="11">
        <f>IF(A957="","",$B$6*TAN(RADIANS(A957)))</f>
        <v/>
      </c>
    </row>
    <row r="958">
      <c r="A958" s="10" t="n"/>
      <c r="B958" s="10" t="n"/>
      <c r="C958" s="11">
        <f>IF(A958="","",$B$5*TAN(RADIANS(A958)))</f>
        <v/>
      </c>
      <c r="D958" s="11">
        <f>IF(C958="","",C958*(1+B958/100))</f>
        <v/>
      </c>
      <c r="E958" s="11">
        <f>IF(A958="","",$B$6*TAN(RADIANS(A958)))</f>
        <v/>
      </c>
    </row>
    <row r="959">
      <c r="A959" s="10" t="n"/>
      <c r="B959" s="10" t="n"/>
      <c r="C959" s="11">
        <f>IF(A959="","",$B$5*TAN(RADIANS(A959)))</f>
        <v/>
      </c>
      <c r="D959" s="11">
        <f>IF(C959="","",C959*(1+B959/100))</f>
        <v/>
      </c>
      <c r="E959" s="11">
        <f>IF(A959="","",$B$6*TAN(RADIANS(A959)))</f>
        <v/>
      </c>
    </row>
    <row r="960">
      <c r="A960" s="10" t="n"/>
      <c r="B960" s="10" t="n"/>
      <c r="C960" s="11">
        <f>IF(A960="","",$B$5*TAN(RADIANS(A960)))</f>
        <v/>
      </c>
      <c r="D960" s="11">
        <f>IF(C960="","",C960*(1+B960/100))</f>
        <v/>
      </c>
      <c r="E960" s="11">
        <f>IF(A960="","",$B$6*TAN(RADIANS(A960)))</f>
        <v/>
      </c>
    </row>
    <row r="961">
      <c r="A961" s="10" t="n"/>
      <c r="B961" s="10" t="n"/>
      <c r="C961" s="11">
        <f>IF(A961="","",$B$5*TAN(RADIANS(A961)))</f>
        <v/>
      </c>
      <c r="D961" s="11">
        <f>IF(C961="","",C961*(1+B961/100))</f>
        <v/>
      </c>
      <c r="E961" s="11">
        <f>IF(A961="","",$B$6*TAN(RADIANS(A961)))</f>
        <v/>
      </c>
    </row>
    <row r="962">
      <c r="A962" s="10" t="n"/>
      <c r="B962" s="10" t="n"/>
      <c r="C962" s="11">
        <f>IF(A962="","",$B$5*TAN(RADIANS(A962)))</f>
        <v/>
      </c>
      <c r="D962" s="11">
        <f>IF(C962="","",C962*(1+B962/100))</f>
        <v/>
      </c>
      <c r="E962" s="11">
        <f>IF(A962="","",$B$6*TAN(RADIANS(A962)))</f>
        <v/>
      </c>
    </row>
    <row r="963">
      <c r="A963" s="10" t="n"/>
      <c r="B963" s="10" t="n"/>
      <c r="C963" s="11">
        <f>IF(A963="","",$B$5*TAN(RADIANS(A963)))</f>
        <v/>
      </c>
      <c r="D963" s="11">
        <f>IF(C963="","",C963*(1+B963/100))</f>
        <v/>
      </c>
      <c r="E963" s="11">
        <f>IF(A963="","",$B$6*TAN(RADIANS(A963)))</f>
        <v/>
      </c>
    </row>
    <row r="964">
      <c r="A964" s="10" t="n"/>
      <c r="B964" s="10" t="n"/>
      <c r="C964" s="11">
        <f>IF(A964="","",$B$5*TAN(RADIANS(A964)))</f>
        <v/>
      </c>
      <c r="D964" s="11">
        <f>IF(C964="","",C964*(1+B964/100))</f>
        <v/>
      </c>
      <c r="E964" s="11">
        <f>IF(A964="","",$B$6*TAN(RADIANS(A964)))</f>
        <v/>
      </c>
    </row>
    <row r="965">
      <c r="A965" s="10" t="n"/>
      <c r="B965" s="10" t="n"/>
      <c r="C965" s="11">
        <f>IF(A965="","",$B$5*TAN(RADIANS(A965)))</f>
        <v/>
      </c>
      <c r="D965" s="11">
        <f>IF(C965="","",C965*(1+B965/100))</f>
        <v/>
      </c>
      <c r="E965" s="11">
        <f>IF(A965="","",$B$6*TAN(RADIANS(A965)))</f>
        <v/>
      </c>
    </row>
    <row r="966">
      <c r="A966" s="10" t="n"/>
      <c r="B966" s="10" t="n"/>
      <c r="C966" s="11">
        <f>IF(A966="","",$B$5*TAN(RADIANS(A966)))</f>
        <v/>
      </c>
      <c r="D966" s="11">
        <f>IF(C966="","",C966*(1+B966/100))</f>
        <v/>
      </c>
      <c r="E966" s="11">
        <f>IF(A966="","",$B$6*TAN(RADIANS(A966)))</f>
        <v/>
      </c>
    </row>
    <row r="967">
      <c r="A967" s="10" t="n"/>
      <c r="B967" s="10" t="n"/>
      <c r="C967" s="11">
        <f>IF(A967="","",$B$5*TAN(RADIANS(A967)))</f>
        <v/>
      </c>
      <c r="D967" s="11">
        <f>IF(C967="","",C967*(1+B967/100))</f>
        <v/>
      </c>
      <c r="E967" s="11">
        <f>IF(A967="","",$B$6*TAN(RADIANS(A967)))</f>
        <v/>
      </c>
    </row>
    <row r="968">
      <c r="A968" s="10" t="n"/>
      <c r="B968" s="10" t="n"/>
      <c r="C968" s="11">
        <f>IF(A968="","",$B$5*TAN(RADIANS(A968)))</f>
        <v/>
      </c>
      <c r="D968" s="11">
        <f>IF(C968="","",C968*(1+B968/100))</f>
        <v/>
      </c>
      <c r="E968" s="11">
        <f>IF(A968="","",$B$6*TAN(RADIANS(A968)))</f>
        <v/>
      </c>
    </row>
    <row r="969">
      <c r="A969" s="10" t="n"/>
      <c r="B969" s="10" t="n"/>
      <c r="C969" s="11">
        <f>IF(A969="","",$B$5*TAN(RADIANS(A969)))</f>
        <v/>
      </c>
      <c r="D969" s="11">
        <f>IF(C969="","",C969*(1+B969/100))</f>
        <v/>
      </c>
      <c r="E969" s="11">
        <f>IF(A969="","",$B$6*TAN(RADIANS(A969)))</f>
        <v/>
      </c>
    </row>
    <row r="970">
      <c r="A970" s="10" t="n"/>
      <c r="B970" s="10" t="n"/>
      <c r="C970" s="11">
        <f>IF(A970="","",$B$5*TAN(RADIANS(A970)))</f>
        <v/>
      </c>
      <c r="D970" s="11">
        <f>IF(C970="","",C970*(1+B970/100))</f>
        <v/>
      </c>
      <c r="E970" s="11">
        <f>IF(A970="","",$B$6*TAN(RADIANS(A970)))</f>
        <v/>
      </c>
    </row>
    <row r="971">
      <c r="A971" s="10" t="n"/>
      <c r="B971" s="10" t="n"/>
      <c r="C971" s="11">
        <f>IF(A971="","",$B$5*TAN(RADIANS(A971)))</f>
        <v/>
      </c>
      <c r="D971" s="11">
        <f>IF(C971="","",C971*(1+B971/100))</f>
        <v/>
      </c>
      <c r="E971" s="11">
        <f>IF(A971="","",$B$6*TAN(RADIANS(A971)))</f>
        <v/>
      </c>
    </row>
    <row r="972">
      <c r="A972" s="10" t="n"/>
      <c r="B972" s="10" t="n"/>
      <c r="C972" s="11">
        <f>IF(A972="","",$B$5*TAN(RADIANS(A972)))</f>
        <v/>
      </c>
      <c r="D972" s="11">
        <f>IF(C972="","",C972*(1+B972/100))</f>
        <v/>
      </c>
      <c r="E972" s="11">
        <f>IF(A972="","",$B$6*TAN(RADIANS(A972)))</f>
        <v/>
      </c>
    </row>
    <row r="973">
      <c r="A973" s="10" t="n"/>
      <c r="B973" s="10" t="n"/>
      <c r="C973" s="11">
        <f>IF(A973="","",$B$5*TAN(RADIANS(A973)))</f>
        <v/>
      </c>
      <c r="D973" s="11">
        <f>IF(C973="","",C973*(1+B973/100))</f>
        <v/>
      </c>
      <c r="E973" s="11">
        <f>IF(A973="","",$B$6*TAN(RADIANS(A973)))</f>
        <v/>
      </c>
    </row>
    <row r="974">
      <c r="A974" s="10" t="n"/>
      <c r="B974" s="10" t="n"/>
      <c r="C974" s="11">
        <f>IF(A974="","",$B$5*TAN(RADIANS(A974)))</f>
        <v/>
      </c>
      <c r="D974" s="11">
        <f>IF(C974="","",C974*(1+B974/100))</f>
        <v/>
      </c>
      <c r="E974" s="11">
        <f>IF(A974="","",$B$6*TAN(RADIANS(A974)))</f>
        <v/>
      </c>
    </row>
    <row r="975">
      <c r="A975" s="10" t="n"/>
      <c r="B975" s="10" t="n"/>
      <c r="C975" s="11">
        <f>IF(A975="","",$B$5*TAN(RADIANS(A975)))</f>
        <v/>
      </c>
      <c r="D975" s="11">
        <f>IF(C975="","",C975*(1+B975/100))</f>
        <v/>
      </c>
      <c r="E975" s="11">
        <f>IF(A975="","",$B$6*TAN(RADIANS(A975)))</f>
        <v/>
      </c>
    </row>
    <row r="976">
      <c r="A976" s="10" t="n"/>
      <c r="B976" s="10" t="n"/>
      <c r="C976" s="11">
        <f>IF(A976="","",$B$5*TAN(RADIANS(A976)))</f>
        <v/>
      </c>
      <c r="D976" s="11">
        <f>IF(C976="","",C976*(1+B976/100))</f>
        <v/>
      </c>
      <c r="E976" s="11">
        <f>IF(A976="","",$B$6*TAN(RADIANS(A976)))</f>
        <v/>
      </c>
    </row>
    <row r="977">
      <c r="A977" s="10" t="n"/>
      <c r="B977" s="10" t="n"/>
      <c r="C977" s="11">
        <f>IF(A977="","",$B$5*TAN(RADIANS(A977)))</f>
        <v/>
      </c>
      <c r="D977" s="11">
        <f>IF(C977="","",C977*(1+B977/100))</f>
        <v/>
      </c>
      <c r="E977" s="11">
        <f>IF(A977="","",$B$6*TAN(RADIANS(A977)))</f>
        <v/>
      </c>
    </row>
    <row r="978">
      <c r="A978" s="10" t="n"/>
      <c r="B978" s="10" t="n"/>
      <c r="C978" s="11">
        <f>IF(A978="","",$B$5*TAN(RADIANS(A978)))</f>
        <v/>
      </c>
      <c r="D978" s="11">
        <f>IF(C978="","",C978*(1+B978/100))</f>
        <v/>
      </c>
      <c r="E978" s="11">
        <f>IF(A978="","",$B$6*TAN(RADIANS(A978)))</f>
        <v/>
      </c>
    </row>
    <row r="979">
      <c r="A979" s="10" t="n"/>
      <c r="B979" s="10" t="n"/>
      <c r="C979" s="11">
        <f>IF(A979="","",$B$5*TAN(RADIANS(A979)))</f>
        <v/>
      </c>
      <c r="D979" s="11">
        <f>IF(C979="","",C979*(1+B979/100))</f>
        <v/>
      </c>
      <c r="E979" s="11">
        <f>IF(A979="","",$B$6*TAN(RADIANS(A979)))</f>
        <v/>
      </c>
    </row>
    <row r="980">
      <c r="A980" s="10" t="n"/>
      <c r="B980" s="10" t="n"/>
      <c r="C980" s="11">
        <f>IF(A980="","",$B$5*TAN(RADIANS(A980)))</f>
        <v/>
      </c>
      <c r="D980" s="11">
        <f>IF(C980="","",C980*(1+B980/100))</f>
        <v/>
      </c>
      <c r="E980" s="11">
        <f>IF(A980="","",$B$6*TAN(RADIANS(A980)))</f>
        <v/>
      </c>
    </row>
    <row r="981">
      <c r="A981" s="10" t="n"/>
      <c r="B981" s="10" t="n"/>
      <c r="C981" s="11">
        <f>IF(A981="","",$B$5*TAN(RADIANS(A981)))</f>
        <v/>
      </c>
      <c r="D981" s="11">
        <f>IF(C981="","",C981*(1+B981/100))</f>
        <v/>
      </c>
      <c r="E981" s="11">
        <f>IF(A981="","",$B$6*TAN(RADIANS(A981)))</f>
        <v/>
      </c>
    </row>
    <row r="982">
      <c r="A982" s="10" t="n"/>
      <c r="B982" s="10" t="n"/>
      <c r="C982" s="11">
        <f>IF(A982="","",$B$5*TAN(RADIANS(A982)))</f>
        <v/>
      </c>
      <c r="D982" s="11">
        <f>IF(C982="","",C982*(1+B982/100))</f>
        <v/>
      </c>
      <c r="E982" s="11">
        <f>IF(A982="","",$B$6*TAN(RADIANS(A982)))</f>
        <v/>
      </c>
    </row>
    <row r="983">
      <c r="A983" s="10" t="n"/>
      <c r="B983" s="10" t="n"/>
      <c r="C983" s="11">
        <f>IF(A983="","",$B$5*TAN(RADIANS(A983)))</f>
        <v/>
      </c>
      <c r="D983" s="11">
        <f>IF(C983="","",C983*(1+B983/100))</f>
        <v/>
      </c>
      <c r="E983" s="11">
        <f>IF(A983="","",$B$6*TAN(RADIANS(A983)))</f>
        <v/>
      </c>
    </row>
    <row r="984">
      <c r="A984" s="10" t="n"/>
      <c r="B984" s="10" t="n"/>
      <c r="C984" s="11">
        <f>IF(A984="","",$B$5*TAN(RADIANS(A984)))</f>
        <v/>
      </c>
      <c r="D984" s="11">
        <f>IF(C984="","",C984*(1+B984/100))</f>
        <v/>
      </c>
      <c r="E984" s="11">
        <f>IF(A984="","",$B$6*TAN(RADIANS(A984)))</f>
        <v/>
      </c>
    </row>
    <row r="985">
      <c r="A985" s="10" t="n"/>
      <c r="B985" s="10" t="n"/>
      <c r="C985" s="11">
        <f>IF(A985="","",$B$5*TAN(RADIANS(A985)))</f>
        <v/>
      </c>
      <c r="D985" s="11">
        <f>IF(C985="","",C985*(1+B985/100))</f>
        <v/>
      </c>
      <c r="E985" s="11">
        <f>IF(A985="","",$B$6*TAN(RADIANS(A985)))</f>
        <v/>
      </c>
    </row>
    <row r="986">
      <c r="A986" s="10" t="n"/>
      <c r="B986" s="10" t="n"/>
      <c r="C986" s="11">
        <f>IF(A986="","",$B$5*TAN(RADIANS(A986)))</f>
        <v/>
      </c>
      <c r="D986" s="11">
        <f>IF(C986="","",C986*(1+B986/100))</f>
        <v/>
      </c>
      <c r="E986" s="11">
        <f>IF(A986="","",$B$6*TAN(RADIANS(A986)))</f>
        <v/>
      </c>
    </row>
    <row r="987">
      <c r="A987" s="10" t="n"/>
      <c r="B987" s="10" t="n"/>
      <c r="C987" s="11">
        <f>IF(A987="","",$B$5*TAN(RADIANS(A987)))</f>
        <v/>
      </c>
      <c r="D987" s="11">
        <f>IF(C987="","",C987*(1+B987/100))</f>
        <v/>
      </c>
      <c r="E987" s="11">
        <f>IF(A987="","",$B$6*TAN(RADIANS(A987)))</f>
        <v/>
      </c>
    </row>
    <row r="988">
      <c r="A988" s="10" t="n"/>
      <c r="B988" s="10" t="n"/>
      <c r="C988" s="11">
        <f>IF(A988="","",$B$5*TAN(RADIANS(A988)))</f>
        <v/>
      </c>
      <c r="D988" s="11">
        <f>IF(C988="","",C988*(1+B988/100))</f>
        <v/>
      </c>
      <c r="E988" s="11">
        <f>IF(A988="","",$B$6*TAN(RADIANS(A988)))</f>
        <v/>
      </c>
    </row>
    <row r="989">
      <c r="A989" s="10" t="n"/>
      <c r="B989" s="10" t="n"/>
      <c r="C989" s="11">
        <f>IF(A989="","",$B$5*TAN(RADIANS(A989)))</f>
        <v/>
      </c>
      <c r="D989" s="11">
        <f>IF(C989="","",C989*(1+B989/100))</f>
        <v/>
      </c>
      <c r="E989" s="11">
        <f>IF(A989="","",$B$6*TAN(RADIANS(A989)))</f>
        <v/>
      </c>
    </row>
    <row r="990">
      <c r="A990" s="10" t="n"/>
      <c r="B990" s="10" t="n"/>
      <c r="C990" s="11">
        <f>IF(A990="","",$B$5*TAN(RADIANS(A990)))</f>
        <v/>
      </c>
      <c r="D990" s="11">
        <f>IF(C990="","",C990*(1+B990/100))</f>
        <v/>
      </c>
      <c r="E990" s="11">
        <f>IF(A990="","",$B$6*TAN(RADIANS(A990)))</f>
        <v/>
      </c>
    </row>
    <row r="991">
      <c r="A991" s="10" t="n"/>
      <c r="B991" s="10" t="n"/>
      <c r="C991" s="11">
        <f>IF(A991="","",$B$5*TAN(RADIANS(A991)))</f>
        <v/>
      </c>
      <c r="D991" s="11">
        <f>IF(C991="","",C991*(1+B991/100))</f>
        <v/>
      </c>
      <c r="E991" s="11">
        <f>IF(A991="","",$B$6*TAN(RADIANS(A991)))</f>
        <v/>
      </c>
    </row>
    <row r="992">
      <c r="A992" s="10" t="n"/>
      <c r="B992" s="10" t="n"/>
      <c r="C992" s="11">
        <f>IF(A992="","",$B$5*TAN(RADIANS(A992)))</f>
        <v/>
      </c>
      <c r="D992" s="11">
        <f>IF(C992="","",C992*(1+B992/100))</f>
        <v/>
      </c>
      <c r="E992" s="11">
        <f>IF(A992="","",$B$6*TAN(RADIANS(A992)))</f>
        <v/>
      </c>
    </row>
    <row r="993">
      <c r="A993" s="10" t="n"/>
      <c r="B993" s="10" t="n"/>
      <c r="C993" s="11">
        <f>IF(A993="","",$B$5*TAN(RADIANS(A993)))</f>
        <v/>
      </c>
      <c r="D993" s="11">
        <f>IF(C993="","",C993*(1+B993/100))</f>
        <v/>
      </c>
      <c r="E993" s="11">
        <f>IF(A993="","",$B$6*TAN(RADIANS(A993)))</f>
        <v/>
      </c>
    </row>
    <row r="994">
      <c r="A994" s="10" t="n"/>
      <c r="B994" s="10" t="n"/>
      <c r="C994" s="11">
        <f>IF(A994="","",$B$5*TAN(RADIANS(A994)))</f>
        <v/>
      </c>
      <c r="D994" s="11">
        <f>IF(C994="","",C994*(1+B994/100))</f>
        <v/>
      </c>
      <c r="E994" s="11">
        <f>IF(A994="","",$B$6*TAN(RADIANS(A994)))</f>
        <v/>
      </c>
    </row>
    <row r="995">
      <c r="A995" s="10" t="n"/>
      <c r="B995" s="10" t="n"/>
      <c r="C995" s="11">
        <f>IF(A995="","",$B$5*TAN(RADIANS(A995)))</f>
        <v/>
      </c>
      <c r="D995" s="11">
        <f>IF(C995="","",C995*(1+B995/100))</f>
        <v/>
      </c>
      <c r="E995" s="11">
        <f>IF(A995="","",$B$6*TAN(RADIANS(A995)))</f>
        <v/>
      </c>
    </row>
    <row r="996">
      <c r="A996" s="10" t="n"/>
      <c r="B996" s="10" t="n"/>
      <c r="C996" s="11">
        <f>IF(A996="","",$B$5*TAN(RADIANS(A996)))</f>
        <v/>
      </c>
      <c r="D996" s="11">
        <f>IF(C996="","",C996*(1+B996/100))</f>
        <v/>
      </c>
      <c r="E996" s="11">
        <f>IF(A996="","",$B$6*TAN(RADIANS(A996)))</f>
        <v/>
      </c>
    </row>
    <row r="997">
      <c r="A997" s="10" t="n"/>
      <c r="B997" s="10" t="n"/>
      <c r="C997" s="11">
        <f>IF(A997="","",$B$5*TAN(RADIANS(A997)))</f>
        <v/>
      </c>
      <c r="D997" s="11">
        <f>IF(C997="","",C997*(1+B997/100))</f>
        <v/>
      </c>
      <c r="E997" s="11">
        <f>IF(A997="","",$B$6*TAN(RADIANS(A997)))</f>
        <v/>
      </c>
    </row>
    <row r="998">
      <c r="A998" s="10" t="n"/>
      <c r="B998" s="10" t="n"/>
      <c r="C998" s="11">
        <f>IF(A998="","",$B$5*TAN(RADIANS(A998)))</f>
        <v/>
      </c>
      <c r="D998" s="11">
        <f>IF(C998="","",C998*(1+B998/100))</f>
        <v/>
      </c>
      <c r="E998" s="11">
        <f>IF(A998="","",$B$6*TAN(RADIANS(A998)))</f>
        <v/>
      </c>
    </row>
    <row r="999">
      <c r="A999" s="10" t="n"/>
      <c r="B999" s="10" t="n"/>
      <c r="C999" s="11">
        <f>IF(A999="","",$B$5*TAN(RADIANS(A999)))</f>
        <v/>
      </c>
      <c r="D999" s="11">
        <f>IF(C999="","",C999*(1+B999/100))</f>
        <v/>
      </c>
      <c r="E999" s="11">
        <f>IF(A999="","",$B$6*TAN(RADIANS(A999)))</f>
        <v/>
      </c>
    </row>
    <row r="1000">
      <c r="A1000" s="10" t="n"/>
      <c r="B1000" s="10" t="n"/>
      <c r="C1000" s="11">
        <f>IF(A1000="","",$B$5*TAN(RADIANS(A1000)))</f>
        <v/>
      </c>
      <c r="D1000" s="11">
        <f>IF(C1000="","",C1000*(1+B1000/100))</f>
        <v/>
      </c>
      <c r="E1000" s="11">
        <f>IF(A1000="","",$B$6*TAN(RADIANS(A1000)))</f>
        <v/>
      </c>
    </row>
    <row r="1001">
      <c r="A1001" s="10" t="n"/>
      <c r="B1001" s="10" t="n"/>
      <c r="C1001" s="11">
        <f>IF(A1001="","",$B$5*TAN(RADIANS(A1001)))</f>
        <v/>
      </c>
      <c r="D1001" s="11">
        <f>IF(C1001="","",C1001*(1+B1001/100))</f>
        <v/>
      </c>
      <c r="E1001" s="11">
        <f>IF(A1001="","",$B$6*TAN(RADIANS(A1001)))</f>
        <v/>
      </c>
    </row>
    <row r="1002">
      <c r="A1002" s="10" t="n"/>
      <c r="B1002" s="10" t="n"/>
      <c r="C1002" s="11">
        <f>IF(A1002="","",$B$5*TAN(RADIANS(A1002)))</f>
        <v/>
      </c>
      <c r="D1002" s="11">
        <f>IF(C1002="","",C1002*(1+B1002/100))</f>
        <v/>
      </c>
      <c r="E1002" s="11">
        <f>IF(A1002="","",$B$6*TAN(RADIANS(A1002)))</f>
        <v/>
      </c>
    </row>
    <row r="1003">
      <c r="A1003" s="10" t="n"/>
      <c r="B1003" s="10" t="n"/>
      <c r="C1003" s="11">
        <f>IF(A1003="","",$B$5*TAN(RADIANS(A1003)))</f>
        <v/>
      </c>
      <c r="D1003" s="11">
        <f>IF(C1003="","",C1003*(1+B1003/100))</f>
        <v/>
      </c>
      <c r="E1003" s="11">
        <f>IF(A1003="","",$B$6*TAN(RADIANS(A1003)))</f>
        <v/>
      </c>
    </row>
    <row r="1004">
      <c r="A1004" s="10" t="n"/>
      <c r="B1004" s="10" t="n"/>
      <c r="C1004" s="11">
        <f>IF(A1004="","",$B$5*TAN(RADIANS(A1004)))</f>
        <v/>
      </c>
      <c r="D1004" s="11">
        <f>IF(C1004="","",C1004*(1+B1004/100))</f>
        <v/>
      </c>
      <c r="E1004" s="11">
        <f>IF(A1004="","",$B$6*TAN(RADIANS(A1004)))</f>
        <v/>
      </c>
    </row>
    <row r="1005">
      <c r="A1005" s="10" t="n"/>
      <c r="B1005" s="10" t="n"/>
      <c r="C1005" s="11">
        <f>IF(A1005="","",$B$5*TAN(RADIANS(A1005)))</f>
        <v/>
      </c>
      <c r="D1005" s="11">
        <f>IF(C1005="","",C1005*(1+B1005/100))</f>
        <v/>
      </c>
      <c r="E1005" s="11">
        <f>IF(A1005="","",$B$6*TAN(RADIANS(A1005)))</f>
        <v/>
      </c>
    </row>
    <row r="1006">
      <c r="A1006" s="10" t="n"/>
      <c r="B1006" s="10" t="n"/>
      <c r="C1006" s="11">
        <f>IF(A1006="","",$B$5*TAN(RADIANS(A1006)))</f>
        <v/>
      </c>
      <c r="D1006" s="11">
        <f>IF(C1006="","",C1006*(1+B1006/100))</f>
        <v/>
      </c>
      <c r="E1006" s="11">
        <f>IF(A1006="","",$B$6*TAN(RADIANS(A1006)))</f>
        <v/>
      </c>
    </row>
    <row r="1007">
      <c r="A1007" s="10" t="n"/>
      <c r="B1007" s="10" t="n"/>
      <c r="C1007" s="11">
        <f>IF(A1007="","",$B$5*TAN(RADIANS(A1007)))</f>
        <v/>
      </c>
      <c r="D1007" s="11">
        <f>IF(C1007="","",C1007*(1+B1007/100))</f>
        <v/>
      </c>
      <c r="E1007" s="11">
        <f>IF(A1007="","",$B$6*TAN(RADIANS(A1007)))</f>
        <v/>
      </c>
    </row>
    <row r="1008">
      <c r="A1008" s="10" t="n"/>
      <c r="B1008" s="10" t="n"/>
      <c r="C1008" s="11">
        <f>IF(A1008="","",$B$5*TAN(RADIANS(A1008)))</f>
        <v/>
      </c>
      <c r="D1008" s="11">
        <f>IF(C1008="","",C1008*(1+B1008/100))</f>
        <v/>
      </c>
      <c r="E1008" s="11">
        <f>IF(A1008="","",$B$6*TAN(RADIANS(A1008)))</f>
        <v/>
      </c>
    </row>
    <row r="1009">
      <c r="A1009" s="10" t="n"/>
      <c r="B1009" s="10" t="n"/>
      <c r="C1009" s="11">
        <f>IF(A1009="","",$B$5*TAN(RADIANS(A1009)))</f>
        <v/>
      </c>
      <c r="D1009" s="11">
        <f>IF(C1009="","",C1009*(1+B1009/100))</f>
        <v/>
      </c>
      <c r="E1009" s="11">
        <f>IF(A1009="","",$B$6*TAN(RADIANS(A1009)))</f>
        <v/>
      </c>
    </row>
    <row r="1010">
      <c r="A1010" s="10" t="n"/>
      <c r="B1010" s="10" t="n"/>
      <c r="C1010" s="11">
        <f>IF(A1010="","",$B$5*TAN(RADIANS(A1010)))</f>
        <v/>
      </c>
      <c r="D1010" s="11">
        <f>IF(C1010="","",C1010*(1+B1010/100))</f>
        <v/>
      </c>
      <c r="E1010" s="11">
        <f>IF(A1010="","",$B$6*TAN(RADIANS(A1010)))</f>
        <v/>
      </c>
    </row>
    <row r="1011">
      <c r="A1011" s="10" t="n"/>
      <c r="B1011" s="10" t="n"/>
      <c r="C1011" s="11">
        <f>IF(A1011="","",$B$5*TAN(RADIANS(A1011)))</f>
        <v/>
      </c>
      <c r="D1011" s="11">
        <f>IF(C1011="","",C1011*(1+B1011/100))</f>
        <v/>
      </c>
      <c r="E1011" s="11">
        <f>IF(A1011="","",$B$6*TAN(RADIANS(A1011)))</f>
        <v/>
      </c>
    </row>
    <row r="1012">
      <c r="A1012" s="10" t="n"/>
      <c r="B1012" s="10" t="n"/>
      <c r="C1012" s="11">
        <f>IF(A1012="","",$B$5*TAN(RADIANS(A1012)))</f>
        <v/>
      </c>
      <c r="D1012" s="11">
        <f>IF(C1012="","",C1012*(1+B1012/100))</f>
        <v/>
      </c>
      <c r="E1012" s="11">
        <f>IF(A1012="","",$B$6*TAN(RADIANS(A1012)))</f>
        <v/>
      </c>
    </row>
    <row r="1013">
      <c r="A1013" s="10" t="n"/>
      <c r="B1013" s="10" t="n"/>
      <c r="C1013" s="11">
        <f>IF(A1013="","",$B$5*TAN(RADIANS(A1013)))</f>
        <v/>
      </c>
      <c r="D1013" s="11">
        <f>IF(C1013="","",C1013*(1+B1013/100))</f>
        <v/>
      </c>
      <c r="E1013" s="11">
        <f>IF(A1013="","",$B$6*TAN(RADIANS(A1013)))</f>
        <v/>
      </c>
    </row>
    <row r="1014">
      <c r="A1014" s="10" t="n"/>
      <c r="B1014" s="10" t="n"/>
      <c r="C1014" s="11">
        <f>IF(A1014="","",$B$5*TAN(RADIANS(A1014)))</f>
        <v/>
      </c>
      <c r="D1014" s="11">
        <f>IF(C1014="","",C1014*(1+B1014/100))</f>
        <v/>
      </c>
      <c r="E1014" s="11">
        <f>IF(A1014="","",$B$6*TAN(RADIANS(A1014)))</f>
        <v/>
      </c>
    </row>
    <row r="1015">
      <c r="A1015" s="10" t="n"/>
      <c r="B1015" s="10" t="n"/>
      <c r="C1015" s="11">
        <f>IF(A1015="","",$B$5*TAN(RADIANS(A1015)))</f>
        <v/>
      </c>
      <c r="D1015" s="11">
        <f>IF(C1015="","",C1015*(1+B1015/100))</f>
        <v/>
      </c>
      <c r="E1015" s="11">
        <f>IF(A1015="","",$B$6*TAN(RADIANS(A1015)))</f>
        <v/>
      </c>
    </row>
    <row r="1016">
      <c r="A1016" s="10" t="n"/>
      <c r="B1016" s="10" t="n"/>
      <c r="C1016" s="11">
        <f>IF(A1016="","",$B$5*TAN(RADIANS(A1016)))</f>
        <v/>
      </c>
      <c r="D1016" s="11">
        <f>IF(C1016="","",C1016*(1+B1016/100))</f>
        <v/>
      </c>
      <c r="E1016" s="11">
        <f>IF(A1016="","",$B$6*TAN(RADIANS(A1016)))</f>
        <v/>
      </c>
    </row>
    <row r="1017">
      <c r="A1017" s="10" t="n"/>
      <c r="B1017" s="10" t="n"/>
      <c r="C1017" s="11">
        <f>IF(A1017="","",$B$5*TAN(RADIANS(A1017)))</f>
        <v/>
      </c>
      <c r="D1017" s="11">
        <f>IF(C1017="","",C1017*(1+B1017/100))</f>
        <v/>
      </c>
      <c r="E1017" s="11">
        <f>IF(A1017="","",$B$6*TAN(RADIANS(A1017)))</f>
        <v/>
      </c>
    </row>
    <row r="1018">
      <c r="A1018" s="10" t="n"/>
      <c r="B1018" s="10" t="n"/>
      <c r="C1018" s="11">
        <f>IF(A1018="","",$B$5*TAN(RADIANS(A1018)))</f>
        <v/>
      </c>
      <c r="D1018" s="11">
        <f>IF(C1018="","",C1018*(1+B1018/100))</f>
        <v/>
      </c>
      <c r="E1018" s="11">
        <f>IF(A1018="","",$B$6*TAN(RADIANS(A1018)))</f>
        <v/>
      </c>
    </row>
    <row r="1019">
      <c r="A1019" s="10" t="n"/>
      <c r="B1019" s="10" t="n"/>
      <c r="C1019" s="11">
        <f>IF(A1019="","",$B$5*TAN(RADIANS(A1019)))</f>
        <v/>
      </c>
      <c r="D1019" s="11">
        <f>IF(C1019="","",C1019*(1+B1019/100))</f>
        <v/>
      </c>
      <c r="E1019" s="11">
        <f>IF(A1019="","",$B$6*TAN(RADIANS(A1019)))</f>
        <v/>
      </c>
    </row>
    <row r="1020">
      <c r="A1020" s="10" t="n"/>
      <c r="B1020" s="10" t="n"/>
      <c r="C1020" s="11">
        <f>IF(A1020="","",$B$5*TAN(RADIANS(A1020)))</f>
        <v/>
      </c>
      <c r="D1020" s="11">
        <f>IF(C1020="","",C1020*(1+B1020/100))</f>
        <v/>
      </c>
      <c r="E1020" s="11">
        <f>IF(A1020="","",$B$6*TAN(RADIANS(A1020)))</f>
        <v/>
      </c>
    </row>
    <row r="1021">
      <c r="A1021" s="10" t="n"/>
      <c r="B1021" s="10" t="n"/>
      <c r="C1021" s="11">
        <f>IF(A1021="","",$B$5*TAN(RADIANS(A1021)))</f>
        <v/>
      </c>
      <c r="D1021" s="11">
        <f>IF(C1021="","",C1021*(1+B1021/100))</f>
        <v/>
      </c>
      <c r="E1021" s="11">
        <f>IF(A1021="","",$B$6*TAN(RADIANS(A1021)))</f>
        <v/>
      </c>
    </row>
    <row r="1022">
      <c r="A1022" s="10" t="n"/>
      <c r="B1022" s="10" t="n"/>
      <c r="C1022" s="11">
        <f>IF(A1022="","",$B$5*TAN(RADIANS(A1022)))</f>
        <v/>
      </c>
      <c r="D1022" s="11">
        <f>IF(C1022="","",C1022*(1+B1022/100))</f>
        <v/>
      </c>
      <c r="E1022" s="11">
        <f>IF(A1022="","",$B$6*TAN(RADIANS(A1022)))</f>
        <v/>
      </c>
    </row>
    <row r="1023">
      <c r="A1023" s="10" t="n"/>
      <c r="B1023" s="10" t="n"/>
      <c r="C1023" s="11">
        <f>IF(A1023="","",$B$5*TAN(RADIANS(A1023)))</f>
        <v/>
      </c>
      <c r="D1023" s="11">
        <f>IF(C1023="","",C1023*(1+B1023/100))</f>
        <v/>
      </c>
      <c r="E1023" s="11">
        <f>IF(A1023="","",$B$6*TAN(RADIANS(A1023)))</f>
        <v/>
      </c>
    </row>
    <row r="1024">
      <c r="A1024" s="10" t="n"/>
      <c r="B1024" s="10" t="n"/>
      <c r="C1024" s="11">
        <f>IF(A1024="","",$B$5*TAN(RADIANS(A1024)))</f>
        <v/>
      </c>
      <c r="D1024" s="11">
        <f>IF(C1024="","",C1024*(1+B1024/100))</f>
        <v/>
      </c>
      <c r="E1024" s="11">
        <f>IF(A1024="","",$B$6*TAN(RADIANS(A1024)))</f>
        <v/>
      </c>
    </row>
    <row r="1025">
      <c r="A1025" s="10" t="n"/>
      <c r="B1025" s="10" t="n"/>
      <c r="C1025" s="11">
        <f>IF(A1025="","",$B$5*TAN(RADIANS(A1025)))</f>
        <v/>
      </c>
      <c r="D1025" s="11">
        <f>IF(C1025="","",C1025*(1+B1025/100))</f>
        <v/>
      </c>
      <c r="E1025" s="11">
        <f>IF(A1025="","",$B$6*TAN(RADIANS(A1025)))</f>
        <v/>
      </c>
    </row>
    <row r="1026">
      <c r="A1026" s="10" t="n"/>
      <c r="B1026" s="10" t="n"/>
      <c r="C1026" s="11">
        <f>IF(A1026="","",$B$5*TAN(RADIANS(A1026)))</f>
        <v/>
      </c>
      <c r="D1026" s="11">
        <f>IF(C1026="","",C1026*(1+B1026/100))</f>
        <v/>
      </c>
      <c r="E1026" s="11">
        <f>IF(A1026="","",$B$6*TAN(RADIANS(A1026)))</f>
        <v/>
      </c>
    </row>
    <row r="1027">
      <c r="A1027" s="10" t="n"/>
      <c r="B1027" s="10" t="n"/>
      <c r="C1027" s="11">
        <f>IF(A1027="","",$B$5*TAN(RADIANS(A1027)))</f>
        <v/>
      </c>
      <c r="D1027" s="11">
        <f>IF(C1027="","",C1027*(1+B1027/100))</f>
        <v/>
      </c>
      <c r="E1027" s="11">
        <f>IF(A1027="","",$B$6*TAN(RADIANS(A1027)))</f>
        <v/>
      </c>
    </row>
    <row r="1028">
      <c r="A1028" s="10" t="n"/>
      <c r="B1028" s="10" t="n"/>
      <c r="C1028" s="11">
        <f>IF(A1028="","",$B$5*TAN(RADIANS(A1028)))</f>
        <v/>
      </c>
      <c r="D1028" s="11">
        <f>IF(C1028="","",C1028*(1+B1028/100))</f>
        <v/>
      </c>
      <c r="E1028" s="11">
        <f>IF(A1028="","",$B$6*TAN(RADIANS(A1028)))</f>
        <v/>
      </c>
    </row>
    <row r="1029">
      <c r="A1029" s="10" t="n"/>
      <c r="B1029" s="10" t="n"/>
      <c r="C1029" s="11">
        <f>IF(A1029="","",$B$5*TAN(RADIANS(A1029)))</f>
        <v/>
      </c>
      <c r="D1029" s="11">
        <f>IF(C1029="","",C1029*(1+B1029/100))</f>
        <v/>
      </c>
      <c r="E1029" s="11">
        <f>IF(A1029="","",$B$6*TAN(RADIANS(A1029)))</f>
        <v/>
      </c>
    </row>
    <row r="1030">
      <c r="A1030" s="10" t="n"/>
      <c r="B1030" s="10" t="n"/>
      <c r="C1030" s="11">
        <f>IF(A1030="","",$B$5*TAN(RADIANS(A1030)))</f>
        <v/>
      </c>
      <c r="D1030" s="11">
        <f>IF(C1030="","",C1030*(1+B1030/100))</f>
        <v/>
      </c>
      <c r="E1030" s="11">
        <f>IF(A1030="","",$B$6*TAN(RADIANS(A1030)))</f>
        <v/>
      </c>
    </row>
    <row r="1031">
      <c r="A1031" s="10" t="n"/>
      <c r="B1031" s="10" t="n"/>
      <c r="C1031" s="11">
        <f>IF(A1031="","",$B$5*TAN(RADIANS(A1031)))</f>
        <v/>
      </c>
      <c r="D1031" s="11">
        <f>IF(C1031="","",C1031*(1+B1031/100))</f>
        <v/>
      </c>
      <c r="E1031" s="11">
        <f>IF(A1031="","",$B$6*TAN(RADIANS(A1031)))</f>
        <v/>
      </c>
    </row>
    <row r="1032">
      <c r="A1032" s="10" t="n"/>
      <c r="B1032" s="10" t="n"/>
      <c r="C1032" s="11">
        <f>IF(A1032="","",$B$5*TAN(RADIANS(A1032)))</f>
        <v/>
      </c>
      <c r="D1032" s="11">
        <f>IF(C1032="","",C1032*(1+B1032/100))</f>
        <v/>
      </c>
      <c r="E1032" s="11">
        <f>IF(A1032="","",$B$6*TAN(RADIANS(A1032)))</f>
        <v/>
      </c>
    </row>
    <row r="1033">
      <c r="A1033" s="10" t="n"/>
      <c r="B1033" s="10" t="n"/>
      <c r="C1033" s="11">
        <f>IF(A1033="","",$B$5*TAN(RADIANS(A1033)))</f>
        <v/>
      </c>
      <c r="D1033" s="11">
        <f>IF(C1033="","",C1033*(1+B1033/100))</f>
        <v/>
      </c>
      <c r="E1033" s="11">
        <f>IF(A1033="","",$B$6*TAN(RADIANS(A1033)))</f>
        <v/>
      </c>
    </row>
    <row r="1034">
      <c r="A1034" s="10" t="n"/>
      <c r="B1034" s="10" t="n"/>
      <c r="C1034" s="11">
        <f>IF(A1034="","",$B$5*TAN(RADIANS(A1034)))</f>
        <v/>
      </c>
      <c r="D1034" s="11">
        <f>IF(C1034="","",C1034*(1+B1034/100))</f>
        <v/>
      </c>
      <c r="E1034" s="11">
        <f>IF(A1034="","",$B$6*TAN(RADIANS(A1034)))</f>
        <v/>
      </c>
    </row>
    <row r="1035">
      <c r="A1035" s="10" t="n"/>
      <c r="B1035" s="10" t="n"/>
      <c r="C1035" s="11">
        <f>IF(A1035="","",$B$5*TAN(RADIANS(A1035)))</f>
        <v/>
      </c>
      <c r="D1035" s="11">
        <f>IF(C1035="","",C1035*(1+B1035/100))</f>
        <v/>
      </c>
      <c r="E1035" s="11">
        <f>IF(A1035="","",$B$6*TAN(RADIANS(A1035)))</f>
        <v/>
      </c>
    </row>
    <row r="1036">
      <c r="A1036" s="10" t="n"/>
      <c r="B1036" s="10" t="n"/>
      <c r="C1036" s="11">
        <f>IF(A1036="","",$B$5*TAN(RADIANS(A1036)))</f>
        <v/>
      </c>
      <c r="D1036" s="11">
        <f>IF(C1036="","",C1036*(1+B1036/100))</f>
        <v/>
      </c>
      <c r="E1036" s="11">
        <f>IF(A1036="","",$B$6*TAN(RADIANS(A1036)))</f>
        <v/>
      </c>
    </row>
    <row r="1037">
      <c r="A1037" s="10" t="n"/>
      <c r="B1037" s="10" t="n"/>
      <c r="C1037" s="11">
        <f>IF(A1037="","",$B$5*TAN(RADIANS(A1037)))</f>
        <v/>
      </c>
      <c r="D1037" s="11">
        <f>IF(C1037="","",C1037*(1+B1037/100))</f>
        <v/>
      </c>
      <c r="E1037" s="11">
        <f>IF(A1037="","",$B$6*TAN(RADIANS(A1037)))</f>
        <v/>
      </c>
    </row>
    <row r="1038">
      <c r="A1038" s="10" t="n"/>
      <c r="B1038" s="10" t="n"/>
      <c r="C1038" s="11">
        <f>IF(A1038="","",$B$5*TAN(RADIANS(A1038)))</f>
        <v/>
      </c>
      <c r="D1038" s="11">
        <f>IF(C1038="","",C1038*(1+B1038/100))</f>
        <v/>
      </c>
      <c r="E1038" s="11">
        <f>IF(A1038="","",$B$6*TAN(RADIANS(A1038)))</f>
        <v/>
      </c>
    </row>
    <row r="1039">
      <c r="A1039" s="10" t="n"/>
      <c r="B1039" s="10" t="n"/>
      <c r="C1039" s="11">
        <f>IF(A1039="","",$B$5*TAN(RADIANS(A1039)))</f>
        <v/>
      </c>
      <c r="D1039" s="11">
        <f>IF(C1039="","",C1039*(1+B1039/100))</f>
        <v/>
      </c>
      <c r="E1039" s="11">
        <f>IF(A1039="","",$B$6*TAN(RADIANS(A1039)))</f>
        <v/>
      </c>
    </row>
    <row r="1040">
      <c r="A1040" s="10" t="n"/>
      <c r="B1040" s="10" t="n"/>
      <c r="C1040" s="11">
        <f>IF(A1040="","",$B$5*TAN(RADIANS(A1040)))</f>
        <v/>
      </c>
      <c r="D1040" s="11">
        <f>IF(C1040="","",C1040*(1+B1040/100))</f>
        <v/>
      </c>
      <c r="E1040" s="11">
        <f>IF(A1040="","",$B$6*TAN(RADIANS(A1040)))</f>
        <v/>
      </c>
    </row>
    <row r="1041">
      <c r="A1041" s="10" t="n"/>
      <c r="B1041" s="10" t="n"/>
      <c r="C1041" s="11">
        <f>IF(A1041="","",$B$5*TAN(RADIANS(A1041)))</f>
        <v/>
      </c>
      <c r="D1041" s="11">
        <f>IF(C1041="","",C1041*(1+B1041/100))</f>
        <v/>
      </c>
      <c r="E1041" s="11">
        <f>IF(A1041="","",$B$6*TAN(RADIANS(A1041)))</f>
        <v/>
      </c>
    </row>
    <row r="1042">
      <c r="A1042" s="10" t="n"/>
      <c r="B1042" s="10" t="n"/>
      <c r="C1042" s="11">
        <f>IF(A1042="","",$B$5*TAN(RADIANS(A1042)))</f>
        <v/>
      </c>
      <c r="D1042" s="11">
        <f>IF(C1042="","",C1042*(1+B1042/100))</f>
        <v/>
      </c>
      <c r="E1042" s="11">
        <f>IF(A1042="","",$B$6*TAN(RADIANS(A1042)))</f>
        <v/>
      </c>
    </row>
    <row r="1043">
      <c r="A1043" s="10" t="n"/>
      <c r="B1043" s="10" t="n"/>
      <c r="C1043" s="11">
        <f>IF(A1043="","",$B$5*TAN(RADIANS(A1043)))</f>
        <v/>
      </c>
      <c r="D1043" s="11">
        <f>IF(C1043="","",C1043*(1+B1043/100))</f>
        <v/>
      </c>
      <c r="E1043" s="11">
        <f>IF(A1043="","",$B$6*TAN(RADIANS(A1043)))</f>
        <v/>
      </c>
    </row>
    <row r="1044">
      <c r="A1044" s="10" t="n"/>
      <c r="B1044" s="10" t="n"/>
      <c r="C1044" s="11">
        <f>IF(A1044="","",$B$5*TAN(RADIANS(A1044)))</f>
        <v/>
      </c>
      <c r="D1044" s="11">
        <f>IF(C1044="","",C1044*(1+B1044/100))</f>
        <v/>
      </c>
      <c r="E1044" s="11">
        <f>IF(A1044="","",$B$6*TAN(RADIANS(A1044)))</f>
        <v/>
      </c>
    </row>
    <row r="1045">
      <c r="A1045" s="10" t="n"/>
      <c r="B1045" s="10" t="n"/>
      <c r="C1045" s="11">
        <f>IF(A1045="","",$B$5*TAN(RADIANS(A1045)))</f>
        <v/>
      </c>
      <c r="D1045" s="11">
        <f>IF(C1045="","",C1045*(1+B1045/100))</f>
        <v/>
      </c>
      <c r="E1045" s="11">
        <f>IF(A1045="","",$B$6*TAN(RADIANS(A1045)))</f>
        <v/>
      </c>
    </row>
    <row r="1046">
      <c r="A1046" s="10" t="n"/>
      <c r="B1046" s="10" t="n"/>
      <c r="C1046" s="11">
        <f>IF(A1046="","",$B$5*TAN(RADIANS(A1046)))</f>
        <v/>
      </c>
      <c r="D1046" s="11">
        <f>IF(C1046="","",C1046*(1+B1046/100))</f>
        <v/>
      </c>
      <c r="E1046" s="11">
        <f>IF(A1046="","",$B$6*TAN(RADIANS(A1046)))</f>
        <v/>
      </c>
    </row>
    <row r="1047">
      <c r="A1047" s="10" t="n"/>
      <c r="B1047" s="10" t="n"/>
      <c r="C1047" s="11">
        <f>IF(A1047="","",$B$5*TAN(RADIANS(A1047)))</f>
        <v/>
      </c>
      <c r="D1047" s="11">
        <f>IF(C1047="","",C1047*(1+B1047/100))</f>
        <v/>
      </c>
      <c r="E1047" s="11">
        <f>IF(A1047="","",$B$6*TAN(RADIANS(A1047)))</f>
        <v/>
      </c>
    </row>
    <row r="1048">
      <c r="A1048" s="10" t="n"/>
      <c r="B1048" s="10" t="n"/>
      <c r="C1048" s="11">
        <f>IF(A1048="","",$B$5*TAN(RADIANS(A1048)))</f>
        <v/>
      </c>
      <c r="D1048" s="11">
        <f>IF(C1048="","",C1048*(1+B1048/100))</f>
        <v/>
      </c>
      <c r="E1048" s="11">
        <f>IF(A1048="","",$B$6*TAN(RADIANS(A1048)))</f>
        <v/>
      </c>
    </row>
    <row r="1049">
      <c r="A1049" s="10" t="n"/>
      <c r="B1049" s="10" t="n"/>
      <c r="C1049" s="11">
        <f>IF(A1049="","",$B$5*TAN(RADIANS(A1049)))</f>
        <v/>
      </c>
      <c r="D1049" s="11">
        <f>IF(C1049="","",C1049*(1+B1049/100))</f>
        <v/>
      </c>
      <c r="E1049" s="11">
        <f>IF(A1049="","",$B$6*TAN(RADIANS(A1049)))</f>
        <v/>
      </c>
    </row>
    <row r="1050">
      <c r="A1050" s="10" t="n"/>
      <c r="B1050" s="10" t="n"/>
      <c r="C1050" s="11">
        <f>IF(A1050="","",$B$5*TAN(RADIANS(A1050)))</f>
        <v/>
      </c>
      <c r="D1050" s="11">
        <f>IF(C1050="","",C1050*(1+B1050/100))</f>
        <v/>
      </c>
      <c r="E1050" s="11">
        <f>IF(A1050="","",$B$6*TAN(RADIANS(A1050)))</f>
        <v/>
      </c>
    </row>
    <row r="1051">
      <c r="A1051" s="10" t="n"/>
      <c r="B1051" s="10" t="n"/>
      <c r="C1051" s="11">
        <f>IF(A1051="","",$B$5*TAN(RADIANS(A1051)))</f>
        <v/>
      </c>
      <c r="D1051" s="11">
        <f>IF(C1051="","",C1051*(1+B1051/100))</f>
        <v/>
      </c>
      <c r="E1051" s="11">
        <f>IF(A1051="","",$B$6*TAN(RADIANS(A1051)))</f>
        <v/>
      </c>
    </row>
    <row r="1052">
      <c r="A1052" s="10" t="n"/>
      <c r="B1052" s="10" t="n"/>
      <c r="C1052" s="11">
        <f>IF(A1052="","",$B$5*TAN(RADIANS(A1052)))</f>
        <v/>
      </c>
      <c r="D1052" s="11">
        <f>IF(C1052="","",C1052*(1+B1052/100))</f>
        <v/>
      </c>
      <c r="E1052" s="11">
        <f>IF(A1052="","",$B$6*TAN(RADIANS(A1052)))</f>
        <v/>
      </c>
    </row>
    <row r="1053">
      <c r="A1053" s="10" t="n"/>
      <c r="B1053" s="10" t="n"/>
      <c r="C1053" s="11">
        <f>IF(A1053="","",$B$5*TAN(RADIANS(A1053)))</f>
        <v/>
      </c>
      <c r="D1053" s="11">
        <f>IF(C1053="","",C1053*(1+B1053/100))</f>
        <v/>
      </c>
      <c r="E1053" s="11">
        <f>IF(A1053="","",$B$6*TAN(RADIANS(A1053)))</f>
        <v/>
      </c>
    </row>
    <row r="1054">
      <c r="A1054" s="10" t="n"/>
      <c r="B1054" s="10" t="n"/>
      <c r="C1054" s="11">
        <f>IF(A1054="","",$B$5*TAN(RADIANS(A1054)))</f>
        <v/>
      </c>
      <c r="D1054" s="11">
        <f>IF(C1054="","",C1054*(1+B1054/100))</f>
        <v/>
      </c>
      <c r="E1054" s="11">
        <f>IF(A1054="","",$B$6*TAN(RADIANS(A1054)))</f>
        <v/>
      </c>
    </row>
    <row r="1055">
      <c r="A1055" s="10" t="n"/>
      <c r="B1055" s="10" t="n"/>
      <c r="C1055" s="11">
        <f>IF(A1055="","",$B$5*TAN(RADIANS(A1055)))</f>
        <v/>
      </c>
      <c r="D1055" s="11">
        <f>IF(C1055="","",C1055*(1+B1055/100))</f>
        <v/>
      </c>
      <c r="E1055" s="11">
        <f>IF(A1055="","",$B$6*TAN(RADIANS(A1055)))</f>
        <v/>
      </c>
    </row>
    <row r="1056">
      <c r="A1056" s="10" t="n"/>
      <c r="B1056" s="10" t="n"/>
      <c r="C1056" s="11">
        <f>IF(A1056="","",$B$5*TAN(RADIANS(A1056)))</f>
        <v/>
      </c>
      <c r="D1056" s="11">
        <f>IF(C1056="","",C1056*(1+B1056/100))</f>
        <v/>
      </c>
      <c r="E1056" s="11">
        <f>IF(A1056="","",$B$6*TAN(RADIANS(A1056)))</f>
        <v/>
      </c>
    </row>
    <row r="1057">
      <c r="A1057" s="10" t="n"/>
      <c r="B1057" s="10" t="n"/>
      <c r="C1057" s="11">
        <f>IF(A1057="","",$B$5*TAN(RADIANS(A1057)))</f>
        <v/>
      </c>
      <c r="D1057" s="11">
        <f>IF(C1057="","",C1057*(1+B1057/100))</f>
        <v/>
      </c>
      <c r="E1057" s="11">
        <f>IF(A1057="","",$B$6*TAN(RADIANS(A1057)))</f>
        <v/>
      </c>
    </row>
    <row r="1058">
      <c r="A1058" s="10" t="n"/>
      <c r="B1058" s="10" t="n"/>
      <c r="C1058" s="11">
        <f>IF(A1058="","",$B$5*TAN(RADIANS(A1058)))</f>
        <v/>
      </c>
      <c r="D1058" s="11">
        <f>IF(C1058="","",C1058*(1+B1058/100))</f>
        <v/>
      </c>
      <c r="E1058" s="11">
        <f>IF(A1058="","",$B$6*TAN(RADIANS(A1058)))</f>
        <v/>
      </c>
    </row>
    <row r="1059">
      <c r="A1059" s="10" t="n"/>
      <c r="B1059" s="10" t="n"/>
      <c r="C1059" s="11">
        <f>IF(A1059="","",$B$5*TAN(RADIANS(A1059)))</f>
        <v/>
      </c>
      <c r="D1059" s="11">
        <f>IF(C1059="","",C1059*(1+B1059/100))</f>
        <v/>
      </c>
      <c r="E1059" s="11">
        <f>IF(A1059="","",$B$6*TAN(RADIANS(A1059)))</f>
        <v/>
      </c>
    </row>
    <row r="1060">
      <c r="A1060" s="10" t="n"/>
      <c r="B1060" s="10" t="n"/>
      <c r="C1060" s="11">
        <f>IF(A1060="","",$B$5*TAN(RADIANS(A1060)))</f>
        <v/>
      </c>
      <c r="D1060" s="11">
        <f>IF(C1060="","",C1060*(1+B1060/100))</f>
        <v/>
      </c>
      <c r="E1060" s="11">
        <f>IF(A1060="","",$B$6*TAN(RADIANS(A1060)))</f>
        <v/>
      </c>
    </row>
    <row r="1061">
      <c r="A1061" s="10" t="n"/>
      <c r="B1061" s="10" t="n"/>
      <c r="C1061" s="11">
        <f>IF(A1061="","",$B$5*TAN(RADIANS(A1061)))</f>
        <v/>
      </c>
      <c r="D1061" s="11">
        <f>IF(C1061="","",C1061*(1+B1061/100))</f>
        <v/>
      </c>
      <c r="E1061" s="11">
        <f>IF(A1061="","",$B$6*TAN(RADIANS(A1061)))</f>
        <v/>
      </c>
    </row>
    <row r="1062">
      <c r="A1062" s="10" t="n"/>
      <c r="B1062" s="10" t="n"/>
      <c r="C1062" s="11">
        <f>IF(A1062="","",$B$5*TAN(RADIANS(A1062)))</f>
        <v/>
      </c>
      <c r="D1062" s="11">
        <f>IF(C1062="","",C1062*(1+B1062/100))</f>
        <v/>
      </c>
      <c r="E1062" s="11">
        <f>IF(A1062="","",$B$6*TAN(RADIANS(A1062)))</f>
        <v/>
      </c>
    </row>
    <row r="1063">
      <c r="A1063" s="10" t="n"/>
      <c r="B1063" s="10" t="n"/>
      <c r="C1063" s="11">
        <f>IF(A1063="","",$B$5*TAN(RADIANS(A1063)))</f>
        <v/>
      </c>
      <c r="D1063" s="11">
        <f>IF(C1063="","",C1063*(1+B1063/100))</f>
        <v/>
      </c>
      <c r="E1063" s="11">
        <f>IF(A1063="","",$B$6*TAN(RADIANS(A1063)))</f>
        <v/>
      </c>
    </row>
    <row r="1064">
      <c r="A1064" s="10" t="n"/>
      <c r="B1064" s="10" t="n"/>
      <c r="C1064" s="11">
        <f>IF(A1064="","",$B$5*TAN(RADIANS(A1064)))</f>
        <v/>
      </c>
      <c r="D1064" s="11">
        <f>IF(C1064="","",C1064*(1+B1064/100))</f>
        <v/>
      </c>
      <c r="E1064" s="11">
        <f>IF(A1064="","",$B$6*TAN(RADIANS(A1064)))</f>
        <v/>
      </c>
    </row>
    <row r="1065">
      <c r="A1065" s="10" t="n"/>
      <c r="B1065" s="10" t="n"/>
      <c r="C1065" s="11">
        <f>IF(A1065="","",$B$5*TAN(RADIANS(A1065)))</f>
        <v/>
      </c>
      <c r="D1065" s="11">
        <f>IF(C1065="","",C1065*(1+B1065/100))</f>
        <v/>
      </c>
      <c r="E1065" s="11">
        <f>IF(A1065="","",$B$6*TAN(RADIANS(A1065)))</f>
        <v/>
      </c>
    </row>
    <row r="1066">
      <c r="A1066" s="10" t="n"/>
      <c r="B1066" s="10" t="n"/>
      <c r="C1066" s="11">
        <f>IF(A1066="","",$B$5*TAN(RADIANS(A1066)))</f>
        <v/>
      </c>
      <c r="D1066" s="11">
        <f>IF(C1066="","",C1066*(1+B1066/100))</f>
        <v/>
      </c>
      <c r="E1066" s="11">
        <f>IF(A1066="","",$B$6*TAN(RADIANS(A1066)))</f>
        <v/>
      </c>
    </row>
    <row r="1067">
      <c r="A1067" s="10" t="n"/>
      <c r="B1067" s="10" t="n"/>
      <c r="C1067" s="11">
        <f>IF(A1067="","",$B$5*TAN(RADIANS(A1067)))</f>
        <v/>
      </c>
      <c r="D1067" s="11">
        <f>IF(C1067="","",C1067*(1+B1067/100))</f>
        <v/>
      </c>
      <c r="E1067" s="11">
        <f>IF(A1067="","",$B$6*TAN(RADIANS(A1067)))</f>
        <v/>
      </c>
    </row>
    <row r="1068">
      <c r="A1068" s="10" t="n"/>
      <c r="B1068" s="10" t="n"/>
      <c r="C1068" s="11">
        <f>IF(A1068="","",$B$5*TAN(RADIANS(A1068)))</f>
        <v/>
      </c>
      <c r="D1068" s="11">
        <f>IF(C1068="","",C1068*(1+B1068/100))</f>
        <v/>
      </c>
      <c r="E1068" s="11">
        <f>IF(A1068="","",$B$6*TAN(RADIANS(A1068)))</f>
        <v/>
      </c>
    </row>
    <row r="1069">
      <c r="A1069" s="10" t="n"/>
      <c r="B1069" s="10" t="n"/>
      <c r="C1069" s="11">
        <f>IF(A1069="","",$B$5*TAN(RADIANS(A1069)))</f>
        <v/>
      </c>
      <c r="D1069" s="11">
        <f>IF(C1069="","",C1069*(1+B1069/100))</f>
        <v/>
      </c>
      <c r="E1069" s="11">
        <f>IF(A1069="","",$B$6*TAN(RADIANS(A1069)))</f>
        <v/>
      </c>
    </row>
    <row r="1070">
      <c r="A1070" s="10" t="n"/>
      <c r="B1070" s="10" t="n"/>
      <c r="C1070" s="11">
        <f>IF(A1070="","",$B$5*TAN(RADIANS(A1070)))</f>
        <v/>
      </c>
      <c r="D1070" s="11">
        <f>IF(C1070="","",C1070*(1+B1070/100))</f>
        <v/>
      </c>
      <c r="E1070" s="11">
        <f>IF(A1070="","",$B$6*TAN(RADIANS(A1070)))</f>
        <v/>
      </c>
    </row>
    <row r="1071">
      <c r="A1071" s="10" t="n"/>
      <c r="B1071" s="10" t="n"/>
      <c r="C1071" s="11">
        <f>IF(A1071="","",$B$5*TAN(RADIANS(A1071)))</f>
        <v/>
      </c>
      <c r="D1071" s="11">
        <f>IF(C1071="","",C1071*(1+B1071/100))</f>
        <v/>
      </c>
      <c r="E1071" s="11">
        <f>IF(A1071="","",$B$6*TAN(RADIANS(A1071)))</f>
        <v/>
      </c>
    </row>
    <row r="1072">
      <c r="A1072" s="10" t="n"/>
      <c r="B1072" s="10" t="n"/>
      <c r="C1072" s="11">
        <f>IF(A1072="","",$B$5*TAN(RADIANS(A1072)))</f>
        <v/>
      </c>
      <c r="D1072" s="11">
        <f>IF(C1072="","",C1072*(1+B1072/100))</f>
        <v/>
      </c>
      <c r="E1072" s="11">
        <f>IF(A1072="","",$B$6*TAN(RADIANS(A1072)))</f>
        <v/>
      </c>
    </row>
    <row r="1073">
      <c r="A1073" s="10" t="n"/>
      <c r="B1073" s="10" t="n"/>
      <c r="C1073" s="11">
        <f>IF(A1073="","",$B$5*TAN(RADIANS(A1073)))</f>
        <v/>
      </c>
      <c r="D1073" s="11">
        <f>IF(C1073="","",C1073*(1+B1073/100))</f>
        <v/>
      </c>
      <c r="E1073" s="11">
        <f>IF(A1073="","",$B$6*TAN(RADIANS(A1073)))</f>
        <v/>
      </c>
    </row>
    <row r="1074">
      <c r="A1074" s="10" t="n"/>
      <c r="B1074" s="10" t="n"/>
      <c r="C1074" s="11">
        <f>IF(A1074="","",$B$5*TAN(RADIANS(A1074)))</f>
        <v/>
      </c>
      <c r="D1074" s="11">
        <f>IF(C1074="","",C1074*(1+B1074/100))</f>
        <v/>
      </c>
      <c r="E1074" s="11">
        <f>IF(A1074="","",$B$6*TAN(RADIANS(A1074)))</f>
        <v/>
      </c>
    </row>
    <row r="1075">
      <c r="A1075" s="10" t="n"/>
      <c r="B1075" s="10" t="n"/>
      <c r="C1075" s="11">
        <f>IF(A1075="","",$B$5*TAN(RADIANS(A1075)))</f>
        <v/>
      </c>
      <c r="D1075" s="11">
        <f>IF(C1075="","",C1075*(1+B1075/100))</f>
        <v/>
      </c>
      <c r="E1075" s="11">
        <f>IF(A1075="","",$B$6*TAN(RADIANS(A1075)))</f>
        <v/>
      </c>
    </row>
    <row r="1076">
      <c r="A1076" s="10" t="n"/>
      <c r="B1076" s="10" t="n"/>
      <c r="C1076" s="11">
        <f>IF(A1076="","",$B$5*TAN(RADIANS(A1076)))</f>
        <v/>
      </c>
      <c r="D1076" s="11">
        <f>IF(C1076="","",C1076*(1+B1076/100))</f>
        <v/>
      </c>
      <c r="E1076" s="11">
        <f>IF(A1076="","",$B$6*TAN(RADIANS(A1076)))</f>
        <v/>
      </c>
    </row>
    <row r="1077">
      <c r="A1077" s="10" t="n"/>
      <c r="B1077" s="10" t="n"/>
      <c r="C1077" s="11">
        <f>IF(A1077="","",$B$5*TAN(RADIANS(A1077)))</f>
        <v/>
      </c>
      <c r="D1077" s="11">
        <f>IF(C1077="","",C1077*(1+B1077/100))</f>
        <v/>
      </c>
      <c r="E1077" s="11">
        <f>IF(A1077="","",$B$6*TAN(RADIANS(A1077)))</f>
        <v/>
      </c>
    </row>
    <row r="1078">
      <c r="A1078" s="10" t="n"/>
      <c r="B1078" s="10" t="n"/>
      <c r="C1078" s="11">
        <f>IF(A1078="","",$B$5*TAN(RADIANS(A1078)))</f>
        <v/>
      </c>
      <c r="D1078" s="11">
        <f>IF(C1078="","",C1078*(1+B1078/100))</f>
        <v/>
      </c>
      <c r="E1078" s="11">
        <f>IF(A1078="","",$B$6*TAN(RADIANS(A1078)))</f>
        <v/>
      </c>
    </row>
    <row r="1079">
      <c r="A1079" s="10" t="n"/>
      <c r="B1079" s="10" t="n"/>
      <c r="C1079" s="11">
        <f>IF(A1079="","",$B$5*TAN(RADIANS(A1079)))</f>
        <v/>
      </c>
      <c r="D1079" s="11">
        <f>IF(C1079="","",C1079*(1+B1079/100))</f>
        <v/>
      </c>
      <c r="E1079" s="11">
        <f>IF(A1079="","",$B$6*TAN(RADIANS(A1079)))</f>
        <v/>
      </c>
    </row>
    <row r="1080">
      <c r="A1080" s="10" t="n"/>
      <c r="B1080" s="10" t="n"/>
      <c r="C1080" s="11">
        <f>IF(A1080="","",$B$5*TAN(RADIANS(A1080)))</f>
        <v/>
      </c>
      <c r="D1080" s="11">
        <f>IF(C1080="","",C1080*(1+B1080/100))</f>
        <v/>
      </c>
      <c r="E1080" s="11">
        <f>IF(A1080="","",$B$6*TAN(RADIANS(A1080)))</f>
        <v/>
      </c>
    </row>
    <row r="1081">
      <c r="A1081" s="10" t="n"/>
      <c r="B1081" s="10" t="n"/>
      <c r="C1081" s="11">
        <f>IF(A1081="","",$B$5*TAN(RADIANS(A1081)))</f>
        <v/>
      </c>
      <c r="D1081" s="11">
        <f>IF(C1081="","",C1081*(1+B1081/100))</f>
        <v/>
      </c>
      <c r="E1081" s="11">
        <f>IF(A1081="","",$B$6*TAN(RADIANS(A1081)))</f>
        <v/>
      </c>
    </row>
    <row r="1082">
      <c r="A1082" s="10" t="n"/>
      <c r="B1082" s="10" t="n"/>
      <c r="C1082" s="11">
        <f>IF(A1082="","",$B$5*TAN(RADIANS(A1082)))</f>
        <v/>
      </c>
      <c r="D1082" s="11">
        <f>IF(C1082="","",C1082*(1+B1082/100))</f>
        <v/>
      </c>
      <c r="E1082" s="11">
        <f>IF(A1082="","",$B$6*TAN(RADIANS(A1082)))</f>
        <v/>
      </c>
    </row>
    <row r="1083">
      <c r="A1083" s="10" t="n"/>
      <c r="B1083" s="10" t="n"/>
      <c r="C1083" s="11">
        <f>IF(A1083="","",$B$5*TAN(RADIANS(A1083)))</f>
        <v/>
      </c>
      <c r="D1083" s="11">
        <f>IF(C1083="","",C1083*(1+B1083/100))</f>
        <v/>
      </c>
      <c r="E1083" s="11">
        <f>IF(A1083="","",$B$6*TAN(RADIANS(A1083)))</f>
        <v/>
      </c>
    </row>
    <row r="1084">
      <c r="A1084" s="10" t="n"/>
      <c r="B1084" s="10" t="n"/>
      <c r="C1084" s="11">
        <f>IF(A1084="","",$B$5*TAN(RADIANS(A1084)))</f>
        <v/>
      </c>
      <c r="D1084" s="11">
        <f>IF(C1084="","",C1084*(1+B1084/100))</f>
        <v/>
      </c>
      <c r="E1084" s="11">
        <f>IF(A1084="","",$B$6*TAN(RADIANS(A1084)))</f>
        <v/>
      </c>
    </row>
    <row r="1085">
      <c r="A1085" s="10" t="n"/>
      <c r="B1085" s="10" t="n"/>
      <c r="C1085" s="11">
        <f>IF(A1085="","",$B$5*TAN(RADIANS(A1085)))</f>
        <v/>
      </c>
      <c r="D1085" s="11">
        <f>IF(C1085="","",C1085*(1+B1085/100))</f>
        <v/>
      </c>
      <c r="E1085" s="11">
        <f>IF(A1085="","",$B$6*TAN(RADIANS(A1085)))</f>
        <v/>
      </c>
    </row>
    <row r="1086">
      <c r="A1086" s="10" t="n"/>
      <c r="B1086" s="10" t="n"/>
      <c r="C1086" s="11">
        <f>IF(A1086="","",$B$5*TAN(RADIANS(A1086)))</f>
        <v/>
      </c>
      <c r="D1086" s="11">
        <f>IF(C1086="","",C1086*(1+B1086/100))</f>
        <v/>
      </c>
      <c r="E1086" s="11">
        <f>IF(A1086="","",$B$6*TAN(RADIANS(A1086)))</f>
        <v/>
      </c>
    </row>
    <row r="1087">
      <c r="A1087" s="10" t="n"/>
      <c r="B1087" s="10" t="n"/>
      <c r="C1087" s="11">
        <f>IF(A1087="","",$B$5*TAN(RADIANS(A1087)))</f>
        <v/>
      </c>
      <c r="D1087" s="11">
        <f>IF(C1087="","",C1087*(1+B1087/100))</f>
        <v/>
      </c>
      <c r="E1087" s="11">
        <f>IF(A1087="","",$B$6*TAN(RADIANS(A1087)))</f>
        <v/>
      </c>
    </row>
    <row r="1088">
      <c r="A1088" s="10" t="n"/>
      <c r="B1088" s="10" t="n"/>
      <c r="C1088" s="11">
        <f>IF(A1088="","",$B$5*TAN(RADIANS(A1088)))</f>
        <v/>
      </c>
      <c r="D1088" s="11">
        <f>IF(C1088="","",C1088*(1+B1088/100))</f>
        <v/>
      </c>
      <c r="E1088" s="11">
        <f>IF(A1088="","",$B$6*TAN(RADIANS(A1088)))</f>
        <v/>
      </c>
    </row>
    <row r="1089">
      <c r="A1089" s="10" t="n"/>
      <c r="B1089" s="10" t="n"/>
      <c r="C1089" s="11">
        <f>IF(A1089="","",$B$5*TAN(RADIANS(A1089)))</f>
        <v/>
      </c>
      <c r="D1089" s="11">
        <f>IF(C1089="","",C1089*(1+B1089/100))</f>
        <v/>
      </c>
      <c r="E1089" s="11">
        <f>IF(A1089="","",$B$6*TAN(RADIANS(A1089)))</f>
        <v/>
      </c>
    </row>
    <row r="1090">
      <c r="A1090" s="10" t="n"/>
      <c r="B1090" s="10" t="n"/>
      <c r="C1090" s="11">
        <f>IF(A1090="","",$B$5*TAN(RADIANS(A1090)))</f>
        <v/>
      </c>
      <c r="D1090" s="11">
        <f>IF(C1090="","",C1090*(1+B1090/100))</f>
        <v/>
      </c>
      <c r="E1090" s="11">
        <f>IF(A1090="","",$B$6*TAN(RADIANS(A1090)))</f>
        <v/>
      </c>
    </row>
    <row r="1091">
      <c r="A1091" s="10" t="n"/>
      <c r="B1091" s="10" t="n"/>
      <c r="C1091" s="11">
        <f>IF(A1091="","",$B$5*TAN(RADIANS(A1091)))</f>
        <v/>
      </c>
      <c r="D1091" s="11">
        <f>IF(C1091="","",C1091*(1+B1091/100))</f>
        <v/>
      </c>
      <c r="E1091" s="11">
        <f>IF(A1091="","",$B$6*TAN(RADIANS(A1091)))</f>
        <v/>
      </c>
    </row>
    <row r="1092">
      <c r="A1092" s="10" t="n"/>
      <c r="B1092" s="10" t="n"/>
      <c r="C1092" s="11">
        <f>IF(A1092="","",$B$5*TAN(RADIANS(A1092)))</f>
        <v/>
      </c>
      <c r="D1092" s="11">
        <f>IF(C1092="","",C1092*(1+B1092/100))</f>
        <v/>
      </c>
      <c r="E1092" s="11">
        <f>IF(A1092="","",$B$6*TAN(RADIANS(A1092)))</f>
        <v/>
      </c>
    </row>
    <row r="1093">
      <c r="A1093" s="10" t="n"/>
      <c r="B1093" s="10" t="n"/>
      <c r="C1093" s="11">
        <f>IF(A1093="","",$B$5*TAN(RADIANS(A1093)))</f>
        <v/>
      </c>
      <c r="D1093" s="11">
        <f>IF(C1093="","",C1093*(1+B1093/100))</f>
        <v/>
      </c>
      <c r="E1093" s="11">
        <f>IF(A1093="","",$B$6*TAN(RADIANS(A1093)))</f>
        <v/>
      </c>
    </row>
    <row r="1094">
      <c r="A1094" s="10" t="n"/>
      <c r="B1094" s="10" t="n"/>
      <c r="C1094" s="11">
        <f>IF(A1094="","",$B$5*TAN(RADIANS(A1094)))</f>
        <v/>
      </c>
      <c r="D1094" s="11">
        <f>IF(C1094="","",C1094*(1+B1094/100))</f>
        <v/>
      </c>
      <c r="E1094" s="11">
        <f>IF(A1094="","",$B$6*TAN(RADIANS(A1094)))</f>
        <v/>
      </c>
    </row>
    <row r="1095">
      <c r="A1095" s="10" t="n"/>
      <c r="B1095" s="10" t="n"/>
      <c r="C1095" s="11">
        <f>IF(A1095="","",$B$5*TAN(RADIANS(A1095)))</f>
        <v/>
      </c>
      <c r="D1095" s="11">
        <f>IF(C1095="","",C1095*(1+B1095/100))</f>
        <v/>
      </c>
      <c r="E1095" s="11">
        <f>IF(A1095="","",$B$6*TAN(RADIANS(A1095)))</f>
        <v/>
      </c>
    </row>
    <row r="1096">
      <c r="A1096" s="10" t="n"/>
      <c r="B1096" s="10" t="n"/>
      <c r="C1096" s="11">
        <f>IF(A1096="","",$B$5*TAN(RADIANS(A1096)))</f>
        <v/>
      </c>
      <c r="D1096" s="11">
        <f>IF(C1096="","",C1096*(1+B1096/100))</f>
        <v/>
      </c>
      <c r="E1096" s="11">
        <f>IF(A1096="","",$B$6*TAN(RADIANS(A1096)))</f>
        <v/>
      </c>
    </row>
    <row r="1097">
      <c r="A1097" s="10" t="n"/>
      <c r="B1097" s="10" t="n"/>
      <c r="C1097" s="11">
        <f>IF(A1097="","",$B$5*TAN(RADIANS(A1097)))</f>
        <v/>
      </c>
      <c r="D1097" s="11">
        <f>IF(C1097="","",C1097*(1+B1097/100))</f>
        <v/>
      </c>
      <c r="E1097" s="11">
        <f>IF(A1097="","",$B$6*TAN(RADIANS(A1097)))</f>
        <v/>
      </c>
    </row>
    <row r="1098">
      <c r="A1098" s="10" t="n"/>
      <c r="B1098" s="10" t="n"/>
      <c r="C1098" s="11">
        <f>IF(A1098="","",$B$5*TAN(RADIANS(A1098)))</f>
        <v/>
      </c>
      <c r="D1098" s="11">
        <f>IF(C1098="","",C1098*(1+B1098/100))</f>
        <v/>
      </c>
      <c r="E1098" s="11">
        <f>IF(A1098="","",$B$6*TAN(RADIANS(A1098)))</f>
        <v/>
      </c>
    </row>
    <row r="1099">
      <c r="A1099" s="10" t="n"/>
      <c r="B1099" s="10" t="n"/>
      <c r="C1099" s="11">
        <f>IF(A1099="","",$B$5*TAN(RADIANS(A1099)))</f>
        <v/>
      </c>
      <c r="D1099" s="11">
        <f>IF(C1099="","",C1099*(1+B1099/100))</f>
        <v/>
      </c>
      <c r="E1099" s="11">
        <f>IF(A1099="","",$B$6*TAN(RADIANS(A1099)))</f>
        <v/>
      </c>
    </row>
    <row r="1100">
      <c r="A1100" s="10" t="n"/>
      <c r="B1100" s="10" t="n"/>
      <c r="C1100" s="11">
        <f>IF(A1100="","",$B$5*TAN(RADIANS(A1100)))</f>
        <v/>
      </c>
      <c r="D1100" s="11">
        <f>IF(C1100="","",C1100*(1+B1100/100))</f>
        <v/>
      </c>
      <c r="E1100" s="11">
        <f>IF(A1100="","",$B$6*TAN(RADIANS(A1100)))</f>
        <v/>
      </c>
    </row>
    <row r="1101">
      <c r="A1101" s="10" t="n"/>
      <c r="B1101" s="10" t="n"/>
      <c r="C1101" s="11">
        <f>IF(A1101="","",$B$5*TAN(RADIANS(A1101)))</f>
        <v/>
      </c>
      <c r="D1101" s="11">
        <f>IF(C1101="","",C1101*(1+B1101/100))</f>
        <v/>
      </c>
      <c r="E1101" s="11">
        <f>IF(A1101="","",$B$6*TAN(RADIANS(A1101)))</f>
        <v/>
      </c>
    </row>
    <row r="1102">
      <c r="A1102" s="10" t="n"/>
      <c r="B1102" s="10" t="n"/>
      <c r="C1102" s="11">
        <f>IF(A1102="","",$B$5*TAN(RADIANS(A1102)))</f>
        <v/>
      </c>
      <c r="D1102" s="11">
        <f>IF(C1102="","",C1102*(1+B1102/100))</f>
        <v/>
      </c>
      <c r="E1102" s="11">
        <f>IF(A1102="","",$B$6*TAN(RADIANS(A1102)))</f>
        <v/>
      </c>
    </row>
    <row r="1103">
      <c r="A1103" s="10" t="n"/>
      <c r="B1103" s="10" t="n"/>
      <c r="C1103" s="11">
        <f>IF(A1103="","",$B$5*TAN(RADIANS(A1103)))</f>
        <v/>
      </c>
      <c r="D1103" s="11">
        <f>IF(C1103="","",C1103*(1+B1103/100))</f>
        <v/>
      </c>
      <c r="E1103" s="11">
        <f>IF(A1103="","",$B$6*TAN(RADIANS(A1103)))</f>
        <v/>
      </c>
    </row>
    <row r="1104">
      <c r="A1104" s="10" t="n"/>
      <c r="B1104" s="10" t="n"/>
      <c r="C1104" s="11">
        <f>IF(A1104="","",$B$5*TAN(RADIANS(A1104)))</f>
        <v/>
      </c>
      <c r="D1104" s="11">
        <f>IF(C1104="","",C1104*(1+B1104/100))</f>
        <v/>
      </c>
      <c r="E1104" s="11">
        <f>IF(A1104="","",$B$6*TAN(RADIANS(A1104)))</f>
        <v/>
      </c>
    </row>
    <row r="1105">
      <c r="A1105" s="10" t="n"/>
      <c r="B1105" s="10" t="n"/>
      <c r="C1105" s="11">
        <f>IF(A1105="","",$B$5*TAN(RADIANS(A1105)))</f>
        <v/>
      </c>
      <c r="D1105" s="11">
        <f>IF(C1105="","",C1105*(1+B1105/100))</f>
        <v/>
      </c>
      <c r="E1105" s="11">
        <f>IF(A1105="","",$B$6*TAN(RADIANS(A1105)))</f>
        <v/>
      </c>
    </row>
    <row r="1106">
      <c r="A1106" s="10" t="n"/>
      <c r="B1106" s="10" t="n"/>
      <c r="C1106" s="11">
        <f>IF(A1106="","",$B$5*TAN(RADIANS(A1106)))</f>
        <v/>
      </c>
      <c r="D1106" s="11">
        <f>IF(C1106="","",C1106*(1+B1106/100))</f>
        <v/>
      </c>
      <c r="E1106" s="11">
        <f>IF(A1106="","",$B$6*TAN(RADIANS(A1106)))</f>
        <v/>
      </c>
    </row>
    <row r="1107">
      <c r="A1107" s="10" t="n"/>
      <c r="B1107" s="10" t="n"/>
      <c r="C1107" s="11">
        <f>IF(A1107="","",$B$5*TAN(RADIANS(A1107)))</f>
        <v/>
      </c>
      <c r="D1107" s="11">
        <f>IF(C1107="","",C1107*(1+B1107/100))</f>
        <v/>
      </c>
      <c r="E1107" s="11">
        <f>IF(A1107="","",$B$6*TAN(RADIANS(A1107)))</f>
        <v/>
      </c>
    </row>
    <row r="1108">
      <c r="A1108" s="10" t="n"/>
      <c r="B1108" s="10" t="n"/>
      <c r="C1108" s="11">
        <f>IF(A1108="","",$B$5*TAN(RADIANS(A1108)))</f>
        <v/>
      </c>
      <c r="D1108" s="11">
        <f>IF(C1108="","",C1108*(1+B1108/100))</f>
        <v/>
      </c>
      <c r="E1108" s="11">
        <f>IF(A1108="","",$B$6*TAN(RADIANS(A1108)))</f>
        <v/>
      </c>
    </row>
    <row r="1109">
      <c r="A1109" s="10" t="n"/>
      <c r="B1109" s="10" t="n"/>
      <c r="C1109" s="11">
        <f>IF(A1109="","",$B$5*TAN(RADIANS(A1109)))</f>
        <v/>
      </c>
      <c r="D1109" s="11">
        <f>IF(C1109="","",C1109*(1+B1109/100))</f>
        <v/>
      </c>
      <c r="E1109" s="11">
        <f>IF(A1109="","",$B$6*TAN(RADIANS(A1109)))</f>
        <v/>
      </c>
    </row>
    <row r="1110">
      <c r="A1110" s="10" t="n"/>
      <c r="B1110" s="10" t="n"/>
      <c r="C1110" s="11">
        <f>IF(A1110="","",$B$5*TAN(RADIANS(A1110)))</f>
        <v/>
      </c>
      <c r="D1110" s="11">
        <f>IF(C1110="","",C1110*(1+B1110/100))</f>
        <v/>
      </c>
      <c r="E1110" s="11">
        <f>IF(A1110="","",$B$6*TAN(RADIANS(A1110)))</f>
        <v/>
      </c>
    </row>
    <row r="1111">
      <c r="A1111" s="10" t="n"/>
      <c r="B1111" s="10" t="n"/>
      <c r="C1111" s="11">
        <f>IF(A1111="","",$B$5*TAN(RADIANS(A1111)))</f>
        <v/>
      </c>
      <c r="D1111" s="11">
        <f>IF(C1111="","",C1111*(1+B1111/100))</f>
        <v/>
      </c>
      <c r="E1111" s="11">
        <f>IF(A1111="","",$B$6*TAN(RADIANS(A1111)))</f>
        <v/>
      </c>
    </row>
    <row r="1112">
      <c r="A1112" s="10" t="n"/>
      <c r="B1112" s="10" t="n"/>
      <c r="C1112" s="11">
        <f>IF(A1112="","",$B$5*TAN(RADIANS(A1112)))</f>
        <v/>
      </c>
      <c r="D1112" s="11">
        <f>IF(C1112="","",C1112*(1+B1112/100))</f>
        <v/>
      </c>
      <c r="E1112" s="11">
        <f>IF(A1112="","",$B$6*TAN(RADIANS(A1112)))</f>
        <v/>
      </c>
    </row>
    <row r="1113">
      <c r="A1113" s="10" t="n"/>
      <c r="B1113" s="10" t="n"/>
      <c r="C1113" s="11">
        <f>IF(A1113="","",$B$5*TAN(RADIANS(A1113)))</f>
        <v/>
      </c>
      <c r="D1113" s="11">
        <f>IF(C1113="","",C1113*(1+B1113/100))</f>
        <v/>
      </c>
      <c r="E1113" s="11">
        <f>IF(A1113="","",$B$6*TAN(RADIANS(A1113)))</f>
        <v/>
      </c>
    </row>
    <row r="1114">
      <c r="A1114" s="10" t="n"/>
      <c r="B1114" s="10" t="n"/>
      <c r="C1114" s="11">
        <f>IF(A1114="","",$B$5*TAN(RADIANS(A1114)))</f>
        <v/>
      </c>
      <c r="D1114" s="11">
        <f>IF(C1114="","",C1114*(1+B1114/100))</f>
        <v/>
      </c>
      <c r="E1114" s="11">
        <f>IF(A1114="","",$B$6*TAN(RADIANS(A1114)))</f>
        <v/>
      </c>
    </row>
    <row r="1115">
      <c r="A1115" s="10" t="n"/>
      <c r="B1115" s="10" t="n"/>
      <c r="C1115" s="11">
        <f>IF(A1115="","",$B$5*TAN(RADIANS(A1115)))</f>
        <v/>
      </c>
      <c r="D1115" s="11">
        <f>IF(C1115="","",C1115*(1+B1115/100))</f>
        <v/>
      </c>
      <c r="E1115" s="11">
        <f>IF(A1115="","",$B$6*TAN(RADIANS(A1115)))</f>
        <v/>
      </c>
    </row>
    <row r="1116">
      <c r="A1116" s="10" t="n"/>
      <c r="B1116" s="10" t="n"/>
      <c r="C1116" s="11">
        <f>IF(A1116="","",$B$5*TAN(RADIANS(A1116)))</f>
        <v/>
      </c>
      <c r="D1116" s="11">
        <f>IF(C1116="","",C1116*(1+B1116/100))</f>
        <v/>
      </c>
      <c r="E1116" s="11">
        <f>IF(A1116="","",$B$6*TAN(RADIANS(A1116)))</f>
        <v/>
      </c>
    </row>
    <row r="1117">
      <c r="A1117" s="10" t="n"/>
      <c r="B1117" s="10" t="n"/>
      <c r="C1117" s="11">
        <f>IF(A1117="","",$B$5*TAN(RADIANS(A1117)))</f>
        <v/>
      </c>
      <c r="D1117" s="11">
        <f>IF(C1117="","",C1117*(1+B1117/100))</f>
        <v/>
      </c>
      <c r="E1117" s="11">
        <f>IF(A1117="","",$B$6*TAN(RADIANS(A1117)))</f>
        <v/>
      </c>
    </row>
    <row r="1118">
      <c r="A1118" s="10" t="n"/>
      <c r="B1118" s="10" t="n"/>
      <c r="C1118" s="11">
        <f>IF(A1118="","",$B$5*TAN(RADIANS(A1118)))</f>
        <v/>
      </c>
      <c r="D1118" s="11">
        <f>IF(C1118="","",C1118*(1+B1118/100))</f>
        <v/>
      </c>
      <c r="E1118" s="11">
        <f>IF(A1118="","",$B$6*TAN(RADIANS(A1118)))</f>
        <v/>
      </c>
    </row>
    <row r="1119">
      <c r="A1119" s="10" t="n"/>
      <c r="B1119" s="10" t="n"/>
      <c r="C1119" s="11">
        <f>IF(A1119="","",$B$5*TAN(RADIANS(A1119)))</f>
        <v/>
      </c>
      <c r="D1119" s="11">
        <f>IF(C1119="","",C1119*(1+B1119/100))</f>
        <v/>
      </c>
      <c r="E1119" s="11">
        <f>IF(A1119="","",$B$6*TAN(RADIANS(A1119)))</f>
        <v/>
      </c>
    </row>
    <row r="1120">
      <c r="A1120" s="10" t="n"/>
      <c r="B1120" s="10" t="n"/>
      <c r="C1120" s="11">
        <f>IF(A1120="","",$B$5*TAN(RADIANS(A1120)))</f>
        <v/>
      </c>
      <c r="D1120" s="11">
        <f>IF(C1120="","",C1120*(1+B1120/100))</f>
        <v/>
      </c>
      <c r="E1120" s="11">
        <f>IF(A1120="","",$B$6*TAN(RADIANS(A1120)))</f>
        <v/>
      </c>
    </row>
    <row r="1121">
      <c r="A1121" s="10" t="n"/>
      <c r="B1121" s="10" t="n"/>
      <c r="C1121" s="11">
        <f>IF(A1121="","",$B$5*TAN(RADIANS(A1121)))</f>
        <v/>
      </c>
      <c r="D1121" s="11">
        <f>IF(C1121="","",C1121*(1+B1121/100))</f>
        <v/>
      </c>
      <c r="E1121" s="11">
        <f>IF(A1121="","",$B$6*TAN(RADIANS(A1121)))</f>
        <v/>
      </c>
    </row>
    <row r="1122">
      <c r="A1122" s="10" t="n"/>
      <c r="B1122" s="10" t="n"/>
      <c r="C1122" s="11">
        <f>IF(A1122="","",$B$5*TAN(RADIANS(A1122)))</f>
        <v/>
      </c>
      <c r="D1122" s="11">
        <f>IF(C1122="","",C1122*(1+B1122/100))</f>
        <v/>
      </c>
      <c r="E1122" s="11">
        <f>IF(A1122="","",$B$6*TAN(RADIANS(A1122)))</f>
        <v/>
      </c>
    </row>
    <row r="1123">
      <c r="A1123" s="10" t="n"/>
      <c r="B1123" s="10" t="n"/>
      <c r="C1123" s="11">
        <f>IF(A1123="","",$B$5*TAN(RADIANS(A1123)))</f>
        <v/>
      </c>
      <c r="D1123" s="11">
        <f>IF(C1123="","",C1123*(1+B1123/100))</f>
        <v/>
      </c>
      <c r="E1123" s="11">
        <f>IF(A1123="","",$B$6*TAN(RADIANS(A1123)))</f>
        <v/>
      </c>
    </row>
    <row r="1124">
      <c r="A1124" s="10" t="n"/>
      <c r="B1124" s="10" t="n"/>
      <c r="C1124" s="11">
        <f>IF(A1124="","",$B$5*TAN(RADIANS(A1124)))</f>
        <v/>
      </c>
      <c r="D1124" s="11">
        <f>IF(C1124="","",C1124*(1+B1124/100))</f>
        <v/>
      </c>
      <c r="E1124" s="11">
        <f>IF(A1124="","",$B$6*TAN(RADIANS(A1124)))</f>
        <v/>
      </c>
    </row>
    <row r="1125">
      <c r="A1125" s="10" t="n"/>
      <c r="B1125" s="10" t="n"/>
      <c r="C1125" s="11">
        <f>IF(A1125="","",$B$5*TAN(RADIANS(A1125)))</f>
        <v/>
      </c>
      <c r="D1125" s="11">
        <f>IF(C1125="","",C1125*(1+B1125/100))</f>
        <v/>
      </c>
      <c r="E1125" s="11">
        <f>IF(A1125="","",$B$6*TAN(RADIANS(A1125)))</f>
        <v/>
      </c>
    </row>
    <row r="1126">
      <c r="A1126" s="10" t="n"/>
      <c r="B1126" s="10" t="n"/>
      <c r="C1126" s="11">
        <f>IF(A1126="","",$B$5*TAN(RADIANS(A1126)))</f>
        <v/>
      </c>
      <c r="D1126" s="11">
        <f>IF(C1126="","",C1126*(1+B1126/100))</f>
        <v/>
      </c>
      <c r="E1126" s="11">
        <f>IF(A1126="","",$B$6*TAN(RADIANS(A1126)))</f>
        <v/>
      </c>
    </row>
    <row r="1127">
      <c r="A1127" s="10" t="n"/>
      <c r="B1127" s="10" t="n"/>
      <c r="C1127" s="11">
        <f>IF(A1127="","",$B$5*TAN(RADIANS(A1127)))</f>
        <v/>
      </c>
      <c r="D1127" s="11">
        <f>IF(C1127="","",C1127*(1+B1127/100))</f>
        <v/>
      </c>
      <c r="E1127" s="11">
        <f>IF(A1127="","",$B$6*TAN(RADIANS(A1127)))</f>
        <v/>
      </c>
    </row>
    <row r="1128">
      <c r="A1128" s="10" t="n"/>
      <c r="B1128" s="10" t="n"/>
      <c r="C1128" s="11">
        <f>IF(A1128="","",$B$5*TAN(RADIANS(A1128)))</f>
        <v/>
      </c>
      <c r="D1128" s="11">
        <f>IF(C1128="","",C1128*(1+B1128/100))</f>
        <v/>
      </c>
      <c r="E1128" s="11">
        <f>IF(A1128="","",$B$6*TAN(RADIANS(A1128)))</f>
        <v/>
      </c>
    </row>
    <row r="1129">
      <c r="A1129" s="10" t="n"/>
      <c r="B1129" s="10" t="n"/>
      <c r="C1129" s="11">
        <f>IF(A1129="","",$B$5*TAN(RADIANS(A1129)))</f>
        <v/>
      </c>
      <c r="D1129" s="11">
        <f>IF(C1129="","",C1129*(1+B1129/100))</f>
        <v/>
      </c>
      <c r="E1129" s="11">
        <f>IF(A1129="","",$B$6*TAN(RADIANS(A1129)))</f>
        <v/>
      </c>
    </row>
    <row r="1130">
      <c r="A1130" s="10" t="n"/>
      <c r="B1130" s="10" t="n"/>
      <c r="C1130" s="11">
        <f>IF(A1130="","",$B$5*TAN(RADIANS(A1130)))</f>
        <v/>
      </c>
      <c r="D1130" s="11">
        <f>IF(C1130="","",C1130*(1+B1130/100))</f>
        <v/>
      </c>
      <c r="E1130" s="11">
        <f>IF(A1130="","",$B$6*TAN(RADIANS(A1130)))</f>
        <v/>
      </c>
    </row>
    <row r="1131">
      <c r="A1131" s="10" t="n"/>
      <c r="B1131" s="10" t="n"/>
      <c r="C1131" s="11">
        <f>IF(A1131="","",$B$5*TAN(RADIANS(A1131)))</f>
        <v/>
      </c>
      <c r="D1131" s="11">
        <f>IF(C1131="","",C1131*(1+B1131/100))</f>
        <v/>
      </c>
      <c r="E1131" s="11">
        <f>IF(A1131="","",$B$6*TAN(RADIANS(A1131)))</f>
        <v/>
      </c>
    </row>
    <row r="1132">
      <c r="A1132" s="10" t="n"/>
      <c r="B1132" s="10" t="n"/>
      <c r="C1132" s="11">
        <f>IF(A1132="","",$B$5*TAN(RADIANS(A1132)))</f>
        <v/>
      </c>
      <c r="D1132" s="11">
        <f>IF(C1132="","",C1132*(1+B1132/100))</f>
        <v/>
      </c>
      <c r="E1132" s="11">
        <f>IF(A1132="","",$B$6*TAN(RADIANS(A1132)))</f>
        <v/>
      </c>
    </row>
    <row r="1133">
      <c r="A1133" s="10" t="n"/>
      <c r="B1133" s="10" t="n"/>
      <c r="C1133" s="11">
        <f>IF(A1133="","",$B$5*TAN(RADIANS(A1133)))</f>
        <v/>
      </c>
      <c r="D1133" s="11">
        <f>IF(C1133="","",C1133*(1+B1133/100))</f>
        <v/>
      </c>
      <c r="E1133" s="11">
        <f>IF(A1133="","",$B$6*TAN(RADIANS(A1133)))</f>
        <v/>
      </c>
    </row>
    <row r="1134">
      <c r="A1134" s="10" t="n"/>
      <c r="B1134" s="10" t="n"/>
      <c r="C1134" s="11">
        <f>IF(A1134="","",$B$5*TAN(RADIANS(A1134)))</f>
        <v/>
      </c>
      <c r="D1134" s="11">
        <f>IF(C1134="","",C1134*(1+B1134/100))</f>
        <v/>
      </c>
      <c r="E1134" s="11">
        <f>IF(A1134="","",$B$6*TAN(RADIANS(A1134)))</f>
        <v/>
      </c>
    </row>
    <row r="1135">
      <c r="A1135" s="10" t="n"/>
      <c r="B1135" s="10" t="n"/>
      <c r="C1135" s="11">
        <f>IF(A1135="","",$B$5*TAN(RADIANS(A1135)))</f>
        <v/>
      </c>
      <c r="D1135" s="11">
        <f>IF(C1135="","",C1135*(1+B1135/100))</f>
        <v/>
      </c>
      <c r="E1135" s="11">
        <f>IF(A1135="","",$B$6*TAN(RADIANS(A1135)))</f>
        <v/>
      </c>
    </row>
    <row r="1136">
      <c r="A1136" s="10" t="n"/>
      <c r="B1136" s="10" t="n"/>
      <c r="C1136" s="11">
        <f>IF(A1136="","",$B$5*TAN(RADIANS(A1136)))</f>
        <v/>
      </c>
      <c r="D1136" s="11">
        <f>IF(C1136="","",C1136*(1+B1136/100))</f>
        <v/>
      </c>
      <c r="E1136" s="11">
        <f>IF(A1136="","",$B$6*TAN(RADIANS(A1136)))</f>
        <v/>
      </c>
    </row>
    <row r="1137">
      <c r="A1137" s="10" t="n"/>
      <c r="B1137" s="10" t="n"/>
      <c r="C1137" s="11">
        <f>IF(A1137="","",$B$5*TAN(RADIANS(A1137)))</f>
        <v/>
      </c>
      <c r="D1137" s="11">
        <f>IF(C1137="","",C1137*(1+B1137/100))</f>
        <v/>
      </c>
      <c r="E1137" s="11">
        <f>IF(A1137="","",$B$6*TAN(RADIANS(A1137)))</f>
        <v/>
      </c>
    </row>
    <row r="1138">
      <c r="A1138" s="10" t="n"/>
      <c r="B1138" s="10" t="n"/>
      <c r="C1138" s="11">
        <f>IF(A1138="","",$B$5*TAN(RADIANS(A1138)))</f>
        <v/>
      </c>
      <c r="D1138" s="11">
        <f>IF(C1138="","",C1138*(1+B1138/100))</f>
        <v/>
      </c>
      <c r="E1138" s="11">
        <f>IF(A1138="","",$B$6*TAN(RADIANS(A1138)))</f>
        <v/>
      </c>
    </row>
    <row r="1139">
      <c r="A1139" s="10" t="n"/>
      <c r="B1139" s="10" t="n"/>
      <c r="C1139" s="11">
        <f>IF(A1139="","",$B$5*TAN(RADIANS(A1139)))</f>
        <v/>
      </c>
      <c r="D1139" s="11">
        <f>IF(C1139="","",C1139*(1+B1139/100))</f>
        <v/>
      </c>
      <c r="E1139" s="11">
        <f>IF(A1139="","",$B$6*TAN(RADIANS(A1139)))</f>
        <v/>
      </c>
    </row>
    <row r="1140">
      <c r="A1140" s="10" t="n"/>
      <c r="B1140" s="10" t="n"/>
      <c r="C1140" s="11">
        <f>IF(A1140="","",$B$5*TAN(RADIANS(A1140)))</f>
        <v/>
      </c>
      <c r="D1140" s="11">
        <f>IF(C1140="","",C1140*(1+B1140/100))</f>
        <v/>
      </c>
      <c r="E1140" s="11">
        <f>IF(A1140="","",$B$6*TAN(RADIANS(A1140)))</f>
        <v/>
      </c>
    </row>
    <row r="1141">
      <c r="A1141" s="10" t="n"/>
      <c r="B1141" s="10" t="n"/>
      <c r="C1141" s="11">
        <f>IF(A1141="","",$B$5*TAN(RADIANS(A1141)))</f>
        <v/>
      </c>
      <c r="D1141" s="11">
        <f>IF(C1141="","",C1141*(1+B1141/100))</f>
        <v/>
      </c>
      <c r="E1141" s="11">
        <f>IF(A1141="","",$B$6*TAN(RADIANS(A1141)))</f>
        <v/>
      </c>
    </row>
    <row r="1142">
      <c r="A1142" s="10" t="n"/>
      <c r="B1142" s="10" t="n"/>
      <c r="C1142" s="11">
        <f>IF(A1142="","",$B$5*TAN(RADIANS(A1142)))</f>
        <v/>
      </c>
      <c r="D1142" s="11">
        <f>IF(C1142="","",C1142*(1+B1142/100))</f>
        <v/>
      </c>
      <c r="E1142" s="11">
        <f>IF(A1142="","",$B$6*TAN(RADIANS(A1142)))</f>
        <v/>
      </c>
    </row>
    <row r="1143">
      <c r="A1143" s="10" t="n"/>
      <c r="B1143" s="10" t="n"/>
      <c r="C1143" s="11">
        <f>IF(A1143="","",$B$5*TAN(RADIANS(A1143)))</f>
        <v/>
      </c>
      <c r="D1143" s="11">
        <f>IF(C1143="","",C1143*(1+B1143/100))</f>
        <v/>
      </c>
      <c r="E1143" s="11">
        <f>IF(A1143="","",$B$6*TAN(RADIANS(A1143)))</f>
        <v/>
      </c>
    </row>
    <row r="1144">
      <c r="A1144" s="10" t="n"/>
      <c r="B1144" s="10" t="n"/>
      <c r="C1144" s="11">
        <f>IF(A1144="","",$B$5*TAN(RADIANS(A1144)))</f>
        <v/>
      </c>
      <c r="D1144" s="11">
        <f>IF(C1144="","",C1144*(1+B1144/100))</f>
        <v/>
      </c>
      <c r="E1144" s="11">
        <f>IF(A1144="","",$B$6*TAN(RADIANS(A1144)))</f>
        <v/>
      </c>
    </row>
    <row r="1145">
      <c r="A1145" s="10" t="n"/>
      <c r="B1145" s="10" t="n"/>
      <c r="C1145" s="11">
        <f>IF(A1145="","",$B$5*TAN(RADIANS(A1145)))</f>
        <v/>
      </c>
      <c r="D1145" s="11">
        <f>IF(C1145="","",C1145*(1+B1145/100))</f>
        <v/>
      </c>
      <c r="E1145" s="11">
        <f>IF(A1145="","",$B$6*TAN(RADIANS(A1145)))</f>
        <v/>
      </c>
    </row>
    <row r="1146">
      <c r="A1146" s="10" t="n"/>
      <c r="B1146" s="10" t="n"/>
      <c r="C1146" s="11">
        <f>IF(A1146="","",$B$5*TAN(RADIANS(A1146)))</f>
        <v/>
      </c>
      <c r="D1146" s="11">
        <f>IF(C1146="","",C1146*(1+B1146/100))</f>
        <v/>
      </c>
      <c r="E1146" s="11">
        <f>IF(A1146="","",$B$6*TAN(RADIANS(A1146)))</f>
        <v/>
      </c>
    </row>
    <row r="1147">
      <c r="A1147" s="10" t="n"/>
      <c r="B1147" s="10" t="n"/>
      <c r="C1147" s="11">
        <f>IF(A1147="","",$B$5*TAN(RADIANS(A1147)))</f>
        <v/>
      </c>
      <c r="D1147" s="11">
        <f>IF(C1147="","",C1147*(1+B1147/100))</f>
        <v/>
      </c>
      <c r="E1147" s="11">
        <f>IF(A1147="","",$B$6*TAN(RADIANS(A1147)))</f>
        <v/>
      </c>
    </row>
    <row r="1148">
      <c r="A1148" s="10" t="n"/>
      <c r="B1148" s="10" t="n"/>
      <c r="C1148" s="11">
        <f>IF(A1148="","",$B$5*TAN(RADIANS(A1148)))</f>
        <v/>
      </c>
      <c r="D1148" s="11">
        <f>IF(C1148="","",C1148*(1+B1148/100))</f>
        <v/>
      </c>
      <c r="E1148" s="11">
        <f>IF(A1148="","",$B$6*TAN(RADIANS(A1148)))</f>
        <v/>
      </c>
    </row>
    <row r="1149">
      <c r="A1149" s="10" t="n"/>
      <c r="B1149" s="10" t="n"/>
      <c r="C1149" s="11">
        <f>IF(A1149="","",$B$5*TAN(RADIANS(A1149)))</f>
        <v/>
      </c>
      <c r="D1149" s="11">
        <f>IF(C1149="","",C1149*(1+B1149/100))</f>
        <v/>
      </c>
      <c r="E1149" s="11">
        <f>IF(A1149="","",$B$6*TAN(RADIANS(A1149)))</f>
        <v/>
      </c>
    </row>
    <row r="1150">
      <c r="A1150" s="10" t="n"/>
      <c r="B1150" s="10" t="n"/>
      <c r="C1150" s="11">
        <f>IF(A1150="","",$B$5*TAN(RADIANS(A1150)))</f>
        <v/>
      </c>
      <c r="D1150" s="11">
        <f>IF(C1150="","",C1150*(1+B1150/100))</f>
        <v/>
      </c>
      <c r="E1150" s="11">
        <f>IF(A1150="","",$B$6*TAN(RADIANS(A1150)))</f>
        <v/>
      </c>
    </row>
    <row r="1151">
      <c r="A1151" s="10" t="n"/>
      <c r="B1151" s="10" t="n"/>
      <c r="C1151" s="11">
        <f>IF(A1151="","",$B$5*TAN(RADIANS(A1151)))</f>
        <v/>
      </c>
      <c r="D1151" s="11">
        <f>IF(C1151="","",C1151*(1+B1151/100))</f>
        <v/>
      </c>
      <c r="E1151" s="11">
        <f>IF(A1151="","",$B$6*TAN(RADIANS(A1151)))</f>
        <v/>
      </c>
    </row>
    <row r="1152">
      <c r="A1152" s="10" t="n"/>
      <c r="B1152" s="10" t="n"/>
      <c r="C1152" s="11">
        <f>IF(A1152="","",$B$5*TAN(RADIANS(A1152)))</f>
        <v/>
      </c>
      <c r="D1152" s="11">
        <f>IF(C1152="","",C1152*(1+B1152/100))</f>
        <v/>
      </c>
      <c r="E1152" s="11">
        <f>IF(A1152="","",$B$6*TAN(RADIANS(A1152)))</f>
        <v/>
      </c>
    </row>
    <row r="1153">
      <c r="A1153" s="10" t="n"/>
      <c r="B1153" s="10" t="n"/>
      <c r="C1153" s="11">
        <f>IF(A1153="","",$B$5*TAN(RADIANS(A1153)))</f>
        <v/>
      </c>
      <c r="D1153" s="11">
        <f>IF(C1153="","",C1153*(1+B1153/100))</f>
        <v/>
      </c>
      <c r="E1153" s="11">
        <f>IF(A1153="","",$B$6*TAN(RADIANS(A1153)))</f>
        <v/>
      </c>
    </row>
    <row r="1154">
      <c r="A1154" s="10" t="n"/>
      <c r="B1154" s="10" t="n"/>
      <c r="C1154" s="11">
        <f>IF(A1154="","",$B$5*TAN(RADIANS(A1154)))</f>
        <v/>
      </c>
      <c r="D1154" s="11">
        <f>IF(C1154="","",C1154*(1+B1154/100))</f>
        <v/>
      </c>
      <c r="E1154" s="11">
        <f>IF(A1154="","",$B$6*TAN(RADIANS(A1154)))</f>
        <v/>
      </c>
    </row>
    <row r="1155">
      <c r="A1155" s="10" t="n"/>
      <c r="B1155" s="10" t="n"/>
      <c r="C1155" s="11">
        <f>IF(A1155="","",$B$5*TAN(RADIANS(A1155)))</f>
        <v/>
      </c>
      <c r="D1155" s="11">
        <f>IF(C1155="","",C1155*(1+B1155/100))</f>
        <v/>
      </c>
      <c r="E1155" s="11">
        <f>IF(A1155="","",$B$6*TAN(RADIANS(A1155)))</f>
        <v/>
      </c>
    </row>
    <row r="1156">
      <c r="A1156" s="10" t="n"/>
      <c r="B1156" s="10" t="n"/>
      <c r="C1156" s="11">
        <f>IF(A1156="","",$B$5*TAN(RADIANS(A1156)))</f>
        <v/>
      </c>
      <c r="D1156" s="11">
        <f>IF(C1156="","",C1156*(1+B1156/100))</f>
        <v/>
      </c>
      <c r="E1156" s="11">
        <f>IF(A1156="","",$B$6*TAN(RADIANS(A1156)))</f>
        <v/>
      </c>
    </row>
    <row r="1157">
      <c r="A1157" s="10" t="n"/>
      <c r="B1157" s="10" t="n"/>
      <c r="C1157" s="11">
        <f>IF(A1157="","",$B$5*TAN(RADIANS(A1157)))</f>
        <v/>
      </c>
      <c r="D1157" s="11">
        <f>IF(C1157="","",C1157*(1+B1157/100))</f>
        <v/>
      </c>
      <c r="E1157" s="11">
        <f>IF(A1157="","",$B$6*TAN(RADIANS(A1157)))</f>
        <v/>
      </c>
    </row>
    <row r="1158">
      <c r="A1158" s="10" t="n"/>
      <c r="B1158" s="10" t="n"/>
      <c r="C1158" s="11">
        <f>IF(A1158="","",$B$5*TAN(RADIANS(A1158)))</f>
        <v/>
      </c>
      <c r="D1158" s="11">
        <f>IF(C1158="","",C1158*(1+B1158/100))</f>
        <v/>
      </c>
      <c r="E1158" s="11">
        <f>IF(A1158="","",$B$6*TAN(RADIANS(A1158)))</f>
        <v/>
      </c>
    </row>
    <row r="1159">
      <c r="A1159" s="10" t="n"/>
      <c r="B1159" s="10" t="n"/>
      <c r="C1159" s="11">
        <f>IF(A1159="","",$B$5*TAN(RADIANS(A1159)))</f>
        <v/>
      </c>
      <c r="D1159" s="11">
        <f>IF(C1159="","",C1159*(1+B1159/100))</f>
        <v/>
      </c>
      <c r="E1159" s="11">
        <f>IF(A1159="","",$B$6*TAN(RADIANS(A1159)))</f>
        <v/>
      </c>
    </row>
    <row r="1160">
      <c r="A1160" s="10" t="n"/>
      <c r="B1160" s="10" t="n"/>
      <c r="C1160" s="11">
        <f>IF(A1160="","",$B$5*TAN(RADIANS(A1160)))</f>
        <v/>
      </c>
      <c r="D1160" s="11">
        <f>IF(C1160="","",C1160*(1+B1160/100))</f>
        <v/>
      </c>
      <c r="E1160" s="11">
        <f>IF(A1160="","",$B$6*TAN(RADIANS(A1160)))</f>
        <v/>
      </c>
    </row>
    <row r="1161">
      <c r="A1161" s="10" t="n"/>
      <c r="B1161" s="10" t="n"/>
      <c r="C1161" s="11">
        <f>IF(A1161="","",$B$5*TAN(RADIANS(A1161)))</f>
        <v/>
      </c>
      <c r="D1161" s="11">
        <f>IF(C1161="","",C1161*(1+B1161/100))</f>
        <v/>
      </c>
      <c r="E1161" s="11">
        <f>IF(A1161="","",$B$6*TAN(RADIANS(A1161)))</f>
        <v/>
      </c>
    </row>
    <row r="1162">
      <c r="A1162" s="10" t="n"/>
      <c r="B1162" s="10" t="n"/>
      <c r="C1162" s="11">
        <f>IF(A1162="","",$B$5*TAN(RADIANS(A1162)))</f>
        <v/>
      </c>
      <c r="D1162" s="11">
        <f>IF(C1162="","",C1162*(1+B1162/100))</f>
        <v/>
      </c>
      <c r="E1162" s="11">
        <f>IF(A1162="","",$B$6*TAN(RADIANS(A1162)))</f>
        <v/>
      </c>
    </row>
    <row r="1163">
      <c r="A1163" s="10" t="n"/>
      <c r="B1163" s="10" t="n"/>
      <c r="C1163" s="11">
        <f>IF(A1163="","",$B$5*TAN(RADIANS(A1163)))</f>
        <v/>
      </c>
      <c r="D1163" s="11">
        <f>IF(C1163="","",C1163*(1+B1163/100))</f>
        <v/>
      </c>
      <c r="E1163" s="11">
        <f>IF(A1163="","",$B$6*TAN(RADIANS(A1163)))</f>
        <v/>
      </c>
    </row>
    <row r="1164">
      <c r="A1164" s="10" t="n"/>
      <c r="B1164" s="10" t="n"/>
      <c r="C1164" s="11">
        <f>IF(A1164="","",$B$5*TAN(RADIANS(A1164)))</f>
        <v/>
      </c>
      <c r="D1164" s="11">
        <f>IF(C1164="","",C1164*(1+B1164/100))</f>
        <v/>
      </c>
      <c r="E1164" s="11">
        <f>IF(A1164="","",$B$6*TAN(RADIANS(A1164)))</f>
        <v/>
      </c>
    </row>
    <row r="1165">
      <c r="A1165" s="10" t="n"/>
      <c r="B1165" s="10" t="n"/>
      <c r="C1165" s="11">
        <f>IF(A1165="","",$B$5*TAN(RADIANS(A1165)))</f>
        <v/>
      </c>
      <c r="D1165" s="11">
        <f>IF(C1165="","",C1165*(1+B1165/100))</f>
        <v/>
      </c>
      <c r="E1165" s="11">
        <f>IF(A1165="","",$B$6*TAN(RADIANS(A1165)))</f>
        <v/>
      </c>
    </row>
    <row r="1166">
      <c r="A1166" s="10" t="n"/>
      <c r="B1166" s="10" t="n"/>
      <c r="C1166" s="11">
        <f>IF(A1166="","",$B$5*TAN(RADIANS(A1166)))</f>
        <v/>
      </c>
      <c r="D1166" s="11">
        <f>IF(C1166="","",C1166*(1+B1166/100))</f>
        <v/>
      </c>
      <c r="E1166" s="11">
        <f>IF(A1166="","",$B$6*TAN(RADIANS(A1166)))</f>
        <v/>
      </c>
    </row>
    <row r="1167">
      <c r="A1167" s="10" t="n"/>
      <c r="B1167" s="10" t="n"/>
      <c r="C1167" s="11">
        <f>IF(A1167="","",$B$5*TAN(RADIANS(A1167)))</f>
        <v/>
      </c>
      <c r="D1167" s="11">
        <f>IF(C1167="","",C1167*(1+B1167/100))</f>
        <v/>
      </c>
      <c r="E1167" s="11">
        <f>IF(A1167="","",$B$6*TAN(RADIANS(A1167)))</f>
        <v/>
      </c>
    </row>
    <row r="1168">
      <c r="A1168" s="10" t="n"/>
      <c r="B1168" s="10" t="n"/>
      <c r="C1168" s="11">
        <f>IF(A1168="","",$B$5*TAN(RADIANS(A1168)))</f>
        <v/>
      </c>
      <c r="D1168" s="11">
        <f>IF(C1168="","",C1168*(1+B1168/100))</f>
        <v/>
      </c>
      <c r="E1168" s="11">
        <f>IF(A1168="","",$B$6*TAN(RADIANS(A1168)))</f>
        <v/>
      </c>
    </row>
    <row r="1169">
      <c r="A1169" s="10" t="n"/>
      <c r="B1169" s="10" t="n"/>
      <c r="C1169" s="11">
        <f>IF(A1169="","",$B$5*TAN(RADIANS(A1169)))</f>
        <v/>
      </c>
      <c r="D1169" s="11">
        <f>IF(C1169="","",C1169*(1+B1169/100))</f>
        <v/>
      </c>
      <c r="E1169" s="11">
        <f>IF(A1169="","",$B$6*TAN(RADIANS(A1169)))</f>
        <v/>
      </c>
    </row>
    <row r="1170">
      <c r="A1170" s="10" t="n"/>
      <c r="B1170" s="10" t="n"/>
      <c r="C1170" s="11">
        <f>IF(A1170="","",$B$5*TAN(RADIANS(A1170)))</f>
        <v/>
      </c>
      <c r="D1170" s="11">
        <f>IF(C1170="","",C1170*(1+B1170/100))</f>
        <v/>
      </c>
      <c r="E1170" s="11">
        <f>IF(A1170="","",$B$6*TAN(RADIANS(A1170)))</f>
        <v/>
      </c>
    </row>
    <row r="1171">
      <c r="A1171" s="10" t="n"/>
      <c r="B1171" s="10" t="n"/>
      <c r="C1171" s="11">
        <f>IF(A1171="","",$B$5*TAN(RADIANS(A1171)))</f>
        <v/>
      </c>
      <c r="D1171" s="11">
        <f>IF(C1171="","",C1171*(1+B1171/100))</f>
        <v/>
      </c>
      <c r="E1171" s="11">
        <f>IF(A1171="","",$B$6*TAN(RADIANS(A1171)))</f>
        <v/>
      </c>
    </row>
    <row r="1172">
      <c r="A1172" s="10" t="n"/>
      <c r="B1172" s="10" t="n"/>
      <c r="C1172" s="11">
        <f>IF(A1172="","",$B$5*TAN(RADIANS(A1172)))</f>
        <v/>
      </c>
      <c r="D1172" s="11">
        <f>IF(C1172="","",C1172*(1+B1172/100))</f>
        <v/>
      </c>
      <c r="E1172" s="11">
        <f>IF(A1172="","",$B$6*TAN(RADIANS(A1172)))</f>
        <v/>
      </c>
    </row>
    <row r="1173">
      <c r="A1173" s="10" t="n"/>
      <c r="B1173" s="10" t="n"/>
      <c r="C1173" s="11">
        <f>IF(A1173="","",$B$5*TAN(RADIANS(A1173)))</f>
        <v/>
      </c>
      <c r="D1173" s="11">
        <f>IF(C1173="","",C1173*(1+B1173/100))</f>
        <v/>
      </c>
      <c r="E1173" s="11">
        <f>IF(A1173="","",$B$6*TAN(RADIANS(A1173)))</f>
        <v/>
      </c>
    </row>
    <row r="1174">
      <c r="A1174" s="10" t="n"/>
      <c r="B1174" s="10" t="n"/>
      <c r="C1174" s="11">
        <f>IF(A1174="","",$B$5*TAN(RADIANS(A1174)))</f>
        <v/>
      </c>
      <c r="D1174" s="11">
        <f>IF(C1174="","",C1174*(1+B1174/100))</f>
        <v/>
      </c>
      <c r="E1174" s="11">
        <f>IF(A1174="","",$B$6*TAN(RADIANS(A1174)))</f>
        <v/>
      </c>
    </row>
    <row r="1175">
      <c r="A1175" s="10" t="n"/>
      <c r="B1175" s="10" t="n"/>
      <c r="C1175" s="11">
        <f>IF(A1175="","",$B$5*TAN(RADIANS(A1175)))</f>
        <v/>
      </c>
      <c r="D1175" s="11">
        <f>IF(C1175="","",C1175*(1+B1175/100))</f>
        <v/>
      </c>
      <c r="E1175" s="11">
        <f>IF(A1175="","",$B$6*TAN(RADIANS(A1175)))</f>
        <v/>
      </c>
    </row>
    <row r="1176">
      <c r="A1176" s="10" t="n"/>
      <c r="B1176" s="10" t="n"/>
      <c r="C1176" s="11">
        <f>IF(A1176="","",$B$5*TAN(RADIANS(A1176)))</f>
        <v/>
      </c>
      <c r="D1176" s="11">
        <f>IF(C1176="","",C1176*(1+B1176/100))</f>
        <v/>
      </c>
      <c r="E1176" s="11">
        <f>IF(A1176="","",$B$6*TAN(RADIANS(A1176)))</f>
        <v/>
      </c>
    </row>
    <row r="1177">
      <c r="A1177" s="10" t="n"/>
      <c r="B1177" s="10" t="n"/>
      <c r="C1177" s="11">
        <f>IF(A1177="","",$B$5*TAN(RADIANS(A1177)))</f>
        <v/>
      </c>
      <c r="D1177" s="11">
        <f>IF(C1177="","",C1177*(1+B1177/100))</f>
        <v/>
      </c>
      <c r="E1177" s="11">
        <f>IF(A1177="","",$B$6*TAN(RADIANS(A1177)))</f>
        <v/>
      </c>
    </row>
    <row r="1178">
      <c r="A1178" s="10" t="n"/>
      <c r="B1178" s="10" t="n"/>
      <c r="C1178" s="11">
        <f>IF(A1178="","",$B$5*TAN(RADIANS(A1178)))</f>
        <v/>
      </c>
      <c r="D1178" s="11">
        <f>IF(C1178="","",C1178*(1+B1178/100))</f>
        <v/>
      </c>
      <c r="E1178" s="11">
        <f>IF(A1178="","",$B$6*TAN(RADIANS(A1178)))</f>
        <v/>
      </c>
    </row>
    <row r="1179">
      <c r="A1179" s="10" t="n"/>
      <c r="B1179" s="10" t="n"/>
      <c r="C1179" s="11">
        <f>IF(A1179="","",$B$5*TAN(RADIANS(A1179)))</f>
        <v/>
      </c>
      <c r="D1179" s="11">
        <f>IF(C1179="","",C1179*(1+B1179/100))</f>
        <v/>
      </c>
      <c r="E1179" s="11">
        <f>IF(A1179="","",$B$6*TAN(RADIANS(A1179)))</f>
        <v/>
      </c>
    </row>
    <row r="1180">
      <c r="A1180" s="10" t="n"/>
      <c r="B1180" s="10" t="n"/>
      <c r="C1180" s="11">
        <f>IF(A1180="","",$B$5*TAN(RADIANS(A1180)))</f>
        <v/>
      </c>
      <c r="D1180" s="11">
        <f>IF(C1180="","",C1180*(1+B1180/100))</f>
        <v/>
      </c>
      <c r="E1180" s="11">
        <f>IF(A1180="","",$B$6*TAN(RADIANS(A1180)))</f>
        <v/>
      </c>
    </row>
    <row r="1181">
      <c r="A1181" s="10" t="n"/>
      <c r="B1181" s="10" t="n"/>
      <c r="C1181" s="11">
        <f>IF(A1181="","",$B$5*TAN(RADIANS(A1181)))</f>
        <v/>
      </c>
      <c r="D1181" s="11">
        <f>IF(C1181="","",C1181*(1+B1181/100))</f>
        <v/>
      </c>
      <c r="E1181" s="11">
        <f>IF(A1181="","",$B$6*TAN(RADIANS(A1181)))</f>
        <v/>
      </c>
    </row>
    <row r="1182">
      <c r="A1182" s="10" t="n"/>
      <c r="B1182" s="10" t="n"/>
      <c r="C1182" s="11">
        <f>IF(A1182="","",$B$5*TAN(RADIANS(A1182)))</f>
        <v/>
      </c>
      <c r="D1182" s="11">
        <f>IF(C1182="","",C1182*(1+B1182/100))</f>
        <v/>
      </c>
      <c r="E1182" s="11">
        <f>IF(A1182="","",$B$6*TAN(RADIANS(A1182)))</f>
        <v/>
      </c>
    </row>
    <row r="1183">
      <c r="A1183" s="10" t="n"/>
      <c r="B1183" s="10" t="n"/>
      <c r="C1183" s="11">
        <f>IF(A1183="","",$B$5*TAN(RADIANS(A1183)))</f>
        <v/>
      </c>
      <c r="D1183" s="11">
        <f>IF(C1183="","",C1183*(1+B1183/100))</f>
        <v/>
      </c>
      <c r="E1183" s="11">
        <f>IF(A1183="","",$B$6*TAN(RADIANS(A1183)))</f>
        <v/>
      </c>
    </row>
    <row r="1184">
      <c r="A1184" s="10" t="n"/>
      <c r="B1184" s="10" t="n"/>
      <c r="C1184" s="11">
        <f>IF(A1184="","",$B$5*TAN(RADIANS(A1184)))</f>
        <v/>
      </c>
      <c r="D1184" s="11">
        <f>IF(C1184="","",C1184*(1+B1184/100))</f>
        <v/>
      </c>
      <c r="E1184" s="11">
        <f>IF(A1184="","",$B$6*TAN(RADIANS(A1184)))</f>
        <v/>
      </c>
    </row>
    <row r="1185">
      <c r="A1185" s="10" t="n"/>
      <c r="B1185" s="10" t="n"/>
      <c r="C1185" s="11">
        <f>IF(A1185="","",$B$5*TAN(RADIANS(A1185)))</f>
        <v/>
      </c>
      <c r="D1185" s="11">
        <f>IF(C1185="","",C1185*(1+B1185/100))</f>
        <v/>
      </c>
      <c r="E1185" s="11">
        <f>IF(A1185="","",$B$6*TAN(RADIANS(A1185)))</f>
        <v/>
      </c>
    </row>
    <row r="1186">
      <c r="A1186" s="10" t="n"/>
      <c r="B1186" s="10" t="n"/>
      <c r="C1186" s="11">
        <f>IF(A1186="","",$B$5*TAN(RADIANS(A1186)))</f>
        <v/>
      </c>
      <c r="D1186" s="11">
        <f>IF(C1186="","",C1186*(1+B1186/100))</f>
        <v/>
      </c>
      <c r="E1186" s="11">
        <f>IF(A1186="","",$B$6*TAN(RADIANS(A1186)))</f>
        <v/>
      </c>
    </row>
    <row r="1187">
      <c r="A1187" s="10" t="n"/>
      <c r="B1187" s="10" t="n"/>
      <c r="C1187" s="11">
        <f>IF(A1187="","",$B$5*TAN(RADIANS(A1187)))</f>
        <v/>
      </c>
      <c r="D1187" s="11">
        <f>IF(C1187="","",C1187*(1+B1187/100))</f>
        <v/>
      </c>
      <c r="E1187" s="11">
        <f>IF(A1187="","",$B$6*TAN(RADIANS(A1187)))</f>
        <v/>
      </c>
    </row>
    <row r="1188">
      <c r="A1188" s="10" t="n"/>
      <c r="B1188" s="10" t="n"/>
      <c r="C1188" s="11">
        <f>IF(A1188="","",$B$5*TAN(RADIANS(A1188)))</f>
        <v/>
      </c>
      <c r="D1188" s="11">
        <f>IF(C1188="","",C1188*(1+B1188/100))</f>
        <v/>
      </c>
      <c r="E1188" s="11">
        <f>IF(A1188="","",$B$6*TAN(RADIANS(A1188)))</f>
        <v/>
      </c>
    </row>
    <row r="1189">
      <c r="A1189" s="10" t="n"/>
      <c r="B1189" s="10" t="n"/>
      <c r="C1189" s="11">
        <f>IF(A1189="","",$B$5*TAN(RADIANS(A1189)))</f>
        <v/>
      </c>
      <c r="D1189" s="11">
        <f>IF(C1189="","",C1189*(1+B1189/100))</f>
        <v/>
      </c>
      <c r="E1189" s="11">
        <f>IF(A1189="","",$B$6*TAN(RADIANS(A1189)))</f>
        <v/>
      </c>
    </row>
    <row r="1190">
      <c r="A1190" s="10" t="n"/>
      <c r="B1190" s="10" t="n"/>
      <c r="C1190" s="11">
        <f>IF(A1190="","",$B$5*TAN(RADIANS(A1190)))</f>
        <v/>
      </c>
      <c r="D1190" s="11">
        <f>IF(C1190="","",C1190*(1+B1190/100))</f>
        <v/>
      </c>
      <c r="E1190" s="11">
        <f>IF(A1190="","",$B$6*TAN(RADIANS(A1190)))</f>
        <v/>
      </c>
    </row>
    <row r="1191">
      <c r="A1191" s="10" t="n"/>
      <c r="B1191" s="10" t="n"/>
      <c r="C1191" s="11">
        <f>IF(A1191="","",$B$5*TAN(RADIANS(A1191)))</f>
        <v/>
      </c>
      <c r="D1191" s="11">
        <f>IF(C1191="","",C1191*(1+B1191/100))</f>
        <v/>
      </c>
      <c r="E1191" s="11">
        <f>IF(A1191="","",$B$6*TAN(RADIANS(A1191)))</f>
        <v/>
      </c>
    </row>
    <row r="1192">
      <c r="A1192" s="10" t="n"/>
      <c r="B1192" s="10" t="n"/>
      <c r="C1192" s="11">
        <f>IF(A1192="","",$B$5*TAN(RADIANS(A1192)))</f>
        <v/>
      </c>
      <c r="D1192" s="11">
        <f>IF(C1192="","",C1192*(1+B1192/100))</f>
        <v/>
      </c>
      <c r="E1192" s="11">
        <f>IF(A1192="","",$B$6*TAN(RADIANS(A1192)))</f>
        <v/>
      </c>
    </row>
    <row r="1193">
      <c r="A1193" s="10" t="n"/>
      <c r="B1193" s="10" t="n"/>
      <c r="C1193" s="11">
        <f>IF(A1193="","",$B$5*TAN(RADIANS(A1193)))</f>
        <v/>
      </c>
      <c r="D1193" s="11">
        <f>IF(C1193="","",C1193*(1+B1193/100))</f>
        <v/>
      </c>
      <c r="E1193" s="11">
        <f>IF(A1193="","",$B$6*TAN(RADIANS(A1193)))</f>
        <v/>
      </c>
    </row>
    <row r="1194">
      <c r="A1194" s="10" t="n"/>
      <c r="B1194" s="10" t="n"/>
      <c r="C1194" s="11">
        <f>IF(A1194="","",$B$5*TAN(RADIANS(A1194)))</f>
        <v/>
      </c>
      <c r="D1194" s="11">
        <f>IF(C1194="","",C1194*(1+B1194/100))</f>
        <v/>
      </c>
      <c r="E1194" s="11">
        <f>IF(A1194="","",$B$6*TAN(RADIANS(A1194)))</f>
        <v/>
      </c>
    </row>
    <row r="1195">
      <c r="A1195" s="10" t="n"/>
      <c r="B1195" s="10" t="n"/>
      <c r="C1195" s="11">
        <f>IF(A1195="","",$B$5*TAN(RADIANS(A1195)))</f>
        <v/>
      </c>
      <c r="D1195" s="11">
        <f>IF(C1195="","",C1195*(1+B1195/100))</f>
        <v/>
      </c>
      <c r="E1195" s="11">
        <f>IF(A1195="","",$B$6*TAN(RADIANS(A1195)))</f>
        <v/>
      </c>
    </row>
    <row r="1196">
      <c r="A1196" s="10" t="n"/>
      <c r="B1196" s="10" t="n"/>
      <c r="C1196" s="11">
        <f>IF(A1196="","",$B$5*TAN(RADIANS(A1196)))</f>
        <v/>
      </c>
      <c r="D1196" s="11">
        <f>IF(C1196="","",C1196*(1+B1196/100))</f>
        <v/>
      </c>
      <c r="E1196" s="11">
        <f>IF(A1196="","",$B$6*TAN(RADIANS(A1196)))</f>
        <v/>
      </c>
    </row>
    <row r="1197">
      <c r="A1197" s="10" t="n"/>
      <c r="B1197" s="10" t="n"/>
      <c r="C1197" s="11">
        <f>IF(A1197="","",$B$5*TAN(RADIANS(A1197)))</f>
        <v/>
      </c>
      <c r="D1197" s="11">
        <f>IF(C1197="","",C1197*(1+B1197/100))</f>
        <v/>
      </c>
      <c r="E1197" s="11">
        <f>IF(A1197="","",$B$6*TAN(RADIANS(A1197)))</f>
        <v/>
      </c>
    </row>
    <row r="1198">
      <c r="A1198" s="10" t="n"/>
      <c r="B1198" s="10" t="n"/>
      <c r="C1198" s="11">
        <f>IF(A1198="","",$B$5*TAN(RADIANS(A1198)))</f>
        <v/>
      </c>
      <c r="D1198" s="11">
        <f>IF(C1198="","",C1198*(1+B1198/100))</f>
        <v/>
      </c>
      <c r="E1198" s="11">
        <f>IF(A1198="","",$B$6*TAN(RADIANS(A1198)))</f>
        <v/>
      </c>
    </row>
    <row r="1199">
      <c r="A1199" s="10" t="n"/>
      <c r="B1199" s="10" t="n"/>
      <c r="C1199" s="11">
        <f>IF(A1199="","",$B$5*TAN(RADIANS(A1199)))</f>
        <v/>
      </c>
      <c r="D1199" s="11">
        <f>IF(C1199="","",C1199*(1+B1199/100))</f>
        <v/>
      </c>
      <c r="E1199" s="11">
        <f>IF(A1199="","",$B$6*TAN(RADIANS(A1199)))</f>
        <v/>
      </c>
    </row>
    <row r="1200">
      <c r="A1200" s="10" t="n"/>
      <c r="B1200" s="10" t="n"/>
      <c r="C1200" s="11">
        <f>IF(A1200="","",$B$5*TAN(RADIANS(A1200)))</f>
        <v/>
      </c>
      <c r="D1200" s="11">
        <f>IF(C1200="","",C1200*(1+B1200/100))</f>
        <v/>
      </c>
      <c r="E1200" s="11">
        <f>IF(A1200="","",$B$6*TAN(RADIANS(A1200)))</f>
        <v/>
      </c>
    </row>
    <row r="1201">
      <c r="A1201" s="10" t="n"/>
      <c r="B1201" s="10" t="n"/>
      <c r="C1201" s="11">
        <f>IF(A1201="","",$B$5*TAN(RADIANS(A1201)))</f>
        <v/>
      </c>
      <c r="D1201" s="11">
        <f>IF(C1201="","",C1201*(1+B1201/100))</f>
        <v/>
      </c>
      <c r="E1201" s="11">
        <f>IF(A1201="","",$B$6*TAN(RADIANS(A1201)))</f>
        <v/>
      </c>
    </row>
    <row r="1202">
      <c r="A1202" s="10" t="n"/>
      <c r="B1202" s="10" t="n"/>
      <c r="C1202" s="11">
        <f>IF(A1202="","",$B$5*TAN(RADIANS(A1202)))</f>
        <v/>
      </c>
      <c r="D1202" s="11">
        <f>IF(C1202="","",C1202*(1+B1202/100))</f>
        <v/>
      </c>
      <c r="E1202" s="11">
        <f>IF(A1202="","",$B$6*TAN(RADIANS(A1202)))</f>
        <v/>
      </c>
    </row>
    <row r="1203">
      <c r="A1203" s="10" t="n"/>
      <c r="B1203" s="10" t="n"/>
      <c r="C1203" s="11">
        <f>IF(A1203="","",$B$5*TAN(RADIANS(A1203)))</f>
        <v/>
      </c>
      <c r="D1203" s="11">
        <f>IF(C1203="","",C1203*(1+B1203/100))</f>
        <v/>
      </c>
      <c r="E1203" s="11">
        <f>IF(A1203="","",$B$6*TAN(RADIANS(A1203)))</f>
        <v/>
      </c>
    </row>
    <row r="1204">
      <c r="A1204" s="10" t="n"/>
      <c r="B1204" s="10" t="n"/>
      <c r="C1204" s="11">
        <f>IF(A1204="","",$B$5*TAN(RADIANS(A1204)))</f>
        <v/>
      </c>
      <c r="D1204" s="11">
        <f>IF(C1204="","",C1204*(1+B1204/100))</f>
        <v/>
      </c>
      <c r="E1204" s="11">
        <f>IF(A1204="","",$B$6*TAN(RADIANS(A1204)))</f>
        <v/>
      </c>
    </row>
    <row r="1205">
      <c r="A1205" s="10" t="n"/>
      <c r="B1205" s="10" t="n"/>
      <c r="C1205" s="11">
        <f>IF(A1205="","",$B$5*TAN(RADIANS(A1205)))</f>
        <v/>
      </c>
      <c r="D1205" s="11">
        <f>IF(C1205="","",C1205*(1+B1205/100))</f>
        <v/>
      </c>
      <c r="E1205" s="11">
        <f>IF(A1205="","",$B$6*TAN(RADIANS(A1205)))</f>
        <v/>
      </c>
    </row>
    <row r="1206">
      <c r="A1206" s="10" t="n"/>
      <c r="B1206" s="10" t="n"/>
      <c r="C1206" s="11">
        <f>IF(A1206="","",$B$5*TAN(RADIANS(A1206)))</f>
        <v/>
      </c>
      <c r="D1206" s="11">
        <f>IF(C1206="","",C1206*(1+B1206/100))</f>
        <v/>
      </c>
      <c r="E1206" s="11">
        <f>IF(A1206="","",$B$6*TAN(RADIANS(A1206)))</f>
        <v/>
      </c>
    </row>
    <row r="1207">
      <c r="A1207" s="10" t="n"/>
      <c r="B1207" s="10" t="n"/>
      <c r="C1207" s="11">
        <f>IF(A1207="","",$B$5*TAN(RADIANS(A1207)))</f>
        <v/>
      </c>
      <c r="D1207" s="11">
        <f>IF(C1207="","",C1207*(1+B1207/100))</f>
        <v/>
      </c>
      <c r="E1207" s="11">
        <f>IF(A1207="","",$B$6*TAN(RADIANS(A1207)))</f>
        <v/>
      </c>
    </row>
    <row r="1208">
      <c r="A1208" s="10" t="n"/>
      <c r="B1208" s="10" t="n"/>
      <c r="C1208" s="11">
        <f>IF(A1208="","",$B$5*TAN(RADIANS(A1208)))</f>
        <v/>
      </c>
      <c r="D1208" s="11">
        <f>IF(C1208="","",C1208*(1+B1208/100))</f>
        <v/>
      </c>
      <c r="E1208" s="11">
        <f>IF(A1208="","",$B$6*TAN(RADIANS(A1208)))</f>
        <v/>
      </c>
    </row>
    <row r="1209">
      <c r="A1209" s="10" t="n"/>
      <c r="B1209" s="10" t="n"/>
      <c r="C1209" s="11">
        <f>IF(A1209="","",$B$5*TAN(RADIANS(A1209)))</f>
        <v/>
      </c>
      <c r="D1209" s="11">
        <f>IF(C1209="","",C1209*(1+B1209/100))</f>
        <v/>
      </c>
      <c r="E1209" s="11">
        <f>IF(A1209="","",$B$6*TAN(RADIANS(A1209)))</f>
        <v/>
      </c>
    </row>
    <row r="1210">
      <c r="A1210" s="10" t="n"/>
      <c r="B1210" s="10" t="n"/>
      <c r="C1210" s="11">
        <f>IF(A1210="","",$B$5*TAN(RADIANS(A1210)))</f>
        <v/>
      </c>
      <c r="D1210" s="11">
        <f>IF(C1210="","",C1210*(1+B1210/100))</f>
        <v/>
      </c>
      <c r="E1210" s="11">
        <f>IF(A1210="","",$B$6*TAN(RADIANS(A1210)))</f>
        <v/>
      </c>
    </row>
    <row r="1211">
      <c r="A1211" s="10" t="n"/>
      <c r="B1211" s="10" t="n"/>
      <c r="C1211" s="11">
        <f>IF(A1211="","",$B$5*TAN(RADIANS(A1211)))</f>
        <v/>
      </c>
      <c r="D1211" s="11">
        <f>IF(C1211="","",C1211*(1+B1211/100))</f>
        <v/>
      </c>
      <c r="E1211" s="11">
        <f>IF(A1211="","",$B$6*TAN(RADIANS(A1211)))</f>
        <v/>
      </c>
    </row>
    <row r="1212">
      <c r="A1212" s="10" t="n"/>
      <c r="B1212" s="10" t="n"/>
      <c r="C1212" s="11">
        <f>IF(A1212="","",$B$5*TAN(RADIANS(A1212)))</f>
        <v/>
      </c>
      <c r="D1212" s="11">
        <f>IF(C1212="","",C1212*(1+B1212/100))</f>
        <v/>
      </c>
      <c r="E1212" s="11">
        <f>IF(A1212="","",$B$6*TAN(RADIANS(A1212)))</f>
        <v/>
      </c>
    </row>
    <row r="1213">
      <c r="A1213" s="10" t="n"/>
      <c r="B1213" s="10" t="n"/>
      <c r="C1213" s="11">
        <f>IF(A1213="","",$B$5*TAN(RADIANS(A1213)))</f>
        <v/>
      </c>
      <c r="D1213" s="11">
        <f>IF(C1213="","",C1213*(1+B1213/100))</f>
        <v/>
      </c>
      <c r="E1213" s="11">
        <f>IF(A1213="","",$B$6*TAN(RADIANS(A1213)))</f>
        <v/>
      </c>
    </row>
    <row r="1214">
      <c r="A1214" s="10" t="n"/>
      <c r="B1214" s="10" t="n"/>
      <c r="C1214" s="11">
        <f>IF(A1214="","",$B$5*TAN(RADIANS(A1214)))</f>
        <v/>
      </c>
      <c r="D1214" s="11">
        <f>IF(C1214="","",C1214*(1+B1214/100))</f>
        <v/>
      </c>
      <c r="E1214" s="11">
        <f>IF(A1214="","",$B$6*TAN(RADIANS(A1214)))</f>
        <v/>
      </c>
    </row>
    <row r="1215">
      <c r="A1215" s="10" t="n"/>
      <c r="B1215" s="10" t="n"/>
      <c r="C1215" s="11">
        <f>IF(A1215="","",$B$5*TAN(RADIANS(A1215)))</f>
        <v/>
      </c>
      <c r="D1215" s="11">
        <f>IF(C1215="","",C1215*(1+B1215/100))</f>
        <v/>
      </c>
      <c r="E1215" s="11">
        <f>IF(A1215="","",$B$6*TAN(RADIANS(A1215)))</f>
        <v/>
      </c>
    </row>
    <row r="1216">
      <c r="A1216" s="10" t="n"/>
      <c r="B1216" s="10" t="n"/>
      <c r="C1216" s="11">
        <f>IF(A1216="","",$B$5*TAN(RADIANS(A1216)))</f>
        <v/>
      </c>
      <c r="D1216" s="11">
        <f>IF(C1216="","",C1216*(1+B1216/100))</f>
        <v/>
      </c>
      <c r="E1216" s="11">
        <f>IF(A1216="","",$B$6*TAN(RADIANS(A1216)))</f>
        <v/>
      </c>
    </row>
    <row r="1217">
      <c r="A1217" s="10" t="n"/>
      <c r="B1217" s="10" t="n"/>
      <c r="C1217" s="11">
        <f>IF(A1217="","",$B$5*TAN(RADIANS(A1217)))</f>
        <v/>
      </c>
      <c r="D1217" s="11">
        <f>IF(C1217="","",C1217*(1+B1217/100))</f>
        <v/>
      </c>
      <c r="E1217" s="11">
        <f>IF(A1217="","",$B$6*TAN(RADIANS(A1217)))</f>
        <v/>
      </c>
    </row>
    <row r="1218">
      <c r="A1218" s="10" t="n"/>
      <c r="B1218" s="10" t="n"/>
      <c r="C1218" s="11">
        <f>IF(A1218="","",$B$5*TAN(RADIANS(A1218)))</f>
        <v/>
      </c>
      <c r="D1218" s="11">
        <f>IF(C1218="","",C1218*(1+B1218/100))</f>
        <v/>
      </c>
      <c r="E1218" s="11">
        <f>IF(A1218="","",$B$6*TAN(RADIANS(A1218)))</f>
        <v/>
      </c>
    </row>
    <row r="1219">
      <c r="A1219" s="10" t="n"/>
      <c r="B1219" s="10" t="n"/>
      <c r="C1219" s="11">
        <f>IF(A1219="","",$B$5*TAN(RADIANS(A1219)))</f>
        <v/>
      </c>
      <c r="D1219" s="11">
        <f>IF(C1219="","",C1219*(1+B1219/100))</f>
        <v/>
      </c>
      <c r="E1219" s="11">
        <f>IF(A1219="","",$B$6*TAN(RADIANS(A1219)))</f>
        <v/>
      </c>
    </row>
    <row r="1220">
      <c r="A1220" s="10" t="n"/>
      <c r="B1220" s="10" t="n"/>
      <c r="C1220" s="11">
        <f>IF(A1220="","",$B$5*TAN(RADIANS(A1220)))</f>
        <v/>
      </c>
      <c r="D1220" s="11">
        <f>IF(C1220="","",C1220*(1+B1220/100))</f>
        <v/>
      </c>
      <c r="E1220" s="11">
        <f>IF(A1220="","",$B$6*TAN(RADIANS(A1220)))</f>
        <v/>
      </c>
    </row>
    <row r="1221">
      <c r="A1221" s="10" t="n"/>
      <c r="B1221" s="10" t="n"/>
      <c r="C1221" s="11">
        <f>IF(A1221="","",$B$5*TAN(RADIANS(A1221)))</f>
        <v/>
      </c>
      <c r="D1221" s="11">
        <f>IF(C1221="","",C1221*(1+B1221/100))</f>
        <v/>
      </c>
      <c r="E1221" s="11">
        <f>IF(A1221="","",$B$6*TAN(RADIANS(A1221)))</f>
        <v/>
      </c>
    </row>
    <row r="1222">
      <c r="A1222" s="10" t="n"/>
      <c r="B1222" s="10" t="n"/>
      <c r="C1222" s="11">
        <f>IF(A1222="","",$B$5*TAN(RADIANS(A1222)))</f>
        <v/>
      </c>
      <c r="D1222" s="11">
        <f>IF(C1222="","",C1222*(1+B1222/100))</f>
        <v/>
      </c>
      <c r="E1222" s="11">
        <f>IF(A1222="","",$B$6*TAN(RADIANS(A1222)))</f>
        <v/>
      </c>
    </row>
    <row r="1223">
      <c r="A1223" s="10" t="n"/>
      <c r="B1223" s="10" t="n"/>
      <c r="C1223" s="11">
        <f>IF(A1223="","",$B$5*TAN(RADIANS(A1223)))</f>
        <v/>
      </c>
      <c r="D1223" s="11">
        <f>IF(C1223="","",C1223*(1+B1223/100))</f>
        <v/>
      </c>
      <c r="E1223" s="11">
        <f>IF(A1223="","",$B$6*TAN(RADIANS(A1223)))</f>
        <v/>
      </c>
    </row>
    <row r="1224">
      <c r="A1224" s="10" t="n"/>
      <c r="B1224" s="10" t="n"/>
      <c r="C1224" s="11">
        <f>IF(A1224="","",$B$5*TAN(RADIANS(A1224)))</f>
        <v/>
      </c>
      <c r="D1224" s="11">
        <f>IF(C1224="","",C1224*(1+B1224/100))</f>
        <v/>
      </c>
      <c r="E1224" s="11">
        <f>IF(A1224="","",$B$6*TAN(RADIANS(A1224)))</f>
        <v/>
      </c>
    </row>
    <row r="1225">
      <c r="A1225" s="10" t="n"/>
      <c r="B1225" s="10" t="n"/>
      <c r="C1225" s="11">
        <f>IF(A1225="","",$B$5*TAN(RADIANS(A1225)))</f>
        <v/>
      </c>
      <c r="D1225" s="11">
        <f>IF(C1225="","",C1225*(1+B1225/100))</f>
        <v/>
      </c>
      <c r="E1225" s="11">
        <f>IF(A1225="","",$B$6*TAN(RADIANS(A1225)))</f>
        <v/>
      </c>
    </row>
    <row r="1226">
      <c r="A1226" s="10" t="n"/>
      <c r="B1226" s="10" t="n"/>
      <c r="C1226" s="11">
        <f>IF(A1226="","",$B$5*TAN(RADIANS(A1226)))</f>
        <v/>
      </c>
      <c r="D1226" s="11">
        <f>IF(C1226="","",C1226*(1+B1226/100))</f>
        <v/>
      </c>
      <c r="E1226" s="11">
        <f>IF(A1226="","",$B$6*TAN(RADIANS(A1226)))</f>
        <v/>
      </c>
    </row>
    <row r="1227">
      <c r="A1227" s="10" t="n"/>
      <c r="B1227" s="10" t="n"/>
      <c r="C1227" s="11">
        <f>IF(A1227="","",$B$5*TAN(RADIANS(A1227)))</f>
        <v/>
      </c>
      <c r="D1227" s="11">
        <f>IF(C1227="","",C1227*(1+B1227/100))</f>
        <v/>
      </c>
      <c r="E1227" s="11">
        <f>IF(A1227="","",$B$6*TAN(RADIANS(A1227)))</f>
        <v/>
      </c>
    </row>
    <row r="1228">
      <c r="A1228" s="10" t="n"/>
      <c r="B1228" s="10" t="n"/>
      <c r="C1228" s="11">
        <f>IF(A1228="","",$B$5*TAN(RADIANS(A1228)))</f>
        <v/>
      </c>
      <c r="D1228" s="11">
        <f>IF(C1228="","",C1228*(1+B1228/100))</f>
        <v/>
      </c>
      <c r="E1228" s="11">
        <f>IF(A1228="","",$B$6*TAN(RADIANS(A1228)))</f>
        <v/>
      </c>
    </row>
    <row r="1229">
      <c r="A1229" s="10" t="n"/>
      <c r="B1229" s="10" t="n"/>
      <c r="C1229" s="11">
        <f>IF(A1229="","",$B$5*TAN(RADIANS(A1229)))</f>
        <v/>
      </c>
      <c r="D1229" s="11">
        <f>IF(C1229="","",C1229*(1+B1229/100))</f>
        <v/>
      </c>
      <c r="E1229" s="11">
        <f>IF(A1229="","",$B$6*TAN(RADIANS(A1229)))</f>
        <v/>
      </c>
    </row>
    <row r="1230">
      <c r="A1230" s="10" t="n"/>
      <c r="B1230" s="10" t="n"/>
      <c r="C1230" s="11">
        <f>IF(A1230="","",$B$5*TAN(RADIANS(A1230)))</f>
        <v/>
      </c>
      <c r="D1230" s="11">
        <f>IF(C1230="","",C1230*(1+B1230/100))</f>
        <v/>
      </c>
      <c r="E1230" s="11">
        <f>IF(A1230="","",$B$6*TAN(RADIANS(A1230)))</f>
        <v/>
      </c>
    </row>
    <row r="1231">
      <c r="A1231" s="10" t="n"/>
      <c r="B1231" s="10" t="n"/>
      <c r="C1231" s="11">
        <f>IF(A1231="","",$B$5*TAN(RADIANS(A1231)))</f>
        <v/>
      </c>
      <c r="D1231" s="11">
        <f>IF(C1231="","",C1231*(1+B1231/100))</f>
        <v/>
      </c>
      <c r="E1231" s="11">
        <f>IF(A1231="","",$B$6*TAN(RADIANS(A1231)))</f>
        <v/>
      </c>
    </row>
    <row r="1232">
      <c r="A1232" s="10" t="n"/>
      <c r="B1232" s="10" t="n"/>
      <c r="C1232" s="11">
        <f>IF(A1232="","",$B$5*TAN(RADIANS(A1232)))</f>
        <v/>
      </c>
      <c r="D1232" s="11">
        <f>IF(C1232="","",C1232*(1+B1232/100))</f>
        <v/>
      </c>
      <c r="E1232" s="11">
        <f>IF(A1232="","",$B$6*TAN(RADIANS(A1232)))</f>
        <v/>
      </c>
    </row>
    <row r="1233">
      <c r="A1233" s="10" t="n"/>
      <c r="B1233" s="10" t="n"/>
      <c r="C1233" s="11">
        <f>IF(A1233="","",$B$5*TAN(RADIANS(A1233)))</f>
        <v/>
      </c>
      <c r="D1233" s="11">
        <f>IF(C1233="","",C1233*(1+B1233/100))</f>
        <v/>
      </c>
      <c r="E1233" s="11">
        <f>IF(A1233="","",$B$6*TAN(RADIANS(A1233)))</f>
        <v/>
      </c>
    </row>
    <row r="1234">
      <c r="A1234" s="10" t="n"/>
      <c r="B1234" s="10" t="n"/>
      <c r="C1234" s="11">
        <f>IF(A1234="","",$B$5*TAN(RADIANS(A1234)))</f>
        <v/>
      </c>
      <c r="D1234" s="11">
        <f>IF(C1234="","",C1234*(1+B1234/100))</f>
        <v/>
      </c>
      <c r="E1234" s="11">
        <f>IF(A1234="","",$B$6*TAN(RADIANS(A1234)))</f>
        <v/>
      </c>
    </row>
    <row r="1235">
      <c r="A1235" s="10" t="n"/>
      <c r="B1235" s="10" t="n"/>
      <c r="C1235" s="11">
        <f>IF(A1235="","",$B$5*TAN(RADIANS(A1235)))</f>
        <v/>
      </c>
      <c r="D1235" s="11">
        <f>IF(C1235="","",C1235*(1+B1235/100))</f>
        <v/>
      </c>
      <c r="E1235" s="11">
        <f>IF(A1235="","",$B$6*TAN(RADIANS(A1235)))</f>
        <v/>
      </c>
    </row>
    <row r="1236">
      <c r="A1236" s="10" t="n"/>
      <c r="B1236" s="10" t="n"/>
      <c r="C1236" s="11">
        <f>IF(A1236="","",$B$5*TAN(RADIANS(A1236)))</f>
        <v/>
      </c>
      <c r="D1236" s="11">
        <f>IF(C1236="","",C1236*(1+B1236/100))</f>
        <v/>
      </c>
      <c r="E1236" s="11">
        <f>IF(A1236="","",$B$6*TAN(RADIANS(A1236)))</f>
        <v/>
      </c>
    </row>
    <row r="1237">
      <c r="A1237" s="10" t="n"/>
      <c r="B1237" s="10" t="n"/>
      <c r="C1237" s="11">
        <f>IF(A1237="","",$B$5*TAN(RADIANS(A1237)))</f>
        <v/>
      </c>
      <c r="D1237" s="11">
        <f>IF(C1237="","",C1237*(1+B1237/100))</f>
        <v/>
      </c>
      <c r="E1237" s="11">
        <f>IF(A1237="","",$B$6*TAN(RADIANS(A1237)))</f>
        <v/>
      </c>
    </row>
    <row r="1238">
      <c r="A1238" s="10" t="n"/>
      <c r="B1238" s="10" t="n"/>
      <c r="C1238" s="11">
        <f>IF(A1238="","",$B$5*TAN(RADIANS(A1238)))</f>
        <v/>
      </c>
      <c r="D1238" s="11">
        <f>IF(C1238="","",C1238*(1+B1238/100))</f>
        <v/>
      </c>
      <c r="E1238" s="11">
        <f>IF(A1238="","",$B$6*TAN(RADIANS(A1238)))</f>
        <v/>
      </c>
    </row>
    <row r="1239">
      <c r="A1239" s="10" t="n"/>
      <c r="B1239" s="10" t="n"/>
      <c r="C1239" s="11">
        <f>IF(A1239="","",$B$5*TAN(RADIANS(A1239)))</f>
        <v/>
      </c>
      <c r="D1239" s="11">
        <f>IF(C1239="","",C1239*(1+B1239/100))</f>
        <v/>
      </c>
      <c r="E1239" s="11">
        <f>IF(A1239="","",$B$6*TAN(RADIANS(A1239)))</f>
        <v/>
      </c>
    </row>
    <row r="1240">
      <c r="A1240" s="10" t="n"/>
      <c r="B1240" s="10" t="n"/>
      <c r="C1240" s="11">
        <f>IF(A1240="","",$B$5*TAN(RADIANS(A1240)))</f>
        <v/>
      </c>
      <c r="D1240" s="11">
        <f>IF(C1240="","",C1240*(1+B1240/100))</f>
        <v/>
      </c>
      <c r="E1240" s="11">
        <f>IF(A1240="","",$B$6*TAN(RADIANS(A1240)))</f>
        <v/>
      </c>
    </row>
    <row r="1241">
      <c r="A1241" s="10" t="n"/>
      <c r="B1241" s="10" t="n"/>
      <c r="C1241" s="11">
        <f>IF(A1241="","",$B$5*TAN(RADIANS(A1241)))</f>
        <v/>
      </c>
      <c r="D1241" s="11">
        <f>IF(C1241="","",C1241*(1+B1241/100))</f>
        <v/>
      </c>
      <c r="E1241" s="11">
        <f>IF(A1241="","",$B$6*TAN(RADIANS(A1241)))</f>
        <v/>
      </c>
    </row>
    <row r="1242">
      <c r="A1242" s="10" t="n"/>
      <c r="B1242" s="10" t="n"/>
      <c r="C1242" s="11">
        <f>IF(A1242="","",$B$5*TAN(RADIANS(A1242)))</f>
        <v/>
      </c>
      <c r="D1242" s="11">
        <f>IF(C1242="","",C1242*(1+B1242/100))</f>
        <v/>
      </c>
      <c r="E1242" s="11">
        <f>IF(A1242="","",$B$6*TAN(RADIANS(A1242)))</f>
        <v/>
      </c>
    </row>
    <row r="1243">
      <c r="A1243" s="10" t="n"/>
      <c r="B1243" s="10" t="n"/>
      <c r="C1243" s="11">
        <f>IF(A1243="","",$B$5*TAN(RADIANS(A1243)))</f>
        <v/>
      </c>
      <c r="D1243" s="11">
        <f>IF(C1243="","",C1243*(1+B1243/100))</f>
        <v/>
      </c>
      <c r="E1243" s="11">
        <f>IF(A1243="","",$B$6*TAN(RADIANS(A1243)))</f>
        <v/>
      </c>
    </row>
    <row r="1244">
      <c r="A1244" s="10" t="n"/>
      <c r="B1244" s="10" t="n"/>
      <c r="C1244" s="11">
        <f>IF(A1244="","",$B$5*TAN(RADIANS(A1244)))</f>
        <v/>
      </c>
      <c r="D1244" s="11">
        <f>IF(C1244="","",C1244*(1+B1244/100))</f>
        <v/>
      </c>
      <c r="E1244" s="11">
        <f>IF(A1244="","",$B$6*TAN(RADIANS(A1244)))</f>
        <v/>
      </c>
    </row>
    <row r="1245">
      <c r="A1245" s="10" t="n"/>
      <c r="B1245" s="10" t="n"/>
      <c r="C1245" s="11">
        <f>IF(A1245="","",$B$5*TAN(RADIANS(A1245)))</f>
        <v/>
      </c>
      <c r="D1245" s="11">
        <f>IF(C1245="","",C1245*(1+B1245/100))</f>
        <v/>
      </c>
      <c r="E1245" s="11">
        <f>IF(A1245="","",$B$6*TAN(RADIANS(A1245)))</f>
        <v/>
      </c>
    </row>
    <row r="1246">
      <c r="A1246" s="10" t="n"/>
      <c r="B1246" s="10" t="n"/>
      <c r="C1246" s="11">
        <f>IF(A1246="","",$B$5*TAN(RADIANS(A1246)))</f>
        <v/>
      </c>
      <c r="D1246" s="11">
        <f>IF(C1246="","",C1246*(1+B1246/100))</f>
        <v/>
      </c>
      <c r="E1246" s="11">
        <f>IF(A1246="","",$B$6*TAN(RADIANS(A1246)))</f>
        <v/>
      </c>
    </row>
    <row r="1247">
      <c r="A1247" s="10" t="n"/>
      <c r="B1247" s="10" t="n"/>
      <c r="C1247" s="11">
        <f>IF(A1247="","",$B$5*TAN(RADIANS(A1247)))</f>
        <v/>
      </c>
      <c r="D1247" s="11">
        <f>IF(C1247="","",C1247*(1+B1247/100))</f>
        <v/>
      </c>
      <c r="E1247" s="11">
        <f>IF(A1247="","",$B$6*TAN(RADIANS(A1247)))</f>
        <v/>
      </c>
    </row>
    <row r="1248">
      <c r="A1248" s="10" t="n"/>
      <c r="B1248" s="10" t="n"/>
      <c r="C1248" s="11">
        <f>IF(A1248="","",$B$5*TAN(RADIANS(A1248)))</f>
        <v/>
      </c>
      <c r="D1248" s="11">
        <f>IF(C1248="","",C1248*(1+B1248/100))</f>
        <v/>
      </c>
      <c r="E1248" s="11">
        <f>IF(A1248="","",$B$6*TAN(RADIANS(A1248)))</f>
        <v/>
      </c>
    </row>
    <row r="1249">
      <c r="A1249" s="10" t="n"/>
      <c r="B1249" s="10" t="n"/>
      <c r="C1249" s="11">
        <f>IF(A1249="","",$B$5*TAN(RADIANS(A1249)))</f>
        <v/>
      </c>
      <c r="D1249" s="11">
        <f>IF(C1249="","",C1249*(1+B1249/100))</f>
        <v/>
      </c>
      <c r="E1249" s="11">
        <f>IF(A1249="","",$B$6*TAN(RADIANS(A1249)))</f>
        <v/>
      </c>
    </row>
    <row r="1250">
      <c r="A1250" s="10" t="n"/>
      <c r="B1250" s="10" t="n"/>
      <c r="C1250" s="11">
        <f>IF(A1250="","",$B$5*TAN(RADIANS(A1250)))</f>
        <v/>
      </c>
      <c r="D1250" s="11">
        <f>IF(C1250="","",C1250*(1+B1250/100))</f>
        <v/>
      </c>
      <c r="E1250" s="11">
        <f>IF(A1250="","",$B$6*TAN(RADIANS(A1250)))</f>
        <v/>
      </c>
    </row>
    <row r="1251">
      <c r="A1251" s="10" t="n"/>
      <c r="B1251" s="10" t="n"/>
      <c r="C1251" s="11">
        <f>IF(A1251="","",$B$5*TAN(RADIANS(A1251)))</f>
        <v/>
      </c>
      <c r="D1251" s="11">
        <f>IF(C1251="","",C1251*(1+B1251/100))</f>
        <v/>
      </c>
      <c r="E1251" s="11">
        <f>IF(A1251="","",$B$6*TAN(RADIANS(A1251)))</f>
        <v/>
      </c>
    </row>
    <row r="1252">
      <c r="A1252" s="10" t="n"/>
      <c r="B1252" s="10" t="n"/>
      <c r="C1252" s="11">
        <f>IF(A1252="","",$B$5*TAN(RADIANS(A1252)))</f>
        <v/>
      </c>
      <c r="D1252" s="11">
        <f>IF(C1252="","",C1252*(1+B1252/100))</f>
        <v/>
      </c>
      <c r="E1252" s="11">
        <f>IF(A1252="","",$B$6*TAN(RADIANS(A1252)))</f>
        <v/>
      </c>
    </row>
    <row r="1253">
      <c r="A1253" s="10" t="n"/>
      <c r="B1253" s="10" t="n"/>
      <c r="C1253" s="11">
        <f>IF(A1253="","",$B$5*TAN(RADIANS(A1253)))</f>
        <v/>
      </c>
      <c r="D1253" s="11">
        <f>IF(C1253="","",C1253*(1+B1253/100))</f>
        <v/>
      </c>
      <c r="E1253" s="11">
        <f>IF(A1253="","",$B$6*TAN(RADIANS(A1253)))</f>
        <v/>
      </c>
    </row>
    <row r="1254">
      <c r="A1254" s="10" t="n"/>
      <c r="B1254" s="10" t="n"/>
      <c r="C1254" s="11">
        <f>IF(A1254="","",$B$5*TAN(RADIANS(A1254)))</f>
        <v/>
      </c>
      <c r="D1254" s="11">
        <f>IF(C1254="","",C1254*(1+B1254/100))</f>
        <v/>
      </c>
      <c r="E1254" s="11">
        <f>IF(A1254="","",$B$6*TAN(RADIANS(A1254)))</f>
        <v/>
      </c>
    </row>
    <row r="1255">
      <c r="A1255" s="10" t="n"/>
      <c r="B1255" s="10" t="n"/>
      <c r="C1255" s="11">
        <f>IF(A1255="","",$B$5*TAN(RADIANS(A1255)))</f>
        <v/>
      </c>
      <c r="D1255" s="11">
        <f>IF(C1255="","",C1255*(1+B1255/100))</f>
        <v/>
      </c>
      <c r="E1255" s="11">
        <f>IF(A1255="","",$B$6*TAN(RADIANS(A1255)))</f>
        <v/>
      </c>
    </row>
    <row r="1256">
      <c r="A1256" s="10" t="n"/>
      <c r="B1256" s="10" t="n"/>
      <c r="C1256" s="11">
        <f>IF(A1256="","",$B$5*TAN(RADIANS(A1256)))</f>
        <v/>
      </c>
      <c r="D1256" s="11">
        <f>IF(C1256="","",C1256*(1+B1256/100))</f>
        <v/>
      </c>
      <c r="E1256" s="11">
        <f>IF(A1256="","",$B$6*TAN(RADIANS(A1256)))</f>
        <v/>
      </c>
    </row>
    <row r="1257">
      <c r="A1257" s="10" t="n"/>
      <c r="B1257" s="10" t="n"/>
      <c r="C1257" s="11">
        <f>IF(A1257="","",$B$5*TAN(RADIANS(A1257)))</f>
        <v/>
      </c>
      <c r="D1257" s="11">
        <f>IF(C1257="","",C1257*(1+B1257/100))</f>
        <v/>
      </c>
      <c r="E1257" s="11">
        <f>IF(A1257="","",$B$6*TAN(RADIANS(A1257)))</f>
        <v/>
      </c>
    </row>
    <row r="1258">
      <c r="A1258" s="10" t="n"/>
      <c r="B1258" s="10" t="n"/>
      <c r="C1258" s="11">
        <f>IF(A1258="","",$B$5*TAN(RADIANS(A1258)))</f>
        <v/>
      </c>
      <c r="D1258" s="11">
        <f>IF(C1258="","",C1258*(1+B1258/100))</f>
        <v/>
      </c>
      <c r="E1258" s="11">
        <f>IF(A1258="","",$B$6*TAN(RADIANS(A1258)))</f>
        <v/>
      </c>
    </row>
    <row r="1259">
      <c r="A1259" s="10" t="n"/>
      <c r="B1259" s="10" t="n"/>
      <c r="C1259" s="11">
        <f>IF(A1259="","",$B$5*TAN(RADIANS(A1259)))</f>
        <v/>
      </c>
      <c r="D1259" s="11">
        <f>IF(C1259="","",C1259*(1+B1259/100))</f>
        <v/>
      </c>
      <c r="E1259" s="11">
        <f>IF(A1259="","",$B$6*TAN(RADIANS(A1259)))</f>
        <v/>
      </c>
    </row>
    <row r="1260">
      <c r="A1260" s="10" t="n"/>
      <c r="B1260" s="10" t="n"/>
      <c r="C1260" s="11">
        <f>IF(A1260="","",$B$5*TAN(RADIANS(A1260)))</f>
        <v/>
      </c>
      <c r="D1260" s="11">
        <f>IF(C1260="","",C1260*(1+B1260/100))</f>
        <v/>
      </c>
      <c r="E1260" s="11">
        <f>IF(A1260="","",$B$6*TAN(RADIANS(A1260)))</f>
        <v/>
      </c>
    </row>
    <row r="1261">
      <c r="A1261" s="10" t="n"/>
      <c r="B1261" s="10" t="n"/>
      <c r="C1261" s="11">
        <f>IF(A1261="","",$B$5*TAN(RADIANS(A1261)))</f>
        <v/>
      </c>
      <c r="D1261" s="11">
        <f>IF(C1261="","",C1261*(1+B1261/100))</f>
        <v/>
      </c>
      <c r="E1261" s="11">
        <f>IF(A1261="","",$B$6*TAN(RADIANS(A1261)))</f>
        <v/>
      </c>
    </row>
    <row r="1262">
      <c r="A1262" s="10" t="n"/>
      <c r="B1262" s="10" t="n"/>
      <c r="C1262" s="11">
        <f>IF(A1262="","",$B$5*TAN(RADIANS(A1262)))</f>
        <v/>
      </c>
      <c r="D1262" s="11">
        <f>IF(C1262="","",C1262*(1+B1262/100))</f>
        <v/>
      </c>
      <c r="E1262" s="11">
        <f>IF(A1262="","",$B$6*TAN(RADIANS(A1262)))</f>
        <v/>
      </c>
    </row>
    <row r="1263">
      <c r="A1263" s="10" t="n"/>
      <c r="B1263" s="10" t="n"/>
      <c r="C1263" s="11">
        <f>IF(A1263="","",$B$5*TAN(RADIANS(A1263)))</f>
        <v/>
      </c>
      <c r="D1263" s="11">
        <f>IF(C1263="","",C1263*(1+B1263/100))</f>
        <v/>
      </c>
      <c r="E1263" s="11">
        <f>IF(A1263="","",$B$6*TAN(RADIANS(A1263)))</f>
        <v/>
      </c>
    </row>
    <row r="1264">
      <c r="A1264" s="10" t="n"/>
      <c r="B1264" s="10" t="n"/>
      <c r="C1264" s="11">
        <f>IF(A1264="","",$B$5*TAN(RADIANS(A1264)))</f>
        <v/>
      </c>
      <c r="D1264" s="11">
        <f>IF(C1264="","",C1264*(1+B1264/100))</f>
        <v/>
      </c>
      <c r="E1264" s="11">
        <f>IF(A1264="","",$B$6*TAN(RADIANS(A1264)))</f>
        <v/>
      </c>
    </row>
    <row r="1265">
      <c r="A1265" s="10" t="n"/>
      <c r="B1265" s="10" t="n"/>
      <c r="C1265" s="11">
        <f>IF(A1265="","",$B$5*TAN(RADIANS(A1265)))</f>
        <v/>
      </c>
      <c r="D1265" s="11">
        <f>IF(C1265="","",C1265*(1+B1265/100))</f>
        <v/>
      </c>
      <c r="E1265" s="11">
        <f>IF(A1265="","",$B$6*TAN(RADIANS(A1265)))</f>
        <v/>
      </c>
    </row>
    <row r="1266">
      <c r="A1266" s="10" t="n"/>
      <c r="B1266" s="10" t="n"/>
      <c r="C1266" s="11">
        <f>IF(A1266="","",$B$5*TAN(RADIANS(A1266)))</f>
        <v/>
      </c>
      <c r="D1266" s="11">
        <f>IF(C1266="","",C1266*(1+B1266/100))</f>
        <v/>
      </c>
      <c r="E1266" s="11">
        <f>IF(A1266="","",$B$6*TAN(RADIANS(A1266)))</f>
        <v/>
      </c>
    </row>
    <row r="1267">
      <c r="A1267" s="10" t="n"/>
      <c r="B1267" s="10" t="n"/>
      <c r="C1267" s="11">
        <f>IF(A1267="","",$B$5*TAN(RADIANS(A1267)))</f>
        <v/>
      </c>
      <c r="D1267" s="11">
        <f>IF(C1267="","",C1267*(1+B1267/100))</f>
        <v/>
      </c>
      <c r="E1267" s="11">
        <f>IF(A1267="","",$B$6*TAN(RADIANS(A1267)))</f>
        <v/>
      </c>
    </row>
    <row r="1268">
      <c r="A1268" s="10" t="n"/>
      <c r="B1268" s="10" t="n"/>
      <c r="C1268" s="11">
        <f>IF(A1268="","",$B$5*TAN(RADIANS(A1268)))</f>
        <v/>
      </c>
      <c r="D1268" s="11">
        <f>IF(C1268="","",C1268*(1+B1268/100))</f>
        <v/>
      </c>
      <c r="E1268" s="11">
        <f>IF(A1268="","",$B$6*TAN(RADIANS(A1268)))</f>
        <v/>
      </c>
    </row>
    <row r="1269">
      <c r="A1269" s="10" t="n"/>
      <c r="B1269" s="10" t="n"/>
      <c r="C1269" s="11">
        <f>IF(A1269="","",$B$5*TAN(RADIANS(A1269)))</f>
        <v/>
      </c>
      <c r="D1269" s="11">
        <f>IF(C1269="","",C1269*(1+B1269/100))</f>
        <v/>
      </c>
      <c r="E1269" s="11">
        <f>IF(A1269="","",$B$6*TAN(RADIANS(A1269)))</f>
        <v/>
      </c>
    </row>
    <row r="1270">
      <c r="A1270" s="10" t="n"/>
      <c r="B1270" s="10" t="n"/>
      <c r="C1270" s="11">
        <f>IF(A1270="","",$B$5*TAN(RADIANS(A1270)))</f>
        <v/>
      </c>
      <c r="D1270" s="11">
        <f>IF(C1270="","",C1270*(1+B1270/100))</f>
        <v/>
      </c>
      <c r="E1270" s="11">
        <f>IF(A1270="","",$B$6*TAN(RADIANS(A1270)))</f>
        <v/>
      </c>
    </row>
    <row r="1271">
      <c r="A1271" s="10" t="n"/>
      <c r="B1271" s="10" t="n"/>
      <c r="C1271" s="11">
        <f>IF(A1271="","",$B$5*TAN(RADIANS(A1271)))</f>
        <v/>
      </c>
      <c r="D1271" s="11">
        <f>IF(C1271="","",C1271*(1+B1271/100))</f>
        <v/>
      </c>
      <c r="E1271" s="11">
        <f>IF(A1271="","",$B$6*TAN(RADIANS(A1271)))</f>
        <v/>
      </c>
    </row>
    <row r="1272">
      <c r="A1272" s="10" t="n"/>
      <c r="B1272" s="10" t="n"/>
      <c r="C1272" s="11">
        <f>IF(A1272="","",$B$5*TAN(RADIANS(A1272)))</f>
        <v/>
      </c>
      <c r="D1272" s="11">
        <f>IF(C1272="","",C1272*(1+B1272/100))</f>
        <v/>
      </c>
      <c r="E1272" s="11">
        <f>IF(A1272="","",$B$6*TAN(RADIANS(A1272)))</f>
        <v/>
      </c>
    </row>
    <row r="1273">
      <c r="A1273" s="10" t="n"/>
      <c r="B1273" s="10" t="n"/>
      <c r="C1273" s="11">
        <f>IF(A1273="","",$B$5*TAN(RADIANS(A1273)))</f>
        <v/>
      </c>
      <c r="D1273" s="11">
        <f>IF(C1273="","",C1273*(1+B1273/100))</f>
        <v/>
      </c>
      <c r="E1273" s="11">
        <f>IF(A1273="","",$B$6*TAN(RADIANS(A1273)))</f>
        <v/>
      </c>
    </row>
    <row r="1274">
      <c r="A1274" s="10" t="n"/>
      <c r="B1274" s="10" t="n"/>
      <c r="C1274" s="11">
        <f>IF(A1274="","",$B$5*TAN(RADIANS(A1274)))</f>
        <v/>
      </c>
      <c r="D1274" s="11">
        <f>IF(C1274="","",C1274*(1+B1274/100))</f>
        <v/>
      </c>
      <c r="E1274" s="11">
        <f>IF(A1274="","",$B$6*TAN(RADIANS(A1274)))</f>
        <v/>
      </c>
    </row>
    <row r="1275">
      <c r="A1275" s="10" t="n"/>
      <c r="B1275" s="10" t="n"/>
      <c r="C1275" s="11">
        <f>IF(A1275="","",$B$5*TAN(RADIANS(A1275)))</f>
        <v/>
      </c>
      <c r="D1275" s="11">
        <f>IF(C1275="","",C1275*(1+B1275/100))</f>
        <v/>
      </c>
      <c r="E1275" s="11">
        <f>IF(A1275="","",$B$6*TAN(RADIANS(A1275)))</f>
        <v/>
      </c>
    </row>
    <row r="1276">
      <c r="A1276" s="10" t="n"/>
      <c r="B1276" s="10" t="n"/>
      <c r="C1276" s="11">
        <f>IF(A1276="","",$B$5*TAN(RADIANS(A1276)))</f>
        <v/>
      </c>
      <c r="D1276" s="11">
        <f>IF(C1276="","",C1276*(1+B1276/100))</f>
        <v/>
      </c>
      <c r="E1276" s="11">
        <f>IF(A1276="","",$B$6*TAN(RADIANS(A1276)))</f>
        <v/>
      </c>
    </row>
    <row r="1277">
      <c r="A1277" s="10" t="n"/>
      <c r="B1277" s="10" t="n"/>
      <c r="C1277" s="11">
        <f>IF(A1277="","",$B$5*TAN(RADIANS(A1277)))</f>
        <v/>
      </c>
      <c r="D1277" s="11">
        <f>IF(C1277="","",C1277*(1+B1277/100))</f>
        <v/>
      </c>
      <c r="E1277" s="11">
        <f>IF(A1277="","",$B$6*TAN(RADIANS(A1277)))</f>
        <v/>
      </c>
    </row>
    <row r="1278">
      <c r="A1278" s="10" t="n"/>
      <c r="B1278" s="10" t="n"/>
      <c r="C1278" s="11">
        <f>IF(A1278="","",$B$5*TAN(RADIANS(A1278)))</f>
        <v/>
      </c>
      <c r="D1278" s="11">
        <f>IF(C1278="","",C1278*(1+B1278/100))</f>
        <v/>
      </c>
      <c r="E1278" s="11">
        <f>IF(A1278="","",$B$6*TAN(RADIANS(A1278)))</f>
        <v/>
      </c>
    </row>
    <row r="1279">
      <c r="A1279" s="10" t="n"/>
      <c r="B1279" s="10" t="n"/>
      <c r="C1279" s="11">
        <f>IF(A1279="","",$B$5*TAN(RADIANS(A1279)))</f>
        <v/>
      </c>
      <c r="D1279" s="11">
        <f>IF(C1279="","",C1279*(1+B1279/100))</f>
        <v/>
      </c>
      <c r="E1279" s="11">
        <f>IF(A1279="","",$B$6*TAN(RADIANS(A1279)))</f>
        <v/>
      </c>
    </row>
    <row r="1280">
      <c r="A1280" s="10" t="n"/>
      <c r="B1280" s="10" t="n"/>
      <c r="C1280" s="11">
        <f>IF(A1280="","",$B$5*TAN(RADIANS(A1280)))</f>
        <v/>
      </c>
      <c r="D1280" s="11">
        <f>IF(C1280="","",C1280*(1+B1280/100))</f>
        <v/>
      </c>
      <c r="E1280" s="11">
        <f>IF(A1280="","",$B$6*TAN(RADIANS(A1280)))</f>
        <v/>
      </c>
    </row>
    <row r="1281">
      <c r="A1281" s="10" t="n"/>
      <c r="B1281" s="10" t="n"/>
      <c r="C1281" s="11">
        <f>IF(A1281="","",$B$5*TAN(RADIANS(A1281)))</f>
        <v/>
      </c>
      <c r="D1281" s="11">
        <f>IF(C1281="","",C1281*(1+B1281/100))</f>
        <v/>
      </c>
      <c r="E1281" s="11">
        <f>IF(A1281="","",$B$6*TAN(RADIANS(A1281)))</f>
        <v/>
      </c>
    </row>
    <row r="1282">
      <c r="A1282" s="10" t="n"/>
      <c r="B1282" s="10" t="n"/>
      <c r="C1282" s="11">
        <f>IF(A1282="","",$B$5*TAN(RADIANS(A1282)))</f>
        <v/>
      </c>
      <c r="D1282" s="11">
        <f>IF(C1282="","",C1282*(1+B1282/100))</f>
        <v/>
      </c>
      <c r="E1282" s="11">
        <f>IF(A1282="","",$B$6*TAN(RADIANS(A1282)))</f>
        <v/>
      </c>
    </row>
    <row r="1283">
      <c r="A1283" s="10" t="n"/>
      <c r="B1283" s="10" t="n"/>
      <c r="C1283" s="11">
        <f>IF(A1283="","",$B$5*TAN(RADIANS(A1283)))</f>
        <v/>
      </c>
      <c r="D1283" s="11">
        <f>IF(C1283="","",C1283*(1+B1283/100))</f>
        <v/>
      </c>
      <c r="E1283" s="11">
        <f>IF(A1283="","",$B$6*TAN(RADIANS(A1283)))</f>
        <v/>
      </c>
    </row>
    <row r="1284">
      <c r="A1284" s="10" t="n"/>
      <c r="B1284" s="10" t="n"/>
      <c r="C1284" s="11">
        <f>IF(A1284="","",$B$5*TAN(RADIANS(A1284)))</f>
        <v/>
      </c>
      <c r="D1284" s="11">
        <f>IF(C1284="","",C1284*(1+B1284/100))</f>
        <v/>
      </c>
      <c r="E1284" s="11">
        <f>IF(A1284="","",$B$6*TAN(RADIANS(A1284)))</f>
        <v/>
      </c>
    </row>
    <row r="1285">
      <c r="A1285" s="10" t="n"/>
      <c r="B1285" s="10" t="n"/>
      <c r="C1285" s="11">
        <f>IF(A1285="","",$B$5*TAN(RADIANS(A1285)))</f>
        <v/>
      </c>
      <c r="D1285" s="11">
        <f>IF(C1285="","",C1285*(1+B1285/100))</f>
        <v/>
      </c>
      <c r="E1285" s="11">
        <f>IF(A1285="","",$B$6*TAN(RADIANS(A1285)))</f>
        <v/>
      </c>
    </row>
    <row r="1286">
      <c r="A1286" s="10" t="n"/>
      <c r="B1286" s="10" t="n"/>
      <c r="C1286" s="11">
        <f>IF(A1286="","",$B$5*TAN(RADIANS(A1286)))</f>
        <v/>
      </c>
      <c r="D1286" s="11">
        <f>IF(C1286="","",C1286*(1+B1286/100))</f>
        <v/>
      </c>
      <c r="E1286" s="11">
        <f>IF(A1286="","",$B$6*TAN(RADIANS(A1286)))</f>
        <v/>
      </c>
    </row>
    <row r="1287">
      <c r="A1287" s="10" t="n"/>
      <c r="B1287" s="10" t="n"/>
      <c r="C1287" s="11">
        <f>IF(A1287="","",$B$5*TAN(RADIANS(A1287)))</f>
        <v/>
      </c>
      <c r="D1287" s="11">
        <f>IF(C1287="","",C1287*(1+B1287/100))</f>
        <v/>
      </c>
      <c r="E1287" s="11">
        <f>IF(A1287="","",$B$6*TAN(RADIANS(A1287)))</f>
        <v/>
      </c>
    </row>
    <row r="1288">
      <c r="A1288" s="10" t="n"/>
      <c r="B1288" s="10" t="n"/>
      <c r="C1288" s="11">
        <f>IF(A1288="","",$B$5*TAN(RADIANS(A1288)))</f>
        <v/>
      </c>
      <c r="D1288" s="11">
        <f>IF(C1288="","",C1288*(1+B1288/100))</f>
        <v/>
      </c>
      <c r="E1288" s="11">
        <f>IF(A1288="","",$B$6*TAN(RADIANS(A1288)))</f>
        <v/>
      </c>
    </row>
    <row r="1289">
      <c r="A1289" s="10" t="n"/>
      <c r="B1289" s="10" t="n"/>
      <c r="C1289" s="11">
        <f>IF(A1289="","",$B$5*TAN(RADIANS(A1289)))</f>
        <v/>
      </c>
      <c r="D1289" s="11">
        <f>IF(C1289="","",C1289*(1+B1289/100))</f>
        <v/>
      </c>
      <c r="E1289" s="11">
        <f>IF(A1289="","",$B$6*TAN(RADIANS(A1289)))</f>
        <v/>
      </c>
    </row>
    <row r="1290">
      <c r="A1290" s="10" t="n"/>
      <c r="B1290" s="10" t="n"/>
      <c r="C1290" s="11">
        <f>IF(A1290="","",$B$5*TAN(RADIANS(A1290)))</f>
        <v/>
      </c>
      <c r="D1290" s="11">
        <f>IF(C1290="","",C1290*(1+B1290/100))</f>
        <v/>
      </c>
      <c r="E1290" s="11">
        <f>IF(A1290="","",$B$6*TAN(RADIANS(A1290)))</f>
        <v/>
      </c>
    </row>
    <row r="1291">
      <c r="A1291" s="10" t="n"/>
      <c r="B1291" s="10" t="n"/>
      <c r="C1291" s="11">
        <f>IF(A1291="","",$B$5*TAN(RADIANS(A1291)))</f>
        <v/>
      </c>
      <c r="D1291" s="11">
        <f>IF(C1291="","",C1291*(1+B1291/100))</f>
        <v/>
      </c>
      <c r="E1291" s="11">
        <f>IF(A1291="","",$B$6*TAN(RADIANS(A1291)))</f>
        <v/>
      </c>
    </row>
    <row r="1292">
      <c r="A1292" s="10" t="n"/>
      <c r="B1292" s="10" t="n"/>
      <c r="C1292" s="11">
        <f>IF(A1292="","",$B$5*TAN(RADIANS(A1292)))</f>
        <v/>
      </c>
      <c r="D1292" s="11">
        <f>IF(C1292="","",C1292*(1+B1292/100))</f>
        <v/>
      </c>
      <c r="E1292" s="11">
        <f>IF(A1292="","",$B$6*TAN(RADIANS(A1292)))</f>
        <v/>
      </c>
    </row>
    <row r="1293">
      <c r="A1293" s="10" t="n"/>
      <c r="B1293" s="10" t="n"/>
      <c r="C1293" s="11">
        <f>IF(A1293="","",$B$5*TAN(RADIANS(A1293)))</f>
        <v/>
      </c>
      <c r="D1293" s="11">
        <f>IF(C1293="","",C1293*(1+B1293/100))</f>
        <v/>
      </c>
      <c r="E1293" s="11">
        <f>IF(A1293="","",$B$6*TAN(RADIANS(A1293)))</f>
        <v/>
      </c>
    </row>
    <row r="1294">
      <c r="A1294" s="10" t="n"/>
      <c r="B1294" s="10" t="n"/>
      <c r="C1294" s="11">
        <f>IF(A1294="","",$B$5*TAN(RADIANS(A1294)))</f>
        <v/>
      </c>
      <c r="D1294" s="11">
        <f>IF(C1294="","",C1294*(1+B1294/100))</f>
        <v/>
      </c>
      <c r="E1294" s="11">
        <f>IF(A1294="","",$B$6*TAN(RADIANS(A1294)))</f>
        <v/>
      </c>
    </row>
    <row r="1295">
      <c r="A1295" s="10" t="n"/>
      <c r="B1295" s="10" t="n"/>
      <c r="C1295" s="11">
        <f>IF(A1295="","",$B$5*TAN(RADIANS(A1295)))</f>
        <v/>
      </c>
      <c r="D1295" s="11">
        <f>IF(C1295="","",C1295*(1+B1295/100))</f>
        <v/>
      </c>
      <c r="E1295" s="11">
        <f>IF(A1295="","",$B$6*TAN(RADIANS(A1295)))</f>
        <v/>
      </c>
    </row>
    <row r="1296">
      <c r="A1296" s="10" t="n"/>
      <c r="B1296" s="10" t="n"/>
      <c r="C1296" s="11">
        <f>IF(A1296="","",$B$5*TAN(RADIANS(A1296)))</f>
        <v/>
      </c>
      <c r="D1296" s="11">
        <f>IF(C1296="","",C1296*(1+B1296/100))</f>
        <v/>
      </c>
      <c r="E1296" s="11">
        <f>IF(A1296="","",$B$6*TAN(RADIANS(A1296)))</f>
        <v/>
      </c>
    </row>
    <row r="1297">
      <c r="A1297" s="10" t="n"/>
      <c r="B1297" s="10" t="n"/>
      <c r="C1297" s="11">
        <f>IF(A1297="","",$B$5*TAN(RADIANS(A1297)))</f>
        <v/>
      </c>
      <c r="D1297" s="11">
        <f>IF(C1297="","",C1297*(1+B1297/100))</f>
        <v/>
      </c>
      <c r="E1297" s="11">
        <f>IF(A1297="","",$B$6*TAN(RADIANS(A1297)))</f>
        <v/>
      </c>
    </row>
    <row r="1298">
      <c r="A1298" s="10" t="n"/>
      <c r="B1298" s="10" t="n"/>
      <c r="C1298" s="11">
        <f>IF(A1298="","",$B$5*TAN(RADIANS(A1298)))</f>
        <v/>
      </c>
      <c r="D1298" s="11">
        <f>IF(C1298="","",C1298*(1+B1298/100))</f>
        <v/>
      </c>
      <c r="E1298" s="11">
        <f>IF(A1298="","",$B$6*TAN(RADIANS(A1298)))</f>
        <v/>
      </c>
    </row>
    <row r="1299">
      <c r="A1299" s="10" t="n"/>
      <c r="B1299" s="10" t="n"/>
      <c r="C1299" s="11">
        <f>IF(A1299="","",$B$5*TAN(RADIANS(A1299)))</f>
        <v/>
      </c>
      <c r="D1299" s="11">
        <f>IF(C1299="","",C1299*(1+B1299/100))</f>
        <v/>
      </c>
      <c r="E1299" s="11">
        <f>IF(A1299="","",$B$6*TAN(RADIANS(A1299)))</f>
        <v/>
      </c>
    </row>
    <row r="1300">
      <c r="A1300" s="10" t="n"/>
      <c r="B1300" s="10" t="n"/>
      <c r="C1300" s="11">
        <f>IF(A1300="","",$B$5*TAN(RADIANS(A1300)))</f>
        <v/>
      </c>
      <c r="D1300" s="11">
        <f>IF(C1300="","",C1300*(1+B1300/100))</f>
        <v/>
      </c>
      <c r="E1300" s="11">
        <f>IF(A1300="","",$B$6*TAN(RADIANS(A1300)))</f>
        <v/>
      </c>
    </row>
    <row r="1301">
      <c r="A1301" s="10" t="n"/>
      <c r="B1301" s="10" t="n"/>
      <c r="C1301" s="11">
        <f>IF(A1301="","",$B$5*TAN(RADIANS(A1301)))</f>
        <v/>
      </c>
      <c r="D1301" s="11">
        <f>IF(C1301="","",C1301*(1+B1301/100))</f>
        <v/>
      </c>
      <c r="E1301" s="11">
        <f>IF(A1301="","",$B$6*TAN(RADIANS(A1301)))</f>
        <v/>
      </c>
    </row>
    <row r="1302">
      <c r="A1302" s="10" t="n"/>
      <c r="B1302" s="10" t="n"/>
      <c r="C1302" s="11">
        <f>IF(A1302="","",$B$5*TAN(RADIANS(A1302)))</f>
        <v/>
      </c>
      <c r="D1302" s="11">
        <f>IF(C1302="","",C1302*(1+B1302/100))</f>
        <v/>
      </c>
      <c r="E1302" s="11">
        <f>IF(A1302="","",$B$6*TAN(RADIANS(A1302)))</f>
        <v/>
      </c>
    </row>
    <row r="1303">
      <c r="A1303" s="10" t="n"/>
      <c r="B1303" s="10" t="n"/>
      <c r="C1303" s="11">
        <f>IF(A1303="","",$B$5*TAN(RADIANS(A1303)))</f>
        <v/>
      </c>
      <c r="D1303" s="11">
        <f>IF(C1303="","",C1303*(1+B1303/100))</f>
        <v/>
      </c>
      <c r="E1303" s="11">
        <f>IF(A1303="","",$B$6*TAN(RADIANS(A1303)))</f>
        <v/>
      </c>
    </row>
    <row r="1304">
      <c r="A1304" s="10" t="n"/>
      <c r="B1304" s="10" t="n"/>
      <c r="C1304" s="11">
        <f>IF(A1304="","",$B$5*TAN(RADIANS(A1304)))</f>
        <v/>
      </c>
      <c r="D1304" s="11">
        <f>IF(C1304="","",C1304*(1+B1304/100))</f>
        <v/>
      </c>
      <c r="E1304" s="11">
        <f>IF(A1304="","",$B$6*TAN(RADIANS(A1304)))</f>
        <v/>
      </c>
    </row>
    <row r="1305">
      <c r="A1305" s="10" t="n"/>
      <c r="B1305" s="10" t="n"/>
      <c r="C1305" s="11">
        <f>IF(A1305="","",$B$5*TAN(RADIANS(A1305)))</f>
        <v/>
      </c>
      <c r="D1305" s="11">
        <f>IF(C1305="","",C1305*(1+B1305/100))</f>
        <v/>
      </c>
      <c r="E1305" s="11">
        <f>IF(A1305="","",$B$6*TAN(RADIANS(A1305)))</f>
        <v/>
      </c>
    </row>
    <row r="1306">
      <c r="A1306" s="10" t="n"/>
      <c r="B1306" s="10" t="n"/>
      <c r="C1306" s="11">
        <f>IF(A1306="","",$B$5*TAN(RADIANS(A1306)))</f>
        <v/>
      </c>
      <c r="D1306" s="11">
        <f>IF(C1306="","",C1306*(1+B1306/100))</f>
        <v/>
      </c>
      <c r="E1306" s="11">
        <f>IF(A1306="","",$B$6*TAN(RADIANS(A1306)))</f>
        <v/>
      </c>
    </row>
    <row r="1307">
      <c r="A1307" s="10" t="n"/>
      <c r="B1307" s="10" t="n"/>
      <c r="C1307" s="11">
        <f>IF(A1307="","",$B$5*TAN(RADIANS(A1307)))</f>
        <v/>
      </c>
      <c r="D1307" s="11">
        <f>IF(C1307="","",C1307*(1+B1307/100))</f>
        <v/>
      </c>
      <c r="E1307" s="11">
        <f>IF(A1307="","",$B$6*TAN(RADIANS(A1307)))</f>
        <v/>
      </c>
    </row>
    <row r="1308">
      <c r="A1308" s="10" t="n"/>
      <c r="B1308" s="10" t="n"/>
      <c r="C1308" s="11">
        <f>IF(A1308="","",$B$5*TAN(RADIANS(A1308)))</f>
        <v/>
      </c>
      <c r="D1308" s="11">
        <f>IF(C1308="","",C1308*(1+B1308/100))</f>
        <v/>
      </c>
      <c r="E1308" s="11">
        <f>IF(A1308="","",$B$6*TAN(RADIANS(A1308)))</f>
        <v/>
      </c>
    </row>
    <row r="1309">
      <c r="A1309" s="10" t="n"/>
      <c r="B1309" s="10" t="n"/>
      <c r="C1309" s="11">
        <f>IF(A1309="","",$B$5*TAN(RADIANS(A1309)))</f>
        <v/>
      </c>
      <c r="D1309" s="11">
        <f>IF(C1309="","",C1309*(1+B1309/100))</f>
        <v/>
      </c>
      <c r="E1309" s="11">
        <f>IF(A1309="","",$B$6*TAN(RADIANS(A1309)))</f>
        <v/>
      </c>
    </row>
    <row r="1310">
      <c r="A1310" s="10" t="n"/>
      <c r="B1310" s="10" t="n"/>
      <c r="C1310" s="11">
        <f>IF(A1310="","",$B$5*TAN(RADIANS(A1310)))</f>
        <v/>
      </c>
      <c r="D1310" s="11">
        <f>IF(C1310="","",C1310*(1+B1310/100))</f>
        <v/>
      </c>
      <c r="E1310" s="11">
        <f>IF(A1310="","",$B$6*TAN(RADIANS(A1310)))</f>
        <v/>
      </c>
    </row>
    <row r="1311">
      <c r="A1311" s="10" t="n"/>
      <c r="B1311" s="10" t="n"/>
      <c r="C1311" s="11">
        <f>IF(A1311="","",$B$5*TAN(RADIANS(A1311)))</f>
        <v/>
      </c>
      <c r="D1311" s="11">
        <f>IF(C1311="","",C1311*(1+B1311/100))</f>
        <v/>
      </c>
      <c r="E1311" s="11">
        <f>IF(A1311="","",$B$6*TAN(RADIANS(A1311)))</f>
        <v/>
      </c>
    </row>
    <row r="1312">
      <c r="A1312" s="10" t="n"/>
      <c r="B1312" s="10" t="n"/>
      <c r="C1312" s="11">
        <f>IF(A1312="","",$B$5*TAN(RADIANS(A1312)))</f>
        <v/>
      </c>
      <c r="D1312" s="11">
        <f>IF(C1312="","",C1312*(1+B1312/100))</f>
        <v/>
      </c>
      <c r="E1312" s="11">
        <f>IF(A1312="","",$B$6*TAN(RADIANS(A1312)))</f>
        <v/>
      </c>
    </row>
    <row r="1313">
      <c r="A1313" s="10" t="n"/>
      <c r="B1313" s="10" t="n"/>
      <c r="C1313" s="11">
        <f>IF(A1313="","",$B$5*TAN(RADIANS(A1313)))</f>
        <v/>
      </c>
      <c r="D1313" s="11">
        <f>IF(C1313="","",C1313*(1+B1313/100))</f>
        <v/>
      </c>
      <c r="E1313" s="11">
        <f>IF(A1313="","",$B$6*TAN(RADIANS(A1313)))</f>
        <v/>
      </c>
    </row>
    <row r="1314">
      <c r="A1314" s="10" t="n"/>
      <c r="B1314" s="10" t="n"/>
      <c r="C1314" s="11">
        <f>IF(A1314="","",$B$5*TAN(RADIANS(A1314)))</f>
        <v/>
      </c>
      <c r="D1314" s="11">
        <f>IF(C1314="","",C1314*(1+B1314/100))</f>
        <v/>
      </c>
      <c r="E1314" s="11">
        <f>IF(A1314="","",$B$6*TAN(RADIANS(A1314)))</f>
        <v/>
      </c>
    </row>
    <row r="1315">
      <c r="A1315" s="10" t="n"/>
      <c r="B1315" s="10" t="n"/>
      <c r="C1315" s="11">
        <f>IF(A1315="","",$B$5*TAN(RADIANS(A1315)))</f>
        <v/>
      </c>
      <c r="D1315" s="11">
        <f>IF(C1315="","",C1315*(1+B1315/100))</f>
        <v/>
      </c>
      <c r="E1315" s="11">
        <f>IF(A1315="","",$B$6*TAN(RADIANS(A1315)))</f>
        <v/>
      </c>
    </row>
    <row r="1316">
      <c r="A1316" s="10" t="n"/>
      <c r="B1316" s="10" t="n"/>
      <c r="C1316" s="11">
        <f>IF(A1316="","",$B$5*TAN(RADIANS(A1316)))</f>
        <v/>
      </c>
      <c r="D1316" s="11">
        <f>IF(C1316="","",C1316*(1+B1316/100))</f>
        <v/>
      </c>
      <c r="E1316" s="11">
        <f>IF(A1316="","",$B$6*TAN(RADIANS(A1316)))</f>
        <v/>
      </c>
    </row>
    <row r="1317">
      <c r="A1317" s="10" t="n"/>
      <c r="B1317" s="10" t="n"/>
      <c r="C1317" s="11">
        <f>IF(A1317="","",$B$5*TAN(RADIANS(A1317)))</f>
        <v/>
      </c>
      <c r="D1317" s="11">
        <f>IF(C1317="","",C1317*(1+B1317/100))</f>
        <v/>
      </c>
      <c r="E1317" s="11">
        <f>IF(A1317="","",$B$6*TAN(RADIANS(A1317)))</f>
        <v/>
      </c>
    </row>
    <row r="1318">
      <c r="A1318" s="10" t="n"/>
      <c r="B1318" s="10" t="n"/>
      <c r="C1318" s="11">
        <f>IF(A1318="","",$B$5*TAN(RADIANS(A1318)))</f>
        <v/>
      </c>
      <c r="D1318" s="11">
        <f>IF(C1318="","",C1318*(1+B1318/100))</f>
        <v/>
      </c>
      <c r="E1318" s="11">
        <f>IF(A1318="","",$B$6*TAN(RADIANS(A1318)))</f>
        <v/>
      </c>
    </row>
    <row r="1319">
      <c r="A1319" s="10" t="n"/>
      <c r="B1319" s="10" t="n"/>
      <c r="C1319" s="11">
        <f>IF(A1319="","",$B$5*TAN(RADIANS(A1319)))</f>
        <v/>
      </c>
      <c r="D1319" s="11">
        <f>IF(C1319="","",C1319*(1+B1319/100))</f>
        <v/>
      </c>
      <c r="E1319" s="11">
        <f>IF(A1319="","",$B$6*TAN(RADIANS(A1319)))</f>
        <v/>
      </c>
    </row>
    <row r="1320">
      <c r="A1320" s="10" t="n"/>
      <c r="B1320" s="10" t="n"/>
      <c r="C1320" s="11">
        <f>IF(A1320="","",$B$5*TAN(RADIANS(A1320)))</f>
        <v/>
      </c>
      <c r="D1320" s="11">
        <f>IF(C1320="","",C1320*(1+B1320/100))</f>
        <v/>
      </c>
      <c r="E1320" s="11">
        <f>IF(A1320="","",$B$6*TAN(RADIANS(A1320)))</f>
        <v/>
      </c>
    </row>
    <row r="1321">
      <c r="A1321" s="10" t="n"/>
      <c r="B1321" s="10" t="n"/>
      <c r="C1321" s="11">
        <f>IF(A1321="","",$B$5*TAN(RADIANS(A1321)))</f>
        <v/>
      </c>
      <c r="D1321" s="11">
        <f>IF(C1321="","",C1321*(1+B1321/100))</f>
        <v/>
      </c>
      <c r="E1321" s="11">
        <f>IF(A1321="","",$B$6*TAN(RADIANS(A1321)))</f>
        <v/>
      </c>
    </row>
    <row r="1322">
      <c r="A1322" s="10" t="n"/>
      <c r="B1322" s="10" t="n"/>
      <c r="C1322" s="11">
        <f>IF(A1322="","",$B$5*TAN(RADIANS(A1322)))</f>
        <v/>
      </c>
      <c r="D1322" s="11">
        <f>IF(C1322="","",C1322*(1+B1322/100))</f>
        <v/>
      </c>
      <c r="E1322" s="11">
        <f>IF(A1322="","",$B$6*TAN(RADIANS(A1322)))</f>
        <v/>
      </c>
    </row>
    <row r="1323">
      <c r="A1323" s="10" t="n"/>
      <c r="B1323" s="10" t="n"/>
      <c r="C1323" s="11">
        <f>IF(A1323="","",$B$5*TAN(RADIANS(A1323)))</f>
        <v/>
      </c>
      <c r="D1323" s="11">
        <f>IF(C1323="","",C1323*(1+B1323/100))</f>
        <v/>
      </c>
      <c r="E1323" s="11">
        <f>IF(A1323="","",$B$6*TAN(RADIANS(A1323)))</f>
        <v/>
      </c>
    </row>
    <row r="1324">
      <c r="A1324" s="10" t="n"/>
      <c r="B1324" s="10" t="n"/>
      <c r="C1324" s="11">
        <f>IF(A1324="","",$B$5*TAN(RADIANS(A1324)))</f>
        <v/>
      </c>
      <c r="D1324" s="11">
        <f>IF(C1324="","",C1324*(1+B1324/100))</f>
        <v/>
      </c>
      <c r="E1324" s="11">
        <f>IF(A1324="","",$B$6*TAN(RADIANS(A1324)))</f>
        <v/>
      </c>
    </row>
    <row r="1325">
      <c r="A1325" s="10" t="n"/>
      <c r="B1325" s="10" t="n"/>
      <c r="C1325" s="11">
        <f>IF(A1325="","",$B$5*TAN(RADIANS(A1325)))</f>
        <v/>
      </c>
      <c r="D1325" s="11">
        <f>IF(C1325="","",C1325*(1+B1325/100))</f>
        <v/>
      </c>
      <c r="E1325" s="11">
        <f>IF(A1325="","",$B$6*TAN(RADIANS(A1325)))</f>
        <v/>
      </c>
    </row>
    <row r="1326">
      <c r="A1326" s="10" t="n"/>
      <c r="B1326" s="10" t="n"/>
      <c r="C1326" s="11">
        <f>IF(A1326="","",$B$5*TAN(RADIANS(A1326)))</f>
        <v/>
      </c>
      <c r="D1326" s="11">
        <f>IF(C1326="","",C1326*(1+B1326/100))</f>
        <v/>
      </c>
      <c r="E1326" s="11">
        <f>IF(A1326="","",$B$6*TAN(RADIANS(A1326)))</f>
        <v/>
      </c>
    </row>
    <row r="1327">
      <c r="A1327" s="10" t="n"/>
      <c r="B1327" s="10" t="n"/>
      <c r="C1327" s="11">
        <f>IF(A1327="","",$B$5*TAN(RADIANS(A1327)))</f>
        <v/>
      </c>
      <c r="D1327" s="11">
        <f>IF(C1327="","",C1327*(1+B1327/100))</f>
        <v/>
      </c>
      <c r="E1327" s="11">
        <f>IF(A1327="","",$B$6*TAN(RADIANS(A1327)))</f>
        <v/>
      </c>
    </row>
    <row r="1328">
      <c r="A1328" s="10" t="n"/>
      <c r="B1328" s="10" t="n"/>
      <c r="C1328" s="11">
        <f>IF(A1328="","",$B$5*TAN(RADIANS(A1328)))</f>
        <v/>
      </c>
      <c r="D1328" s="11">
        <f>IF(C1328="","",C1328*(1+B1328/100))</f>
        <v/>
      </c>
      <c r="E1328" s="11">
        <f>IF(A1328="","",$B$6*TAN(RADIANS(A1328)))</f>
        <v/>
      </c>
    </row>
    <row r="1329">
      <c r="A1329" s="10" t="n"/>
      <c r="B1329" s="10" t="n"/>
      <c r="C1329" s="11">
        <f>IF(A1329="","",$B$5*TAN(RADIANS(A1329)))</f>
        <v/>
      </c>
      <c r="D1329" s="11">
        <f>IF(C1329="","",C1329*(1+B1329/100))</f>
        <v/>
      </c>
      <c r="E1329" s="11">
        <f>IF(A1329="","",$B$6*TAN(RADIANS(A1329)))</f>
        <v/>
      </c>
    </row>
    <row r="1330">
      <c r="A1330" s="10" t="n"/>
      <c r="B1330" s="10" t="n"/>
      <c r="C1330" s="11">
        <f>IF(A1330="","",$B$5*TAN(RADIANS(A1330)))</f>
        <v/>
      </c>
      <c r="D1330" s="11">
        <f>IF(C1330="","",C1330*(1+B1330/100))</f>
        <v/>
      </c>
      <c r="E1330" s="11">
        <f>IF(A1330="","",$B$6*TAN(RADIANS(A1330)))</f>
        <v/>
      </c>
    </row>
    <row r="1331">
      <c r="A1331" s="10" t="n"/>
      <c r="B1331" s="10" t="n"/>
      <c r="C1331" s="11">
        <f>IF(A1331="","",$B$5*TAN(RADIANS(A1331)))</f>
        <v/>
      </c>
      <c r="D1331" s="11">
        <f>IF(C1331="","",C1331*(1+B1331/100))</f>
        <v/>
      </c>
      <c r="E1331" s="11">
        <f>IF(A1331="","",$B$6*TAN(RADIANS(A1331)))</f>
        <v/>
      </c>
    </row>
    <row r="1332">
      <c r="A1332" s="10" t="n"/>
      <c r="B1332" s="10" t="n"/>
      <c r="C1332" s="11">
        <f>IF(A1332="","",$B$5*TAN(RADIANS(A1332)))</f>
        <v/>
      </c>
      <c r="D1332" s="11">
        <f>IF(C1332="","",C1332*(1+B1332/100))</f>
        <v/>
      </c>
      <c r="E1332" s="11">
        <f>IF(A1332="","",$B$6*TAN(RADIANS(A1332)))</f>
        <v/>
      </c>
    </row>
    <row r="1333">
      <c r="A1333" s="10" t="n"/>
      <c r="B1333" s="10" t="n"/>
      <c r="C1333" s="11">
        <f>IF(A1333="","",$B$5*TAN(RADIANS(A1333)))</f>
        <v/>
      </c>
      <c r="D1333" s="11">
        <f>IF(C1333="","",C1333*(1+B1333/100))</f>
        <v/>
      </c>
      <c r="E1333" s="11">
        <f>IF(A1333="","",$B$6*TAN(RADIANS(A1333)))</f>
        <v/>
      </c>
    </row>
    <row r="1334">
      <c r="A1334" s="10" t="n"/>
      <c r="B1334" s="10" t="n"/>
      <c r="C1334" s="11">
        <f>IF(A1334="","",$B$5*TAN(RADIANS(A1334)))</f>
        <v/>
      </c>
      <c r="D1334" s="11">
        <f>IF(C1334="","",C1334*(1+B1334/100))</f>
        <v/>
      </c>
      <c r="E1334" s="11">
        <f>IF(A1334="","",$B$6*TAN(RADIANS(A1334)))</f>
        <v/>
      </c>
    </row>
    <row r="1335">
      <c r="A1335" s="10" t="n"/>
      <c r="B1335" s="10" t="n"/>
      <c r="C1335" s="11">
        <f>IF(A1335="","",$B$5*TAN(RADIANS(A1335)))</f>
        <v/>
      </c>
      <c r="D1335" s="11">
        <f>IF(C1335="","",C1335*(1+B1335/100))</f>
        <v/>
      </c>
      <c r="E1335" s="11">
        <f>IF(A1335="","",$B$6*TAN(RADIANS(A1335)))</f>
        <v/>
      </c>
    </row>
    <row r="1336">
      <c r="A1336" s="10" t="n"/>
      <c r="B1336" s="10" t="n"/>
      <c r="C1336" s="11">
        <f>IF(A1336="","",$B$5*TAN(RADIANS(A1336)))</f>
        <v/>
      </c>
      <c r="D1336" s="11">
        <f>IF(C1336="","",C1336*(1+B1336/100))</f>
        <v/>
      </c>
      <c r="E1336" s="11">
        <f>IF(A1336="","",$B$6*TAN(RADIANS(A1336)))</f>
        <v/>
      </c>
    </row>
    <row r="1337">
      <c r="A1337" s="10" t="n"/>
      <c r="B1337" s="10" t="n"/>
      <c r="C1337" s="11">
        <f>IF(A1337="","",$B$5*TAN(RADIANS(A1337)))</f>
        <v/>
      </c>
      <c r="D1337" s="11">
        <f>IF(C1337="","",C1337*(1+B1337/100))</f>
        <v/>
      </c>
      <c r="E1337" s="11">
        <f>IF(A1337="","",$B$6*TAN(RADIANS(A1337)))</f>
        <v/>
      </c>
    </row>
    <row r="1338">
      <c r="A1338" s="10" t="n"/>
      <c r="B1338" s="10" t="n"/>
      <c r="C1338" s="11">
        <f>IF(A1338="","",$B$5*TAN(RADIANS(A1338)))</f>
        <v/>
      </c>
      <c r="D1338" s="11">
        <f>IF(C1338="","",C1338*(1+B1338/100))</f>
        <v/>
      </c>
      <c r="E1338" s="11">
        <f>IF(A1338="","",$B$6*TAN(RADIANS(A1338)))</f>
        <v/>
      </c>
    </row>
    <row r="1339">
      <c r="A1339" s="10" t="n"/>
      <c r="B1339" s="10" t="n"/>
      <c r="C1339" s="11">
        <f>IF(A1339="","",$B$5*TAN(RADIANS(A1339)))</f>
        <v/>
      </c>
      <c r="D1339" s="11">
        <f>IF(C1339="","",C1339*(1+B1339/100))</f>
        <v/>
      </c>
      <c r="E1339" s="11">
        <f>IF(A1339="","",$B$6*TAN(RADIANS(A1339)))</f>
        <v/>
      </c>
    </row>
    <row r="1340">
      <c r="A1340" s="10" t="n"/>
      <c r="B1340" s="10" t="n"/>
      <c r="C1340" s="11">
        <f>IF(A1340="","",$B$5*TAN(RADIANS(A1340)))</f>
        <v/>
      </c>
      <c r="D1340" s="11">
        <f>IF(C1340="","",C1340*(1+B1340/100))</f>
        <v/>
      </c>
      <c r="E1340" s="11">
        <f>IF(A1340="","",$B$6*TAN(RADIANS(A1340)))</f>
        <v/>
      </c>
    </row>
    <row r="1341">
      <c r="A1341" s="10" t="n"/>
      <c r="B1341" s="10" t="n"/>
      <c r="C1341" s="11">
        <f>IF(A1341="","",$B$5*TAN(RADIANS(A1341)))</f>
        <v/>
      </c>
      <c r="D1341" s="11">
        <f>IF(C1341="","",C1341*(1+B1341/100))</f>
        <v/>
      </c>
      <c r="E1341" s="11">
        <f>IF(A1341="","",$B$6*TAN(RADIANS(A1341)))</f>
        <v/>
      </c>
    </row>
    <row r="1342">
      <c r="A1342" s="10" t="n"/>
      <c r="B1342" s="10" t="n"/>
      <c r="C1342" s="11">
        <f>IF(A1342="","",$B$5*TAN(RADIANS(A1342)))</f>
        <v/>
      </c>
      <c r="D1342" s="11">
        <f>IF(C1342="","",C1342*(1+B1342/100))</f>
        <v/>
      </c>
      <c r="E1342" s="11">
        <f>IF(A1342="","",$B$6*TAN(RADIANS(A1342)))</f>
        <v/>
      </c>
    </row>
    <row r="1343">
      <c r="A1343" s="10" t="n"/>
      <c r="B1343" s="10" t="n"/>
      <c r="C1343" s="11">
        <f>IF(A1343="","",$B$5*TAN(RADIANS(A1343)))</f>
        <v/>
      </c>
      <c r="D1343" s="11">
        <f>IF(C1343="","",C1343*(1+B1343/100))</f>
        <v/>
      </c>
      <c r="E1343" s="11">
        <f>IF(A1343="","",$B$6*TAN(RADIANS(A1343)))</f>
        <v/>
      </c>
    </row>
    <row r="1344">
      <c r="A1344" s="10" t="n"/>
      <c r="B1344" s="10" t="n"/>
      <c r="C1344" s="11">
        <f>IF(A1344="","",$B$5*TAN(RADIANS(A1344)))</f>
        <v/>
      </c>
      <c r="D1344" s="11">
        <f>IF(C1344="","",C1344*(1+B1344/100))</f>
        <v/>
      </c>
      <c r="E1344" s="11">
        <f>IF(A1344="","",$B$6*TAN(RADIANS(A1344)))</f>
        <v/>
      </c>
    </row>
    <row r="1345">
      <c r="A1345" s="10" t="n"/>
      <c r="B1345" s="10" t="n"/>
      <c r="C1345" s="11">
        <f>IF(A1345="","",$B$5*TAN(RADIANS(A1345)))</f>
        <v/>
      </c>
      <c r="D1345" s="11">
        <f>IF(C1345="","",C1345*(1+B1345/100))</f>
        <v/>
      </c>
      <c r="E1345" s="11">
        <f>IF(A1345="","",$B$6*TAN(RADIANS(A1345)))</f>
        <v/>
      </c>
    </row>
    <row r="1346">
      <c r="A1346" s="10" t="n"/>
      <c r="B1346" s="10" t="n"/>
      <c r="C1346" s="11">
        <f>IF(A1346="","",$B$5*TAN(RADIANS(A1346)))</f>
        <v/>
      </c>
      <c r="D1346" s="11">
        <f>IF(C1346="","",C1346*(1+B1346/100))</f>
        <v/>
      </c>
      <c r="E1346" s="11">
        <f>IF(A1346="","",$B$6*TAN(RADIANS(A1346)))</f>
        <v/>
      </c>
    </row>
    <row r="1347">
      <c r="A1347" s="10" t="n"/>
      <c r="B1347" s="10" t="n"/>
      <c r="C1347" s="11">
        <f>IF(A1347="","",$B$5*TAN(RADIANS(A1347)))</f>
        <v/>
      </c>
      <c r="D1347" s="11">
        <f>IF(C1347="","",C1347*(1+B1347/100))</f>
        <v/>
      </c>
      <c r="E1347" s="11">
        <f>IF(A1347="","",$B$6*TAN(RADIANS(A1347)))</f>
        <v/>
      </c>
    </row>
    <row r="1348">
      <c r="A1348" s="10" t="n"/>
      <c r="B1348" s="10" t="n"/>
      <c r="C1348" s="11">
        <f>IF(A1348="","",$B$5*TAN(RADIANS(A1348)))</f>
        <v/>
      </c>
      <c r="D1348" s="11">
        <f>IF(C1348="","",C1348*(1+B1348/100))</f>
        <v/>
      </c>
      <c r="E1348" s="11">
        <f>IF(A1348="","",$B$6*TAN(RADIANS(A1348)))</f>
        <v/>
      </c>
    </row>
    <row r="1349">
      <c r="A1349" s="10" t="n"/>
      <c r="B1349" s="10" t="n"/>
      <c r="C1349" s="11">
        <f>IF(A1349="","",$B$5*TAN(RADIANS(A1349)))</f>
        <v/>
      </c>
      <c r="D1349" s="11">
        <f>IF(C1349="","",C1349*(1+B1349/100))</f>
        <v/>
      </c>
      <c r="E1349" s="11">
        <f>IF(A1349="","",$B$6*TAN(RADIANS(A1349)))</f>
        <v/>
      </c>
    </row>
    <row r="1350">
      <c r="A1350" s="10" t="n"/>
      <c r="B1350" s="10" t="n"/>
      <c r="C1350" s="11">
        <f>IF(A1350="","",$B$5*TAN(RADIANS(A1350)))</f>
        <v/>
      </c>
      <c r="D1350" s="11">
        <f>IF(C1350="","",C1350*(1+B1350/100))</f>
        <v/>
      </c>
      <c r="E1350" s="11">
        <f>IF(A1350="","",$B$6*TAN(RADIANS(A1350)))</f>
        <v/>
      </c>
    </row>
    <row r="1351">
      <c r="A1351" s="10" t="n"/>
      <c r="B1351" s="10" t="n"/>
      <c r="C1351" s="11">
        <f>IF(A1351="","",$B$5*TAN(RADIANS(A1351)))</f>
        <v/>
      </c>
      <c r="D1351" s="11">
        <f>IF(C1351="","",C1351*(1+B1351/100))</f>
        <v/>
      </c>
      <c r="E1351" s="11">
        <f>IF(A1351="","",$B$6*TAN(RADIANS(A1351)))</f>
        <v/>
      </c>
    </row>
    <row r="1352">
      <c r="A1352" s="10" t="n"/>
      <c r="B1352" s="10" t="n"/>
      <c r="C1352" s="11">
        <f>IF(A1352="","",$B$5*TAN(RADIANS(A1352)))</f>
        <v/>
      </c>
      <c r="D1352" s="11">
        <f>IF(C1352="","",C1352*(1+B1352/100))</f>
        <v/>
      </c>
      <c r="E1352" s="11">
        <f>IF(A1352="","",$B$6*TAN(RADIANS(A1352)))</f>
        <v/>
      </c>
    </row>
    <row r="1353">
      <c r="A1353" s="10" t="n"/>
      <c r="B1353" s="10" t="n"/>
      <c r="C1353" s="11">
        <f>IF(A1353="","",$B$5*TAN(RADIANS(A1353)))</f>
        <v/>
      </c>
      <c r="D1353" s="11">
        <f>IF(C1353="","",C1353*(1+B1353/100))</f>
        <v/>
      </c>
      <c r="E1353" s="11">
        <f>IF(A1353="","",$B$6*TAN(RADIANS(A1353)))</f>
        <v/>
      </c>
    </row>
    <row r="1354">
      <c r="A1354" s="10" t="n"/>
      <c r="B1354" s="10" t="n"/>
      <c r="C1354" s="11">
        <f>IF(A1354="","",$B$5*TAN(RADIANS(A1354)))</f>
        <v/>
      </c>
      <c r="D1354" s="11">
        <f>IF(C1354="","",C1354*(1+B1354/100))</f>
        <v/>
      </c>
      <c r="E1354" s="11">
        <f>IF(A1354="","",$B$6*TAN(RADIANS(A1354)))</f>
        <v/>
      </c>
    </row>
    <row r="1355">
      <c r="A1355" s="10" t="n"/>
      <c r="B1355" s="10" t="n"/>
      <c r="C1355" s="11">
        <f>IF(A1355="","",$B$5*TAN(RADIANS(A1355)))</f>
        <v/>
      </c>
      <c r="D1355" s="11">
        <f>IF(C1355="","",C1355*(1+B1355/100))</f>
        <v/>
      </c>
      <c r="E1355" s="11">
        <f>IF(A1355="","",$B$6*TAN(RADIANS(A1355)))</f>
        <v/>
      </c>
    </row>
    <row r="1356">
      <c r="A1356" s="10" t="n"/>
      <c r="B1356" s="10" t="n"/>
      <c r="C1356" s="11">
        <f>IF(A1356="","",$B$5*TAN(RADIANS(A1356)))</f>
        <v/>
      </c>
      <c r="D1356" s="11">
        <f>IF(C1356="","",C1356*(1+B1356/100))</f>
        <v/>
      </c>
      <c r="E1356" s="11">
        <f>IF(A1356="","",$B$6*TAN(RADIANS(A1356)))</f>
        <v/>
      </c>
    </row>
    <row r="1357">
      <c r="A1357" s="10" t="n"/>
      <c r="B1357" s="10" t="n"/>
      <c r="C1357" s="11">
        <f>IF(A1357="","",$B$5*TAN(RADIANS(A1357)))</f>
        <v/>
      </c>
      <c r="D1357" s="11">
        <f>IF(C1357="","",C1357*(1+B1357/100))</f>
        <v/>
      </c>
      <c r="E1357" s="11">
        <f>IF(A1357="","",$B$6*TAN(RADIANS(A1357)))</f>
        <v/>
      </c>
    </row>
    <row r="1358">
      <c r="A1358" s="10" t="n"/>
      <c r="B1358" s="10" t="n"/>
      <c r="C1358" s="11">
        <f>IF(A1358="","",$B$5*TAN(RADIANS(A1358)))</f>
        <v/>
      </c>
      <c r="D1358" s="11">
        <f>IF(C1358="","",C1358*(1+B1358/100))</f>
        <v/>
      </c>
      <c r="E1358" s="11">
        <f>IF(A1358="","",$B$6*TAN(RADIANS(A1358)))</f>
        <v/>
      </c>
    </row>
    <row r="1359">
      <c r="A1359" s="10" t="n"/>
      <c r="B1359" s="10" t="n"/>
      <c r="C1359" s="11">
        <f>IF(A1359="","",$B$5*TAN(RADIANS(A1359)))</f>
        <v/>
      </c>
      <c r="D1359" s="11">
        <f>IF(C1359="","",C1359*(1+B1359/100))</f>
        <v/>
      </c>
      <c r="E1359" s="11">
        <f>IF(A1359="","",$B$6*TAN(RADIANS(A1359)))</f>
        <v/>
      </c>
    </row>
    <row r="1360">
      <c r="A1360" s="10" t="n"/>
      <c r="B1360" s="10" t="n"/>
      <c r="C1360" s="11">
        <f>IF(A1360="","",$B$5*TAN(RADIANS(A1360)))</f>
        <v/>
      </c>
      <c r="D1360" s="11">
        <f>IF(C1360="","",C1360*(1+B1360/100))</f>
        <v/>
      </c>
      <c r="E1360" s="11">
        <f>IF(A1360="","",$B$6*TAN(RADIANS(A1360)))</f>
        <v/>
      </c>
    </row>
    <row r="1361">
      <c r="A1361" s="10" t="n"/>
      <c r="B1361" s="10" t="n"/>
      <c r="C1361" s="11">
        <f>IF(A1361="","",$B$5*TAN(RADIANS(A1361)))</f>
        <v/>
      </c>
      <c r="D1361" s="11">
        <f>IF(C1361="","",C1361*(1+B1361/100))</f>
        <v/>
      </c>
      <c r="E1361" s="11">
        <f>IF(A1361="","",$B$6*TAN(RADIANS(A1361)))</f>
        <v/>
      </c>
    </row>
    <row r="1362">
      <c r="A1362" s="10" t="n"/>
      <c r="B1362" s="10" t="n"/>
      <c r="C1362" s="11">
        <f>IF(A1362="","",$B$5*TAN(RADIANS(A1362)))</f>
        <v/>
      </c>
      <c r="D1362" s="11">
        <f>IF(C1362="","",C1362*(1+B1362/100))</f>
        <v/>
      </c>
      <c r="E1362" s="11">
        <f>IF(A1362="","",$B$6*TAN(RADIANS(A1362)))</f>
        <v/>
      </c>
    </row>
    <row r="1363">
      <c r="A1363" s="10" t="n"/>
      <c r="B1363" s="10" t="n"/>
      <c r="C1363" s="11">
        <f>IF(A1363="","",$B$5*TAN(RADIANS(A1363)))</f>
        <v/>
      </c>
      <c r="D1363" s="11">
        <f>IF(C1363="","",C1363*(1+B1363/100))</f>
        <v/>
      </c>
      <c r="E1363" s="11">
        <f>IF(A1363="","",$B$6*TAN(RADIANS(A1363)))</f>
        <v/>
      </c>
    </row>
    <row r="1364">
      <c r="A1364" s="10" t="n"/>
      <c r="B1364" s="10" t="n"/>
      <c r="C1364" s="11">
        <f>IF(A1364="","",$B$5*TAN(RADIANS(A1364)))</f>
        <v/>
      </c>
      <c r="D1364" s="11">
        <f>IF(C1364="","",C1364*(1+B1364/100))</f>
        <v/>
      </c>
      <c r="E1364" s="11">
        <f>IF(A1364="","",$B$6*TAN(RADIANS(A1364)))</f>
        <v/>
      </c>
    </row>
    <row r="1365">
      <c r="A1365" s="10" t="n"/>
      <c r="B1365" s="10" t="n"/>
      <c r="C1365" s="11">
        <f>IF(A1365="","",$B$5*TAN(RADIANS(A1365)))</f>
        <v/>
      </c>
      <c r="D1365" s="11">
        <f>IF(C1365="","",C1365*(1+B1365/100))</f>
        <v/>
      </c>
      <c r="E1365" s="11">
        <f>IF(A1365="","",$B$6*TAN(RADIANS(A1365)))</f>
        <v/>
      </c>
    </row>
    <row r="1366">
      <c r="A1366" s="10" t="n"/>
      <c r="B1366" s="10" t="n"/>
      <c r="C1366" s="11">
        <f>IF(A1366="","",$B$5*TAN(RADIANS(A1366)))</f>
        <v/>
      </c>
      <c r="D1366" s="11">
        <f>IF(C1366="","",C1366*(1+B1366/100))</f>
        <v/>
      </c>
      <c r="E1366" s="11">
        <f>IF(A1366="","",$B$6*TAN(RADIANS(A1366)))</f>
        <v/>
      </c>
    </row>
    <row r="1367">
      <c r="A1367" s="10" t="n"/>
      <c r="B1367" s="10" t="n"/>
      <c r="C1367" s="11">
        <f>IF(A1367="","",$B$5*TAN(RADIANS(A1367)))</f>
        <v/>
      </c>
      <c r="D1367" s="11">
        <f>IF(C1367="","",C1367*(1+B1367/100))</f>
        <v/>
      </c>
      <c r="E1367" s="11">
        <f>IF(A1367="","",$B$6*TAN(RADIANS(A1367)))</f>
        <v/>
      </c>
    </row>
    <row r="1368">
      <c r="A1368" s="10" t="n"/>
      <c r="B1368" s="10" t="n"/>
      <c r="C1368" s="11">
        <f>IF(A1368="","",$B$5*TAN(RADIANS(A1368)))</f>
        <v/>
      </c>
      <c r="D1368" s="11">
        <f>IF(C1368="","",C1368*(1+B1368/100))</f>
        <v/>
      </c>
      <c r="E1368" s="11">
        <f>IF(A1368="","",$B$6*TAN(RADIANS(A1368)))</f>
        <v/>
      </c>
    </row>
    <row r="1369">
      <c r="A1369" s="10" t="n"/>
      <c r="B1369" s="10" t="n"/>
      <c r="C1369" s="11">
        <f>IF(A1369="","",$B$5*TAN(RADIANS(A1369)))</f>
        <v/>
      </c>
      <c r="D1369" s="11">
        <f>IF(C1369="","",C1369*(1+B1369/100))</f>
        <v/>
      </c>
      <c r="E1369" s="11">
        <f>IF(A1369="","",$B$6*TAN(RADIANS(A1369)))</f>
        <v/>
      </c>
    </row>
    <row r="1370">
      <c r="A1370" s="10" t="n"/>
      <c r="B1370" s="10" t="n"/>
      <c r="C1370" s="11">
        <f>IF(A1370="","",$B$5*TAN(RADIANS(A1370)))</f>
        <v/>
      </c>
      <c r="D1370" s="11">
        <f>IF(C1370="","",C1370*(1+B1370/100))</f>
        <v/>
      </c>
      <c r="E1370" s="11">
        <f>IF(A1370="","",$B$6*TAN(RADIANS(A1370)))</f>
        <v/>
      </c>
    </row>
    <row r="1371">
      <c r="A1371" s="10" t="n"/>
      <c r="B1371" s="10" t="n"/>
      <c r="C1371" s="11">
        <f>IF(A1371="","",$B$5*TAN(RADIANS(A1371)))</f>
        <v/>
      </c>
      <c r="D1371" s="11">
        <f>IF(C1371="","",C1371*(1+B1371/100))</f>
        <v/>
      </c>
      <c r="E1371" s="11">
        <f>IF(A1371="","",$B$6*TAN(RADIANS(A1371)))</f>
        <v/>
      </c>
    </row>
    <row r="1372">
      <c r="A1372" s="10" t="n"/>
      <c r="B1372" s="10" t="n"/>
      <c r="C1372" s="11">
        <f>IF(A1372="","",$B$5*TAN(RADIANS(A1372)))</f>
        <v/>
      </c>
      <c r="D1372" s="11">
        <f>IF(C1372="","",C1372*(1+B1372/100))</f>
        <v/>
      </c>
      <c r="E1372" s="11">
        <f>IF(A1372="","",$B$6*TAN(RADIANS(A1372)))</f>
        <v/>
      </c>
    </row>
    <row r="1373">
      <c r="A1373" s="10" t="n"/>
      <c r="B1373" s="10" t="n"/>
      <c r="C1373" s="11">
        <f>IF(A1373="","",$B$5*TAN(RADIANS(A1373)))</f>
        <v/>
      </c>
      <c r="D1373" s="11">
        <f>IF(C1373="","",C1373*(1+B1373/100))</f>
        <v/>
      </c>
      <c r="E1373" s="11">
        <f>IF(A1373="","",$B$6*TAN(RADIANS(A1373)))</f>
        <v/>
      </c>
    </row>
    <row r="1374">
      <c r="A1374" s="10" t="n"/>
      <c r="B1374" s="10" t="n"/>
      <c r="C1374" s="11">
        <f>IF(A1374="","",$B$5*TAN(RADIANS(A1374)))</f>
        <v/>
      </c>
      <c r="D1374" s="11">
        <f>IF(C1374="","",C1374*(1+B1374/100))</f>
        <v/>
      </c>
      <c r="E1374" s="11">
        <f>IF(A1374="","",$B$6*TAN(RADIANS(A1374)))</f>
        <v/>
      </c>
    </row>
    <row r="1375">
      <c r="A1375" s="10" t="n"/>
      <c r="B1375" s="10" t="n"/>
      <c r="C1375" s="11">
        <f>IF(A1375="","",$B$5*TAN(RADIANS(A1375)))</f>
        <v/>
      </c>
      <c r="D1375" s="11">
        <f>IF(C1375="","",C1375*(1+B1375/100))</f>
        <v/>
      </c>
      <c r="E1375" s="11">
        <f>IF(A1375="","",$B$6*TAN(RADIANS(A1375)))</f>
        <v/>
      </c>
    </row>
    <row r="1376">
      <c r="A1376" s="10" t="n"/>
      <c r="B1376" s="10" t="n"/>
      <c r="C1376" s="11">
        <f>IF(A1376="","",$B$5*TAN(RADIANS(A1376)))</f>
        <v/>
      </c>
      <c r="D1376" s="11">
        <f>IF(C1376="","",C1376*(1+B1376/100))</f>
        <v/>
      </c>
      <c r="E1376" s="11">
        <f>IF(A1376="","",$B$6*TAN(RADIANS(A1376)))</f>
        <v/>
      </c>
    </row>
    <row r="1377">
      <c r="A1377" s="10" t="n"/>
      <c r="B1377" s="10" t="n"/>
      <c r="C1377" s="11">
        <f>IF(A1377="","",$B$5*TAN(RADIANS(A1377)))</f>
        <v/>
      </c>
      <c r="D1377" s="11">
        <f>IF(C1377="","",C1377*(1+B1377/100))</f>
        <v/>
      </c>
      <c r="E1377" s="11">
        <f>IF(A1377="","",$B$6*TAN(RADIANS(A1377)))</f>
        <v/>
      </c>
    </row>
    <row r="1378">
      <c r="A1378" s="10" t="n"/>
      <c r="B1378" s="10" t="n"/>
      <c r="C1378" s="11">
        <f>IF(A1378="","",$B$5*TAN(RADIANS(A1378)))</f>
        <v/>
      </c>
      <c r="D1378" s="11">
        <f>IF(C1378="","",C1378*(1+B1378/100))</f>
        <v/>
      </c>
      <c r="E1378" s="11">
        <f>IF(A1378="","",$B$6*TAN(RADIANS(A1378)))</f>
        <v/>
      </c>
    </row>
    <row r="1379">
      <c r="A1379" s="10" t="n"/>
      <c r="B1379" s="10" t="n"/>
      <c r="C1379" s="11">
        <f>IF(A1379="","",$B$5*TAN(RADIANS(A1379)))</f>
        <v/>
      </c>
      <c r="D1379" s="11">
        <f>IF(C1379="","",C1379*(1+B1379/100))</f>
        <v/>
      </c>
      <c r="E1379" s="11">
        <f>IF(A1379="","",$B$6*TAN(RADIANS(A1379)))</f>
        <v/>
      </c>
    </row>
    <row r="1380">
      <c r="A1380" s="10" t="n"/>
      <c r="B1380" s="10" t="n"/>
      <c r="C1380" s="11">
        <f>IF(A1380="","",$B$5*TAN(RADIANS(A1380)))</f>
        <v/>
      </c>
      <c r="D1380" s="11">
        <f>IF(C1380="","",C1380*(1+B1380/100))</f>
        <v/>
      </c>
      <c r="E1380" s="11">
        <f>IF(A1380="","",$B$6*TAN(RADIANS(A1380)))</f>
        <v/>
      </c>
    </row>
    <row r="1381">
      <c r="A1381" s="10" t="n"/>
      <c r="B1381" s="10" t="n"/>
      <c r="C1381" s="11">
        <f>IF(A1381="","",$B$5*TAN(RADIANS(A1381)))</f>
        <v/>
      </c>
      <c r="D1381" s="11">
        <f>IF(C1381="","",C1381*(1+B1381/100))</f>
        <v/>
      </c>
      <c r="E1381" s="11">
        <f>IF(A1381="","",$B$6*TAN(RADIANS(A1381)))</f>
        <v/>
      </c>
    </row>
    <row r="1382">
      <c r="A1382" s="10" t="n"/>
      <c r="B1382" s="10" t="n"/>
      <c r="C1382" s="11">
        <f>IF(A1382="","",$B$5*TAN(RADIANS(A1382)))</f>
        <v/>
      </c>
      <c r="D1382" s="11">
        <f>IF(C1382="","",C1382*(1+B1382/100))</f>
        <v/>
      </c>
      <c r="E1382" s="11">
        <f>IF(A1382="","",$B$6*TAN(RADIANS(A1382)))</f>
        <v/>
      </c>
    </row>
    <row r="1383">
      <c r="A1383" s="10" t="n"/>
      <c r="B1383" s="10" t="n"/>
      <c r="C1383" s="11">
        <f>IF(A1383="","",$B$5*TAN(RADIANS(A1383)))</f>
        <v/>
      </c>
      <c r="D1383" s="11">
        <f>IF(C1383="","",C1383*(1+B1383/100))</f>
        <v/>
      </c>
      <c r="E1383" s="11">
        <f>IF(A1383="","",$B$6*TAN(RADIANS(A1383)))</f>
        <v/>
      </c>
    </row>
    <row r="1384">
      <c r="A1384" s="10" t="n"/>
      <c r="B1384" s="10" t="n"/>
      <c r="C1384" s="11">
        <f>IF(A1384="","",$B$5*TAN(RADIANS(A1384)))</f>
        <v/>
      </c>
      <c r="D1384" s="11">
        <f>IF(C1384="","",C1384*(1+B1384/100))</f>
        <v/>
      </c>
      <c r="E1384" s="11">
        <f>IF(A1384="","",$B$6*TAN(RADIANS(A1384)))</f>
        <v/>
      </c>
    </row>
    <row r="1385">
      <c r="A1385" s="10" t="n"/>
      <c r="B1385" s="10" t="n"/>
      <c r="C1385" s="11">
        <f>IF(A1385="","",$B$5*TAN(RADIANS(A1385)))</f>
        <v/>
      </c>
      <c r="D1385" s="11">
        <f>IF(C1385="","",C1385*(1+B1385/100))</f>
        <v/>
      </c>
      <c r="E1385" s="11">
        <f>IF(A1385="","",$B$6*TAN(RADIANS(A1385)))</f>
        <v/>
      </c>
    </row>
    <row r="1386">
      <c r="A1386" s="10" t="n"/>
      <c r="B1386" s="10" t="n"/>
      <c r="C1386" s="11">
        <f>IF(A1386="","",$B$5*TAN(RADIANS(A1386)))</f>
        <v/>
      </c>
      <c r="D1386" s="11">
        <f>IF(C1386="","",C1386*(1+B1386/100))</f>
        <v/>
      </c>
      <c r="E1386" s="11">
        <f>IF(A1386="","",$B$6*TAN(RADIANS(A1386)))</f>
        <v/>
      </c>
    </row>
    <row r="1387">
      <c r="A1387" s="10" t="n"/>
      <c r="B1387" s="10" t="n"/>
      <c r="C1387" s="11">
        <f>IF(A1387="","",$B$5*TAN(RADIANS(A1387)))</f>
        <v/>
      </c>
      <c r="D1387" s="11">
        <f>IF(C1387="","",C1387*(1+B1387/100))</f>
        <v/>
      </c>
      <c r="E1387" s="11">
        <f>IF(A1387="","",$B$6*TAN(RADIANS(A1387)))</f>
        <v/>
      </c>
    </row>
    <row r="1388">
      <c r="A1388" s="10" t="n"/>
      <c r="B1388" s="10" t="n"/>
      <c r="C1388" s="11">
        <f>IF(A1388="","",$B$5*TAN(RADIANS(A1388)))</f>
        <v/>
      </c>
      <c r="D1388" s="11">
        <f>IF(C1388="","",C1388*(1+B1388/100))</f>
        <v/>
      </c>
      <c r="E1388" s="11">
        <f>IF(A1388="","",$B$6*TAN(RADIANS(A1388)))</f>
        <v/>
      </c>
    </row>
    <row r="1389">
      <c r="A1389" s="10" t="n"/>
      <c r="B1389" s="10" t="n"/>
      <c r="C1389" s="11">
        <f>IF(A1389="","",$B$5*TAN(RADIANS(A1389)))</f>
        <v/>
      </c>
      <c r="D1389" s="11">
        <f>IF(C1389="","",C1389*(1+B1389/100))</f>
        <v/>
      </c>
      <c r="E1389" s="11">
        <f>IF(A1389="","",$B$6*TAN(RADIANS(A1389)))</f>
        <v/>
      </c>
    </row>
    <row r="1390">
      <c r="A1390" s="10" t="n"/>
      <c r="B1390" s="10" t="n"/>
      <c r="C1390" s="11">
        <f>IF(A1390="","",$B$5*TAN(RADIANS(A1390)))</f>
        <v/>
      </c>
      <c r="D1390" s="11">
        <f>IF(C1390="","",C1390*(1+B1390/100))</f>
        <v/>
      </c>
      <c r="E1390" s="11">
        <f>IF(A1390="","",$B$6*TAN(RADIANS(A1390)))</f>
        <v/>
      </c>
    </row>
    <row r="1391">
      <c r="A1391" s="10" t="n"/>
      <c r="B1391" s="10" t="n"/>
      <c r="C1391" s="11">
        <f>IF(A1391="","",$B$5*TAN(RADIANS(A1391)))</f>
        <v/>
      </c>
      <c r="D1391" s="11">
        <f>IF(C1391="","",C1391*(1+B1391/100))</f>
        <v/>
      </c>
      <c r="E1391" s="11">
        <f>IF(A1391="","",$B$6*TAN(RADIANS(A1391)))</f>
        <v/>
      </c>
    </row>
    <row r="1392">
      <c r="A1392" s="10" t="n"/>
      <c r="B1392" s="10" t="n"/>
      <c r="C1392" s="11">
        <f>IF(A1392="","",$B$5*TAN(RADIANS(A1392)))</f>
        <v/>
      </c>
      <c r="D1392" s="11">
        <f>IF(C1392="","",C1392*(1+B1392/100))</f>
        <v/>
      </c>
      <c r="E1392" s="11">
        <f>IF(A1392="","",$B$6*TAN(RADIANS(A1392)))</f>
        <v/>
      </c>
    </row>
    <row r="1393">
      <c r="A1393" s="10" t="n"/>
      <c r="B1393" s="10" t="n"/>
      <c r="C1393" s="11">
        <f>IF(A1393="","",$B$5*TAN(RADIANS(A1393)))</f>
        <v/>
      </c>
      <c r="D1393" s="11">
        <f>IF(C1393="","",C1393*(1+B1393/100))</f>
        <v/>
      </c>
      <c r="E1393" s="11">
        <f>IF(A1393="","",$B$6*TAN(RADIANS(A1393)))</f>
        <v/>
      </c>
    </row>
    <row r="1394">
      <c r="A1394" s="10" t="n"/>
      <c r="B1394" s="10" t="n"/>
      <c r="C1394" s="11">
        <f>IF(A1394="","",$B$5*TAN(RADIANS(A1394)))</f>
        <v/>
      </c>
      <c r="D1394" s="11">
        <f>IF(C1394="","",C1394*(1+B1394/100))</f>
        <v/>
      </c>
      <c r="E1394" s="11">
        <f>IF(A1394="","",$B$6*TAN(RADIANS(A1394)))</f>
        <v/>
      </c>
    </row>
    <row r="1395">
      <c r="A1395" s="10" t="n"/>
      <c r="B1395" s="10" t="n"/>
      <c r="C1395" s="11">
        <f>IF(A1395="","",$B$5*TAN(RADIANS(A1395)))</f>
        <v/>
      </c>
      <c r="D1395" s="11">
        <f>IF(C1395="","",C1395*(1+B1395/100))</f>
        <v/>
      </c>
      <c r="E1395" s="11">
        <f>IF(A1395="","",$B$6*TAN(RADIANS(A1395)))</f>
        <v/>
      </c>
    </row>
    <row r="1396">
      <c r="A1396" s="10" t="n"/>
      <c r="B1396" s="10" t="n"/>
      <c r="C1396" s="11">
        <f>IF(A1396="","",$B$5*TAN(RADIANS(A1396)))</f>
        <v/>
      </c>
      <c r="D1396" s="11">
        <f>IF(C1396="","",C1396*(1+B1396/100))</f>
        <v/>
      </c>
      <c r="E1396" s="11">
        <f>IF(A1396="","",$B$6*TAN(RADIANS(A1396)))</f>
        <v/>
      </c>
    </row>
    <row r="1397">
      <c r="A1397" s="10" t="n"/>
      <c r="B1397" s="10" t="n"/>
      <c r="C1397" s="11">
        <f>IF(A1397="","",$B$5*TAN(RADIANS(A1397)))</f>
        <v/>
      </c>
      <c r="D1397" s="11">
        <f>IF(C1397="","",C1397*(1+B1397/100))</f>
        <v/>
      </c>
      <c r="E1397" s="11">
        <f>IF(A1397="","",$B$6*TAN(RADIANS(A1397)))</f>
        <v/>
      </c>
    </row>
    <row r="1398">
      <c r="A1398" s="10" t="n"/>
      <c r="B1398" s="10" t="n"/>
      <c r="C1398" s="11">
        <f>IF(A1398="","",$B$5*TAN(RADIANS(A1398)))</f>
        <v/>
      </c>
      <c r="D1398" s="11">
        <f>IF(C1398="","",C1398*(1+B1398/100))</f>
        <v/>
      </c>
      <c r="E1398" s="11">
        <f>IF(A1398="","",$B$6*TAN(RADIANS(A1398)))</f>
        <v/>
      </c>
    </row>
    <row r="1399">
      <c r="A1399" s="10" t="n"/>
      <c r="B1399" s="10" t="n"/>
      <c r="C1399" s="11">
        <f>IF(A1399="","",$B$5*TAN(RADIANS(A1399)))</f>
        <v/>
      </c>
      <c r="D1399" s="11">
        <f>IF(C1399="","",C1399*(1+B1399/100))</f>
        <v/>
      </c>
      <c r="E1399" s="11">
        <f>IF(A1399="","",$B$6*TAN(RADIANS(A1399)))</f>
        <v/>
      </c>
    </row>
    <row r="1400">
      <c r="A1400" s="10" t="n"/>
      <c r="B1400" s="10" t="n"/>
      <c r="C1400" s="11">
        <f>IF(A1400="","",$B$5*TAN(RADIANS(A1400)))</f>
        <v/>
      </c>
      <c r="D1400" s="11">
        <f>IF(C1400="","",C1400*(1+B1400/100))</f>
        <v/>
      </c>
      <c r="E1400" s="11">
        <f>IF(A1400="","",$B$6*TAN(RADIANS(A1400)))</f>
        <v/>
      </c>
    </row>
    <row r="1401">
      <c r="A1401" s="10" t="n"/>
      <c r="B1401" s="10" t="n"/>
      <c r="C1401" s="11">
        <f>IF(A1401="","",$B$5*TAN(RADIANS(A1401)))</f>
        <v/>
      </c>
      <c r="D1401" s="11">
        <f>IF(C1401="","",C1401*(1+B1401/100))</f>
        <v/>
      </c>
      <c r="E1401" s="11">
        <f>IF(A1401="","",$B$6*TAN(RADIANS(A1401)))</f>
        <v/>
      </c>
    </row>
    <row r="1402">
      <c r="A1402" s="10" t="n"/>
      <c r="B1402" s="10" t="n"/>
      <c r="C1402" s="11">
        <f>IF(A1402="","",$B$5*TAN(RADIANS(A1402)))</f>
        <v/>
      </c>
      <c r="D1402" s="11">
        <f>IF(C1402="","",C1402*(1+B1402/100))</f>
        <v/>
      </c>
      <c r="E1402" s="11">
        <f>IF(A1402="","",$B$6*TAN(RADIANS(A1402)))</f>
        <v/>
      </c>
    </row>
    <row r="1403">
      <c r="A1403" s="10" t="n"/>
      <c r="B1403" s="10" t="n"/>
      <c r="C1403" s="11">
        <f>IF(A1403="","",$B$5*TAN(RADIANS(A1403)))</f>
        <v/>
      </c>
      <c r="D1403" s="11">
        <f>IF(C1403="","",C1403*(1+B1403/100))</f>
        <v/>
      </c>
      <c r="E1403" s="11">
        <f>IF(A1403="","",$B$6*TAN(RADIANS(A1403)))</f>
        <v/>
      </c>
    </row>
    <row r="1404">
      <c r="A1404" s="10" t="n"/>
      <c r="B1404" s="10" t="n"/>
      <c r="C1404" s="11">
        <f>IF(A1404="","",$B$5*TAN(RADIANS(A1404)))</f>
        <v/>
      </c>
      <c r="D1404" s="11">
        <f>IF(C1404="","",C1404*(1+B1404/100))</f>
        <v/>
      </c>
      <c r="E1404" s="11">
        <f>IF(A1404="","",$B$6*TAN(RADIANS(A1404)))</f>
        <v/>
      </c>
    </row>
    <row r="1405">
      <c r="A1405" s="10" t="n"/>
      <c r="B1405" s="10" t="n"/>
      <c r="C1405" s="11">
        <f>IF(A1405="","",$B$5*TAN(RADIANS(A1405)))</f>
        <v/>
      </c>
      <c r="D1405" s="11">
        <f>IF(C1405="","",C1405*(1+B1405/100))</f>
        <v/>
      </c>
      <c r="E1405" s="11">
        <f>IF(A1405="","",$B$6*TAN(RADIANS(A1405)))</f>
        <v/>
      </c>
    </row>
    <row r="1406">
      <c r="A1406" s="10" t="n"/>
      <c r="B1406" s="10" t="n"/>
      <c r="C1406" s="11">
        <f>IF(A1406="","",$B$5*TAN(RADIANS(A1406)))</f>
        <v/>
      </c>
      <c r="D1406" s="11">
        <f>IF(C1406="","",C1406*(1+B1406/100))</f>
        <v/>
      </c>
      <c r="E1406" s="11">
        <f>IF(A1406="","",$B$6*TAN(RADIANS(A1406)))</f>
        <v/>
      </c>
    </row>
    <row r="1407">
      <c r="A1407" s="10" t="n"/>
      <c r="B1407" s="10" t="n"/>
      <c r="C1407" s="11">
        <f>IF(A1407="","",$B$5*TAN(RADIANS(A1407)))</f>
        <v/>
      </c>
      <c r="D1407" s="11">
        <f>IF(C1407="","",C1407*(1+B1407/100))</f>
        <v/>
      </c>
      <c r="E1407" s="11">
        <f>IF(A1407="","",$B$6*TAN(RADIANS(A1407)))</f>
        <v/>
      </c>
    </row>
    <row r="1408">
      <c r="A1408" s="10" t="n"/>
      <c r="B1408" s="10" t="n"/>
      <c r="C1408" s="11">
        <f>IF(A1408="","",$B$5*TAN(RADIANS(A1408)))</f>
        <v/>
      </c>
      <c r="D1408" s="11">
        <f>IF(C1408="","",C1408*(1+B1408/100))</f>
        <v/>
      </c>
      <c r="E1408" s="11">
        <f>IF(A1408="","",$B$6*TAN(RADIANS(A1408)))</f>
        <v/>
      </c>
    </row>
    <row r="1409">
      <c r="A1409" s="10" t="n"/>
      <c r="B1409" s="10" t="n"/>
      <c r="C1409" s="11">
        <f>IF(A1409="","",$B$5*TAN(RADIANS(A1409)))</f>
        <v/>
      </c>
      <c r="D1409" s="11">
        <f>IF(C1409="","",C1409*(1+B1409/100))</f>
        <v/>
      </c>
      <c r="E1409" s="11">
        <f>IF(A1409="","",$B$6*TAN(RADIANS(A1409)))</f>
        <v/>
      </c>
    </row>
    <row r="1410">
      <c r="A1410" s="10" t="n"/>
      <c r="B1410" s="10" t="n"/>
      <c r="C1410" s="11">
        <f>IF(A1410="","",$B$5*TAN(RADIANS(A1410)))</f>
        <v/>
      </c>
      <c r="D1410" s="11">
        <f>IF(C1410="","",C1410*(1+B1410/100))</f>
        <v/>
      </c>
      <c r="E1410" s="11">
        <f>IF(A1410="","",$B$6*TAN(RADIANS(A1410)))</f>
        <v/>
      </c>
    </row>
    <row r="1411">
      <c r="A1411" s="10" t="n"/>
      <c r="B1411" s="10" t="n"/>
      <c r="C1411" s="11">
        <f>IF(A1411="","",$B$5*TAN(RADIANS(A1411)))</f>
        <v/>
      </c>
      <c r="D1411" s="11">
        <f>IF(C1411="","",C1411*(1+B1411/100))</f>
        <v/>
      </c>
      <c r="E1411" s="11">
        <f>IF(A1411="","",$B$6*TAN(RADIANS(A1411)))</f>
        <v/>
      </c>
    </row>
    <row r="1412">
      <c r="A1412" s="10" t="n"/>
      <c r="B1412" s="10" t="n"/>
      <c r="C1412" s="11">
        <f>IF(A1412="","",$B$5*TAN(RADIANS(A1412)))</f>
        <v/>
      </c>
      <c r="D1412" s="11">
        <f>IF(C1412="","",C1412*(1+B1412/100))</f>
        <v/>
      </c>
      <c r="E1412" s="11">
        <f>IF(A1412="","",$B$6*TAN(RADIANS(A1412)))</f>
        <v/>
      </c>
    </row>
    <row r="1413">
      <c r="A1413" s="10" t="n"/>
      <c r="B1413" s="10" t="n"/>
      <c r="C1413" s="11">
        <f>IF(A1413="","",$B$5*TAN(RADIANS(A1413)))</f>
        <v/>
      </c>
      <c r="D1413" s="11">
        <f>IF(C1413="","",C1413*(1+B1413/100))</f>
        <v/>
      </c>
      <c r="E1413" s="11">
        <f>IF(A1413="","",$B$6*TAN(RADIANS(A1413)))</f>
        <v/>
      </c>
    </row>
    <row r="1414">
      <c r="A1414" s="10" t="n"/>
      <c r="B1414" s="10" t="n"/>
      <c r="C1414" s="11">
        <f>IF(A1414="","",$B$5*TAN(RADIANS(A1414)))</f>
        <v/>
      </c>
      <c r="D1414" s="11">
        <f>IF(C1414="","",C1414*(1+B1414/100))</f>
        <v/>
      </c>
      <c r="E1414" s="11">
        <f>IF(A1414="","",$B$6*TAN(RADIANS(A1414)))</f>
        <v/>
      </c>
    </row>
    <row r="1415">
      <c r="A1415" s="10" t="n"/>
      <c r="B1415" s="10" t="n"/>
      <c r="C1415" s="11">
        <f>IF(A1415="","",$B$5*TAN(RADIANS(A1415)))</f>
        <v/>
      </c>
      <c r="D1415" s="11">
        <f>IF(C1415="","",C1415*(1+B1415/100))</f>
        <v/>
      </c>
      <c r="E1415" s="11">
        <f>IF(A1415="","",$B$6*TAN(RADIANS(A1415)))</f>
        <v/>
      </c>
    </row>
    <row r="1416">
      <c r="A1416" s="10" t="n"/>
      <c r="B1416" s="10" t="n"/>
      <c r="C1416" s="11">
        <f>IF(A1416="","",$B$5*TAN(RADIANS(A1416)))</f>
        <v/>
      </c>
      <c r="D1416" s="11">
        <f>IF(C1416="","",C1416*(1+B1416/100))</f>
        <v/>
      </c>
      <c r="E1416" s="11">
        <f>IF(A1416="","",$B$6*TAN(RADIANS(A1416)))</f>
        <v/>
      </c>
    </row>
    <row r="1417">
      <c r="A1417" s="10" t="n"/>
      <c r="B1417" s="10" t="n"/>
      <c r="C1417" s="11">
        <f>IF(A1417="","",$B$5*TAN(RADIANS(A1417)))</f>
        <v/>
      </c>
      <c r="D1417" s="11">
        <f>IF(C1417="","",C1417*(1+B1417/100))</f>
        <v/>
      </c>
      <c r="E1417" s="11">
        <f>IF(A1417="","",$B$6*TAN(RADIANS(A1417)))</f>
        <v/>
      </c>
    </row>
    <row r="1418">
      <c r="A1418" s="10" t="n"/>
      <c r="B1418" s="10" t="n"/>
      <c r="C1418" s="11">
        <f>IF(A1418="","",$B$5*TAN(RADIANS(A1418)))</f>
        <v/>
      </c>
      <c r="D1418" s="11">
        <f>IF(C1418="","",C1418*(1+B1418/100))</f>
        <v/>
      </c>
      <c r="E1418" s="11">
        <f>IF(A1418="","",$B$6*TAN(RADIANS(A1418)))</f>
        <v/>
      </c>
    </row>
    <row r="1419">
      <c r="A1419" s="10" t="n"/>
      <c r="B1419" s="10" t="n"/>
      <c r="C1419" s="11">
        <f>IF(A1419="","",$B$5*TAN(RADIANS(A1419)))</f>
        <v/>
      </c>
      <c r="D1419" s="11">
        <f>IF(C1419="","",C1419*(1+B1419/100))</f>
        <v/>
      </c>
      <c r="E1419" s="11">
        <f>IF(A1419="","",$B$6*TAN(RADIANS(A1419)))</f>
        <v/>
      </c>
    </row>
    <row r="1420">
      <c r="A1420" s="10" t="n"/>
      <c r="B1420" s="10" t="n"/>
      <c r="C1420" s="11">
        <f>IF(A1420="","",$B$5*TAN(RADIANS(A1420)))</f>
        <v/>
      </c>
      <c r="D1420" s="11">
        <f>IF(C1420="","",C1420*(1+B1420/100))</f>
        <v/>
      </c>
      <c r="E1420" s="11">
        <f>IF(A1420="","",$B$6*TAN(RADIANS(A1420)))</f>
        <v/>
      </c>
    </row>
    <row r="1421">
      <c r="A1421" s="10" t="n"/>
      <c r="B1421" s="10" t="n"/>
      <c r="C1421" s="11">
        <f>IF(A1421="","",$B$5*TAN(RADIANS(A1421)))</f>
        <v/>
      </c>
      <c r="D1421" s="11">
        <f>IF(C1421="","",C1421*(1+B1421/100))</f>
        <v/>
      </c>
      <c r="E1421" s="11">
        <f>IF(A1421="","",$B$6*TAN(RADIANS(A1421)))</f>
        <v/>
      </c>
    </row>
    <row r="1422">
      <c r="A1422" s="10" t="n"/>
      <c r="B1422" s="10" t="n"/>
      <c r="C1422" s="11">
        <f>IF(A1422="","",$B$5*TAN(RADIANS(A1422)))</f>
        <v/>
      </c>
      <c r="D1422" s="11">
        <f>IF(C1422="","",C1422*(1+B1422/100))</f>
        <v/>
      </c>
      <c r="E1422" s="11">
        <f>IF(A1422="","",$B$6*TAN(RADIANS(A1422)))</f>
        <v/>
      </c>
    </row>
    <row r="1423">
      <c r="A1423" s="10" t="n"/>
      <c r="B1423" s="10" t="n"/>
      <c r="C1423" s="11">
        <f>IF(A1423="","",$B$5*TAN(RADIANS(A1423)))</f>
        <v/>
      </c>
      <c r="D1423" s="11">
        <f>IF(C1423="","",C1423*(1+B1423/100))</f>
        <v/>
      </c>
      <c r="E1423" s="11">
        <f>IF(A1423="","",$B$6*TAN(RADIANS(A1423)))</f>
        <v/>
      </c>
    </row>
    <row r="1424">
      <c r="A1424" s="10" t="n"/>
      <c r="B1424" s="10" t="n"/>
      <c r="C1424" s="11">
        <f>IF(A1424="","",$B$5*TAN(RADIANS(A1424)))</f>
        <v/>
      </c>
      <c r="D1424" s="11">
        <f>IF(C1424="","",C1424*(1+B1424/100))</f>
        <v/>
      </c>
      <c r="E1424" s="11">
        <f>IF(A1424="","",$B$6*TAN(RADIANS(A1424)))</f>
        <v/>
      </c>
    </row>
    <row r="1425">
      <c r="A1425" s="10" t="n"/>
      <c r="B1425" s="10" t="n"/>
      <c r="C1425" s="11">
        <f>IF(A1425="","",$B$5*TAN(RADIANS(A1425)))</f>
        <v/>
      </c>
      <c r="D1425" s="11">
        <f>IF(C1425="","",C1425*(1+B1425/100))</f>
        <v/>
      </c>
      <c r="E1425" s="11">
        <f>IF(A1425="","",$B$6*TAN(RADIANS(A1425)))</f>
        <v/>
      </c>
    </row>
    <row r="1426">
      <c r="A1426" s="10" t="n"/>
      <c r="B1426" s="10" t="n"/>
      <c r="C1426" s="11">
        <f>IF(A1426="","",$B$5*TAN(RADIANS(A1426)))</f>
        <v/>
      </c>
      <c r="D1426" s="11">
        <f>IF(C1426="","",C1426*(1+B1426/100))</f>
        <v/>
      </c>
      <c r="E1426" s="11">
        <f>IF(A1426="","",$B$6*TAN(RADIANS(A1426)))</f>
        <v/>
      </c>
    </row>
    <row r="1427">
      <c r="A1427" s="10" t="n"/>
      <c r="B1427" s="10" t="n"/>
      <c r="C1427" s="11">
        <f>IF(A1427="","",$B$5*TAN(RADIANS(A1427)))</f>
        <v/>
      </c>
      <c r="D1427" s="11">
        <f>IF(C1427="","",C1427*(1+B1427/100))</f>
        <v/>
      </c>
      <c r="E1427" s="11">
        <f>IF(A1427="","",$B$6*TAN(RADIANS(A1427)))</f>
        <v/>
      </c>
    </row>
    <row r="1428">
      <c r="A1428" s="10" t="n"/>
      <c r="B1428" s="10" t="n"/>
      <c r="C1428" s="11">
        <f>IF(A1428="","",$B$5*TAN(RADIANS(A1428)))</f>
        <v/>
      </c>
      <c r="D1428" s="11">
        <f>IF(C1428="","",C1428*(1+B1428/100))</f>
        <v/>
      </c>
      <c r="E1428" s="11">
        <f>IF(A1428="","",$B$6*TAN(RADIANS(A1428)))</f>
        <v/>
      </c>
    </row>
    <row r="1429">
      <c r="A1429" s="10" t="n"/>
      <c r="B1429" s="10" t="n"/>
      <c r="C1429" s="11">
        <f>IF(A1429="","",$B$5*TAN(RADIANS(A1429)))</f>
        <v/>
      </c>
      <c r="D1429" s="11">
        <f>IF(C1429="","",C1429*(1+B1429/100))</f>
        <v/>
      </c>
      <c r="E1429" s="11">
        <f>IF(A1429="","",$B$6*TAN(RADIANS(A1429)))</f>
        <v/>
      </c>
    </row>
    <row r="1430">
      <c r="A1430" s="10" t="n"/>
      <c r="B1430" s="10" t="n"/>
      <c r="C1430" s="11">
        <f>IF(A1430="","",$B$5*TAN(RADIANS(A1430)))</f>
        <v/>
      </c>
      <c r="D1430" s="11">
        <f>IF(C1430="","",C1430*(1+B1430/100))</f>
        <v/>
      </c>
      <c r="E1430" s="11">
        <f>IF(A1430="","",$B$6*TAN(RADIANS(A1430)))</f>
        <v/>
      </c>
    </row>
    <row r="1431">
      <c r="A1431" s="10" t="n"/>
      <c r="B1431" s="10" t="n"/>
      <c r="C1431" s="11">
        <f>IF(A1431="","",$B$5*TAN(RADIANS(A1431)))</f>
        <v/>
      </c>
      <c r="D1431" s="11">
        <f>IF(C1431="","",C1431*(1+B1431/100))</f>
        <v/>
      </c>
      <c r="E1431" s="11">
        <f>IF(A1431="","",$B$6*TAN(RADIANS(A1431)))</f>
        <v/>
      </c>
    </row>
    <row r="1432">
      <c r="A1432" s="10" t="n"/>
      <c r="B1432" s="10" t="n"/>
      <c r="C1432" s="11">
        <f>IF(A1432="","",$B$5*TAN(RADIANS(A1432)))</f>
        <v/>
      </c>
      <c r="D1432" s="11">
        <f>IF(C1432="","",C1432*(1+B1432/100))</f>
        <v/>
      </c>
      <c r="E1432" s="11">
        <f>IF(A1432="","",$B$6*TAN(RADIANS(A1432)))</f>
        <v/>
      </c>
    </row>
    <row r="1433">
      <c r="A1433" s="10" t="n"/>
      <c r="B1433" s="10" t="n"/>
      <c r="C1433" s="11">
        <f>IF(A1433="","",$B$5*TAN(RADIANS(A1433)))</f>
        <v/>
      </c>
      <c r="D1433" s="11">
        <f>IF(C1433="","",C1433*(1+B1433/100))</f>
        <v/>
      </c>
      <c r="E1433" s="11">
        <f>IF(A1433="","",$B$6*TAN(RADIANS(A1433)))</f>
        <v/>
      </c>
    </row>
    <row r="1434">
      <c r="A1434" s="10" t="n"/>
      <c r="B1434" s="10" t="n"/>
      <c r="C1434" s="11">
        <f>IF(A1434="","",$B$5*TAN(RADIANS(A1434)))</f>
        <v/>
      </c>
      <c r="D1434" s="11">
        <f>IF(C1434="","",C1434*(1+B1434/100))</f>
        <v/>
      </c>
      <c r="E1434" s="11">
        <f>IF(A1434="","",$B$6*TAN(RADIANS(A1434)))</f>
        <v/>
      </c>
    </row>
    <row r="1435">
      <c r="A1435" s="10" t="n"/>
      <c r="B1435" s="10" t="n"/>
      <c r="C1435" s="11">
        <f>IF(A1435="","",$B$5*TAN(RADIANS(A1435)))</f>
        <v/>
      </c>
      <c r="D1435" s="11">
        <f>IF(C1435="","",C1435*(1+B1435/100))</f>
        <v/>
      </c>
      <c r="E1435" s="11">
        <f>IF(A1435="","",$B$6*TAN(RADIANS(A1435)))</f>
        <v/>
      </c>
    </row>
    <row r="1436">
      <c r="A1436" s="10" t="n"/>
      <c r="B1436" s="10" t="n"/>
      <c r="C1436" s="11">
        <f>IF(A1436="","",$B$5*TAN(RADIANS(A1436)))</f>
        <v/>
      </c>
      <c r="D1436" s="11">
        <f>IF(C1436="","",C1436*(1+B1436/100))</f>
        <v/>
      </c>
      <c r="E1436" s="11">
        <f>IF(A1436="","",$B$6*TAN(RADIANS(A1436)))</f>
        <v/>
      </c>
    </row>
    <row r="1437">
      <c r="A1437" s="10" t="n"/>
      <c r="B1437" s="10" t="n"/>
      <c r="C1437" s="11">
        <f>IF(A1437="","",$B$5*TAN(RADIANS(A1437)))</f>
        <v/>
      </c>
      <c r="D1437" s="11">
        <f>IF(C1437="","",C1437*(1+B1437/100))</f>
        <v/>
      </c>
      <c r="E1437" s="11">
        <f>IF(A1437="","",$B$6*TAN(RADIANS(A1437)))</f>
        <v/>
      </c>
    </row>
    <row r="1438">
      <c r="A1438" s="10" t="n"/>
      <c r="B1438" s="10" t="n"/>
      <c r="C1438" s="11">
        <f>IF(A1438="","",$B$5*TAN(RADIANS(A1438)))</f>
        <v/>
      </c>
      <c r="D1438" s="11">
        <f>IF(C1438="","",C1438*(1+B1438/100))</f>
        <v/>
      </c>
      <c r="E1438" s="11">
        <f>IF(A1438="","",$B$6*TAN(RADIANS(A1438)))</f>
        <v/>
      </c>
    </row>
    <row r="1439">
      <c r="A1439" s="10" t="n"/>
      <c r="B1439" s="10" t="n"/>
      <c r="C1439" s="11">
        <f>IF(A1439="","",$B$5*TAN(RADIANS(A1439)))</f>
        <v/>
      </c>
      <c r="D1439" s="11">
        <f>IF(C1439="","",C1439*(1+B1439/100))</f>
        <v/>
      </c>
      <c r="E1439" s="11">
        <f>IF(A1439="","",$B$6*TAN(RADIANS(A1439)))</f>
        <v/>
      </c>
    </row>
    <row r="1440">
      <c r="A1440" s="10" t="n"/>
      <c r="B1440" s="10" t="n"/>
      <c r="C1440" s="11">
        <f>IF(A1440="","",$B$5*TAN(RADIANS(A1440)))</f>
        <v/>
      </c>
      <c r="D1440" s="11">
        <f>IF(C1440="","",C1440*(1+B1440/100))</f>
        <v/>
      </c>
      <c r="E1440" s="11">
        <f>IF(A1440="","",$B$6*TAN(RADIANS(A1440)))</f>
        <v/>
      </c>
    </row>
    <row r="1441">
      <c r="A1441" s="10" t="n"/>
      <c r="B1441" s="10" t="n"/>
      <c r="C1441" s="11">
        <f>IF(A1441="","",$B$5*TAN(RADIANS(A1441)))</f>
        <v/>
      </c>
      <c r="D1441" s="11">
        <f>IF(C1441="","",C1441*(1+B1441/100))</f>
        <v/>
      </c>
      <c r="E1441" s="11">
        <f>IF(A1441="","",$B$6*TAN(RADIANS(A1441)))</f>
        <v/>
      </c>
    </row>
    <row r="1442">
      <c r="A1442" s="10" t="n"/>
      <c r="B1442" s="10" t="n"/>
      <c r="C1442" s="11">
        <f>IF(A1442="","",$B$5*TAN(RADIANS(A1442)))</f>
        <v/>
      </c>
      <c r="D1442" s="11">
        <f>IF(C1442="","",C1442*(1+B1442/100))</f>
        <v/>
      </c>
      <c r="E1442" s="11">
        <f>IF(A1442="","",$B$6*TAN(RADIANS(A1442)))</f>
        <v/>
      </c>
    </row>
    <row r="1443">
      <c r="A1443" s="10" t="n"/>
      <c r="B1443" s="10" t="n"/>
      <c r="C1443" s="11">
        <f>IF(A1443="","",$B$5*TAN(RADIANS(A1443)))</f>
        <v/>
      </c>
      <c r="D1443" s="11">
        <f>IF(C1443="","",C1443*(1+B1443/100))</f>
        <v/>
      </c>
      <c r="E1443" s="11">
        <f>IF(A1443="","",$B$6*TAN(RADIANS(A1443)))</f>
        <v/>
      </c>
    </row>
    <row r="1444">
      <c r="A1444" s="10" t="n"/>
      <c r="B1444" s="10" t="n"/>
      <c r="C1444" s="11">
        <f>IF(A1444="","",$B$5*TAN(RADIANS(A1444)))</f>
        <v/>
      </c>
      <c r="D1444" s="11">
        <f>IF(C1444="","",C1444*(1+B1444/100))</f>
        <v/>
      </c>
      <c r="E1444" s="11">
        <f>IF(A1444="","",$B$6*TAN(RADIANS(A1444)))</f>
        <v/>
      </c>
    </row>
    <row r="1445">
      <c r="A1445" s="10" t="n"/>
      <c r="B1445" s="10" t="n"/>
      <c r="C1445" s="11">
        <f>IF(A1445="","",$B$5*TAN(RADIANS(A1445)))</f>
        <v/>
      </c>
      <c r="D1445" s="11">
        <f>IF(C1445="","",C1445*(1+B1445/100))</f>
        <v/>
      </c>
      <c r="E1445" s="11">
        <f>IF(A1445="","",$B$6*TAN(RADIANS(A1445)))</f>
        <v/>
      </c>
    </row>
    <row r="1446">
      <c r="A1446" s="10" t="n"/>
      <c r="B1446" s="10" t="n"/>
      <c r="C1446" s="11">
        <f>IF(A1446="","",$B$5*TAN(RADIANS(A1446)))</f>
        <v/>
      </c>
      <c r="D1446" s="11">
        <f>IF(C1446="","",C1446*(1+B1446/100))</f>
        <v/>
      </c>
      <c r="E1446" s="11">
        <f>IF(A1446="","",$B$6*TAN(RADIANS(A1446)))</f>
        <v/>
      </c>
    </row>
    <row r="1447">
      <c r="A1447" s="10" t="n"/>
      <c r="B1447" s="10" t="n"/>
      <c r="C1447" s="11">
        <f>IF(A1447="","",$B$5*TAN(RADIANS(A1447)))</f>
        <v/>
      </c>
      <c r="D1447" s="11">
        <f>IF(C1447="","",C1447*(1+B1447/100))</f>
        <v/>
      </c>
      <c r="E1447" s="11">
        <f>IF(A1447="","",$B$6*TAN(RADIANS(A1447)))</f>
        <v/>
      </c>
    </row>
    <row r="1448">
      <c r="A1448" s="10" t="n"/>
      <c r="B1448" s="10" t="n"/>
      <c r="C1448" s="11">
        <f>IF(A1448="","",$B$5*TAN(RADIANS(A1448)))</f>
        <v/>
      </c>
      <c r="D1448" s="11">
        <f>IF(C1448="","",C1448*(1+B1448/100))</f>
        <v/>
      </c>
      <c r="E1448" s="11">
        <f>IF(A1448="","",$B$6*TAN(RADIANS(A1448)))</f>
        <v/>
      </c>
    </row>
    <row r="1449">
      <c r="A1449" s="10" t="n"/>
      <c r="B1449" s="10" t="n"/>
      <c r="C1449" s="11">
        <f>IF(A1449="","",$B$5*TAN(RADIANS(A1449)))</f>
        <v/>
      </c>
      <c r="D1449" s="11">
        <f>IF(C1449="","",C1449*(1+B1449/100))</f>
        <v/>
      </c>
      <c r="E1449" s="11">
        <f>IF(A1449="","",$B$6*TAN(RADIANS(A1449)))</f>
        <v/>
      </c>
    </row>
    <row r="1450">
      <c r="A1450" s="10" t="n"/>
      <c r="B1450" s="10" t="n"/>
      <c r="C1450" s="11">
        <f>IF(A1450="","",$B$5*TAN(RADIANS(A1450)))</f>
        <v/>
      </c>
      <c r="D1450" s="11">
        <f>IF(C1450="","",C1450*(1+B1450/100))</f>
        <v/>
      </c>
      <c r="E1450" s="11">
        <f>IF(A1450="","",$B$6*TAN(RADIANS(A1450)))</f>
        <v/>
      </c>
    </row>
    <row r="1451">
      <c r="A1451" s="10" t="n"/>
      <c r="B1451" s="10" t="n"/>
      <c r="C1451" s="11">
        <f>IF(A1451="","",$B$5*TAN(RADIANS(A1451)))</f>
        <v/>
      </c>
      <c r="D1451" s="11">
        <f>IF(C1451="","",C1451*(1+B1451/100))</f>
        <v/>
      </c>
      <c r="E1451" s="11">
        <f>IF(A1451="","",$B$6*TAN(RADIANS(A1451)))</f>
        <v/>
      </c>
    </row>
    <row r="1452">
      <c r="A1452" s="10" t="n"/>
      <c r="B1452" s="10" t="n"/>
      <c r="C1452" s="11">
        <f>IF(A1452="","",$B$5*TAN(RADIANS(A1452)))</f>
        <v/>
      </c>
      <c r="D1452" s="11">
        <f>IF(C1452="","",C1452*(1+B1452/100))</f>
        <v/>
      </c>
      <c r="E1452" s="11">
        <f>IF(A1452="","",$B$6*TAN(RADIANS(A1452)))</f>
        <v/>
      </c>
    </row>
    <row r="1453">
      <c r="A1453" s="10" t="n"/>
      <c r="B1453" s="10" t="n"/>
      <c r="C1453" s="11">
        <f>IF(A1453="","",$B$5*TAN(RADIANS(A1453)))</f>
        <v/>
      </c>
      <c r="D1453" s="11">
        <f>IF(C1453="","",C1453*(1+B1453/100))</f>
        <v/>
      </c>
      <c r="E1453" s="11">
        <f>IF(A1453="","",$B$6*TAN(RADIANS(A1453)))</f>
        <v/>
      </c>
    </row>
    <row r="1454">
      <c r="A1454" s="10" t="n"/>
      <c r="B1454" s="10" t="n"/>
      <c r="C1454" s="11">
        <f>IF(A1454="","",$B$5*TAN(RADIANS(A1454)))</f>
        <v/>
      </c>
      <c r="D1454" s="11">
        <f>IF(C1454="","",C1454*(1+B1454/100))</f>
        <v/>
      </c>
      <c r="E1454" s="11">
        <f>IF(A1454="","",$B$6*TAN(RADIANS(A1454)))</f>
        <v/>
      </c>
    </row>
    <row r="1455">
      <c r="A1455" s="10" t="n"/>
      <c r="B1455" s="10" t="n"/>
      <c r="C1455" s="11">
        <f>IF(A1455="","",$B$5*TAN(RADIANS(A1455)))</f>
        <v/>
      </c>
      <c r="D1455" s="11">
        <f>IF(C1455="","",C1455*(1+B1455/100))</f>
        <v/>
      </c>
      <c r="E1455" s="11">
        <f>IF(A1455="","",$B$6*TAN(RADIANS(A1455)))</f>
        <v/>
      </c>
    </row>
    <row r="1456">
      <c r="A1456" s="10" t="n"/>
      <c r="B1456" s="10" t="n"/>
      <c r="C1456" s="11">
        <f>IF(A1456="","",$B$5*TAN(RADIANS(A1456)))</f>
        <v/>
      </c>
      <c r="D1456" s="11">
        <f>IF(C1456="","",C1456*(1+B1456/100))</f>
        <v/>
      </c>
      <c r="E1456" s="11">
        <f>IF(A1456="","",$B$6*TAN(RADIANS(A1456)))</f>
        <v/>
      </c>
    </row>
    <row r="1457">
      <c r="A1457" s="10" t="n"/>
      <c r="B1457" s="10" t="n"/>
      <c r="C1457" s="11">
        <f>IF(A1457="","",$B$5*TAN(RADIANS(A1457)))</f>
        <v/>
      </c>
      <c r="D1457" s="11">
        <f>IF(C1457="","",C1457*(1+B1457/100))</f>
        <v/>
      </c>
      <c r="E1457" s="11">
        <f>IF(A1457="","",$B$6*TAN(RADIANS(A1457)))</f>
        <v/>
      </c>
    </row>
    <row r="1458">
      <c r="A1458" s="10" t="n"/>
      <c r="B1458" s="10" t="n"/>
      <c r="C1458" s="11">
        <f>IF(A1458="","",$B$5*TAN(RADIANS(A1458)))</f>
        <v/>
      </c>
      <c r="D1458" s="11">
        <f>IF(C1458="","",C1458*(1+B1458/100))</f>
        <v/>
      </c>
      <c r="E1458" s="11">
        <f>IF(A1458="","",$B$6*TAN(RADIANS(A1458)))</f>
        <v/>
      </c>
    </row>
    <row r="1459">
      <c r="A1459" s="10" t="n"/>
      <c r="B1459" s="10" t="n"/>
      <c r="C1459" s="11">
        <f>IF(A1459="","",$B$5*TAN(RADIANS(A1459)))</f>
        <v/>
      </c>
      <c r="D1459" s="11">
        <f>IF(C1459="","",C1459*(1+B1459/100))</f>
        <v/>
      </c>
      <c r="E1459" s="11">
        <f>IF(A1459="","",$B$6*TAN(RADIANS(A1459)))</f>
        <v/>
      </c>
    </row>
    <row r="1460">
      <c r="A1460" s="10" t="n"/>
      <c r="B1460" s="10" t="n"/>
      <c r="C1460" s="11">
        <f>IF(A1460="","",$B$5*TAN(RADIANS(A1460)))</f>
        <v/>
      </c>
      <c r="D1460" s="11">
        <f>IF(C1460="","",C1460*(1+B1460/100))</f>
        <v/>
      </c>
      <c r="E1460" s="11">
        <f>IF(A1460="","",$B$6*TAN(RADIANS(A1460)))</f>
        <v/>
      </c>
    </row>
    <row r="1461">
      <c r="A1461" s="10" t="n"/>
      <c r="B1461" s="10" t="n"/>
      <c r="C1461" s="11">
        <f>IF(A1461="","",$B$5*TAN(RADIANS(A1461)))</f>
        <v/>
      </c>
      <c r="D1461" s="11">
        <f>IF(C1461="","",C1461*(1+B1461/100))</f>
        <v/>
      </c>
      <c r="E1461" s="11">
        <f>IF(A1461="","",$B$6*TAN(RADIANS(A1461)))</f>
        <v/>
      </c>
    </row>
    <row r="1462">
      <c r="A1462" s="10" t="n"/>
      <c r="B1462" s="10" t="n"/>
      <c r="C1462" s="11">
        <f>IF(A1462="","",$B$5*TAN(RADIANS(A1462)))</f>
        <v/>
      </c>
      <c r="D1462" s="11">
        <f>IF(C1462="","",C1462*(1+B1462/100))</f>
        <v/>
      </c>
      <c r="E1462" s="11">
        <f>IF(A1462="","",$B$6*TAN(RADIANS(A1462)))</f>
        <v/>
      </c>
    </row>
    <row r="1463">
      <c r="A1463" s="10" t="n"/>
      <c r="B1463" s="10" t="n"/>
      <c r="C1463" s="11">
        <f>IF(A1463="","",$B$5*TAN(RADIANS(A1463)))</f>
        <v/>
      </c>
      <c r="D1463" s="11">
        <f>IF(C1463="","",C1463*(1+B1463/100))</f>
        <v/>
      </c>
      <c r="E1463" s="11">
        <f>IF(A1463="","",$B$6*TAN(RADIANS(A1463)))</f>
        <v/>
      </c>
    </row>
    <row r="1464">
      <c r="A1464" s="10" t="n"/>
      <c r="B1464" s="10" t="n"/>
      <c r="C1464" s="11">
        <f>IF(A1464="","",$B$5*TAN(RADIANS(A1464)))</f>
        <v/>
      </c>
      <c r="D1464" s="11">
        <f>IF(C1464="","",C1464*(1+B1464/100))</f>
        <v/>
      </c>
      <c r="E1464" s="11">
        <f>IF(A1464="","",$B$6*TAN(RADIANS(A1464)))</f>
        <v/>
      </c>
    </row>
    <row r="1465">
      <c r="A1465" s="10" t="n"/>
      <c r="B1465" s="10" t="n"/>
      <c r="C1465" s="11">
        <f>IF(A1465="","",$B$5*TAN(RADIANS(A1465)))</f>
        <v/>
      </c>
      <c r="D1465" s="11">
        <f>IF(C1465="","",C1465*(1+B1465/100))</f>
        <v/>
      </c>
      <c r="E1465" s="11">
        <f>IF(A1465="","",$B$6*TAN(RADIANS(A1465)))</f>
        <v/>
      </c>
    </row>
    <row r="1466">
      <c r="A1466" s="10" t="n"/>
      <c r="B1466" s="10" t="n"/>
      <c r="C1466" s="11">
        <f>IF(A1466="","",$B$5*TAN(RADIANS(A1466)))</f>
        <v/>
      </c>
      <c r="D1466" s="11">
        <f>IF(C1466="","",C1466*(1+B1466/100))</f>
        <v/>
      </c>
      <c r="E1466" s="11">
        <f>IF(A1466="","",$B$6*TAN(RADIANS(A1466)))</f>
        <v/>
      </c>
    </row>
    <row r="1467">
      <c r="A1467" s="10" t="n"/>
      <c r="B1467" s="10" t="n"/>
      <c r="C1467" s="11">
        <f>IF(A1467="","",$B$5*TAN(RADIANS(A1467)))</f>
        <v/>
      </c>
      <c r="D1467" s="11">
        <f>IF(C1467="","",C1467*(1+B1467/100))</f>
        <v/>
      </c>
      <c r="E1467" s="11">
        <f>IF(A1467="","",$B$6*TAN(RADIANS(A1467)))</f>
        <v/>
      </c>
    </row>
    <row r="1468">
      <c r="A1468" s="10" t="n"/>
      <c r="B1468" s="10" t="n"/>
      <c r="C1468" s="11">
        <f>IF(A1468="","",$B$5*TAN(RADIANS(A1468)))</f>
        <v/>
      </c>
      <c r="D1468" s="11">
        <f>IF(C1468="","",C1468*(1+B1468/100))</f>
        <v/>
      </c>
      <c r="E1468" s="11">
        <f>IF(A1468="","",$B$6*TAN(RADIANS(A1468)))</f>
        <v/>
      </c>
    </row>
    <row r="1469">
      <c r="A1469" s="10" t="n"/>
      <c r="B1469" s="10" t="n"/>
      <c r="C1469" s="11">
        <f>IF(A1469="","",$B$5*TAN(RADIANS(A1469)))</f>
        <v/>
      </c>
      <c r="D1469" s="11">
        <f>IF(C1469="","",C1469*(1+B1469/100))</f>
        <v/>
      </c>
      <c r="E1469" s="11">
        <f>IF(A1469="","",$B$6*TAN(RADIANS(A1469)))</f>
        <v/>
      </c>
    </row>
    <row r="1470">
      <c r="A1470" s="10" t="n"/>
      <c r="B1470" s="10" t="n"/>
      <c r="C1470" s="11">
        <f>IF(A1470="","",$B$5*TAN(RADIANS(A1470)))</f>
        <v/>
      </c>
      <c r="D1470" s="11">
        <f>IF(C1470="","",C1470*(1+B1470/100))</f>
        <v/>
      </c>
      <c r="E1470" s="11">
        <f>IF(A1470="","",$B$6*TAN(RADIANS(A1470)))</f>
        <v/>
      </c>
    </row>
    <row r="1471">
      <c r="A1471" s="10" t="n"/>
      <c r="B1471" s="10" t="n"/>
      <c r="C1471" s="11">
        <f>IF(A1471="","",$B$5*TAN(RADIANS(A1471)))</f>
        <v/>
      </c>
      <c r="D1471" s="11">
        <f>IF(C1471="","",C1471*(1+B1471/100))</f>
        <v/>
      </c>
      <c r="E1471" s="11">
        <f>IF(A1471="","",$B$6*TAN(RADIANS(A1471)))</f>
        <v/>
      </c>
    </row>
    <row r="1472">
      <c r="A1472" s="10" t="n"/>
      <c r="B1472" s="10" t="n"/>
      <c r="C1472" s="11">
        <f>IF(A1472="","",$B$5*TAN(RADIANS(A1472)))</f>
        <v/>
      </c>
      <c r="D1472" s="11">
        <f>IF(C1472="","",C1472*(1+B1472/100))</f>
        <v/>
      </c>
      <c r="E1472" s="11">
        <f>IF(A1472="","",$B$6*TAN(RADIANS(A1472)))</f>
        <v/>
      </c>
    </row>
    <row r="1473">
      <c r="A1473" s="10" t="n"/>
      <c r="B1473" s="10" t="n"/>
      <c r="C1473" s="11">
        <f>IF(A1473="","",$B$5*TAN(RADIANS(A1473)))</f>
        <v/>
      </c>
      <c r="D1473" s="11">
        <f>IF(C1473="","",C1473*(1+B1473/100))</f>
        <v/>
      </c>
      <c r="E1473" s="11">
        <f>IF(A1473="","",$B$6*TAN(RADIANS(A1473)))</f>
        <v/>
      </c>
    </row>
    <row r="1474">
      <c r="A1474" s="10" t="n"/>
      <c r="B1474" s="10" t="n"/>
      <c r="C1474" s="11">
        <f>IF(A1474="","",$B$5*TAN(RADIANS(A1474)))</f>
        <v/>
      </c>
      <c r="D1474" s="11">
        <f>IF(C1474="","",C1474*(1+B1474/100))</f>
        <v/>
      </c>
      <c r="E1474" s="11">
        <f>IF(A1474="","",$B$6*TAN(RADIANS(A1474)))</f>
        <v/>
      </c>
    </row>
    <row r="1475">
      <c r="A1475" s="10" t="n"/>
      <c r="B1475" s="10" t="n"/>
      <c r="C1475" s="11">
        <f>IF(A1475="","",$B$5*TAN(RADIANS(A1475)))</f>
        <v/>
      </c>
      <c r="D1475" s="11">
        <f>IF(C1475="","",C1475*(1+B1475/100))</f>
        <v/>
      </c>
      <c r="E1475" s="11">
        <f>IF(A1475="","",$B$6*TAN(RADIANS(A1475)))</f>
        <v/>
      </c>
    </row>
    <row r="1476">
      <c r="A1476" s="10" t="n"/>
      <c r="B1476" s="10" t="n"/>
      <c r="C1476" s="11">
        <f>IF(A1476="","",$B$5*TAN(RADIANS(A1476)))</f>
        <v/>
      </c>
      <c r="D1476" s="11">
        <f>IF(C1476="","",C1476*(1+B1476/100))</f>
        <v/>
      </c>
      <c r="E1476" s="11">
        <f>IF(A1476="","",$B$6*TAN(RADIANS(A1476)))</f>
        <v/>
      </c>
    </row>
    <row r="1477">
      <c r="A1477" s="10" t="n"/>
      <c r="B1477" s="10" t="n"/>
      <c r="C1477" s="11">
        <f>IF(A1477="","",$B$5*TAN(RADIANS(A1477)))</f>
        <v/>
      </c>
      <c r="D1477" s="11">
        <f>IF(C1477="","",C1477*(1+B1477/100))</f>
        <v/>
      </c>
      <c r="E1477" s="11">
        <f>IF(A1477="","",$B$6*TAN(RADIANS(A1477)))</f>
        <v/>
      </c>
    </row>
    <row r="1478">
      <c r="A1478" s="10" t="n"/>
      <c r="B1478" s="10" t="n"/>
      <c r="C1478" s="11">
        <f>IF(A1478="","",$B$5*TAN(RADIANS(A1478)))</f>
        <v/>
      </c>
      <c r="D1478" s="11">
        <f>IF(C1478="","",C1478*(1+B1478/100))</f>
        <v/>
      </c>
      <c r="E1478" s="11">
        <f>IF(A1478="","",$B$6*TAN(RADIANS(A1478)))</f>
        <v/>
      </c>
    </row>
    <row r="1479">
      <c r="A1479" s="10" t="n"/>
      <c r="B1479" s="10" t="n"/>
      <c r="C1479" s="11">
        <f>IF(A1479="","",$B$5*TAN(RADIANS(A1479)))</f>
        <v/>
      </c>
      <c r="D1479" s="11">
        <f>IF(C1479="","",C1479*(1+B1479/100))</f>
        <v/>
      </c>
      <c r="E1479" s="11">
        <f>IF(A1479="","",$B$6*TAN(RADIANS(A1479)))</f>
        <v/>
      </c>
    </row>
    <row r="1480">
      <c r="A1480" s="10" t="n"/>
      <c r="B1480" s="10" t="n"/>
      <c r="C1480" s="11">
        <f>IF(A1480="","",$B$5*TAN(RADIANS(A1480)))</f>
        <v/>
      </c>
      <c r="D1480" s="11">
        <f>IF(C1480="","",C1480*(1+B1480/100))</f>
        <v/>
      </c>
      <c r="E1480" s="11">
        <f>IF(A1480="","",$B$6*TAN(RADIANS(A1480)))</f>
        <v/>
      </c>
    </row>
    <row r="1481">
      <c r="A1481" s="10" t="n"/>
      <c r="B1481" s="10" t="n"/>
      <c r="C1481" s="11">
        <f>IF(A1481="","",$B$5*TAN(RADIANS(A1481)))</f>
        <v/>
      </c>
      <c r="D1481" s="11">
        <f>IF(C1481="","",C1481*(1+B1481/100))</f>
        <v/>
      </c>
      <c r="E1481" s="11">
        <f>IF(A1481="","",$B$6*TAN(RADIANS(A1481)))</f>
        <v/>
      </c>
    </row>
    <row r="1482">
      <c r="A1482" s="10" t="n"/>
      <c r="B1482" s="10" t="n"/>
      <c r="C1482" s="11">
        <f>IF(A1482="","",$B$5*TAN(RADIANS(A1482)))</f>
        <v/>
      </c>
      <c r="D1482" s="11">
        <f>IF(C1482="","",C1482*(1+B1482/100))</f>
        <v/>
      </c>
      <c r="E1482" s="11">
        <f>IF(A1482="","",$B$6*TAN(RADIANS(A1482)))</f>
        <v/>
      </c>
    </row>
    <row r="1483">
      <c r="A1483" s="10" t="n"/>
      <c r="B1483" s="10" t="n"/>
      <c r="C1483" s="11">
        <f>IF(A1483="","",$B$5*TAN(RADIANS(A1483)))</f>
        <v/>
      </c>
      <c r="D1483" s="11">
        <f>IF(C1483="","",C1483*(1+B1483/100))</f>
        <v/>
      </c>
      <c r="E1483" s="11">
        <f>IF(A1483="","",$B$6*TAN(RADIANS(A1483)))</f>
        <v/>
      </c>
    </row>
    <row r="1484">
      <c r="A1484" s="10" t="n"/>
      <c r="B1484" s="10" t="n"/>
      <c r="C1484" s="11">
        <f>IF(A1484="","",$B$5*TAN(RADIANS(A1484)))</f>
        <v/>
      </c>
      <c r="D1484" s="11">
        <f>IF(C1484="","",C1484*(1+B1484/100))</f>
        <v/>
      </c>
      <c r="E1484" s="11">
        <f>IF(A1484="","",$B$6*TAN(RADIANS(A1484)))</f>
        <v/>
      </c>
    </row>
    <row r="1485">
      <c r="A1485" s="10" t="n"/>
      <c r="B1485" s="10" t="n"/>
      <c r="C1485" s="11">
        <f>IF(A1485="","",$B$5*TAN(RADIANS(A1485)))</f>
        <v/>
      </c>
      <c r="D1485" s="11">
        <f>IF(C1485="","",C1485*(1+B1485/100))</f>
        <v/>
      </c>
      <c r="E1485" s="11">
        <f>IF(A1485="","",$B$6*TAN(RADIANS(A1485)))</f>
        <v/>
      </c>
    </row>
    <row r="1486">
      <c r="A1486" s="10" t="n"/>
      <c r="B1486" s="10" t="n"/>
      <c r="C1486" s="11">
        <f>IF(A1486="","",$B$5*TAN(RADIANS(A1486)))</f>
        <v/>
      </c>
      <c r="D1486" s="11">
        <f>IF(C1486="","",C1486*(1+B1486/100))</f>
        <v/>
      </c>
      <c r="E1486" s="11">
        <f>IF(A1486="","",$B$6*TAN(RADIANS(A1486)))</f>
        <v/>
      </c>
    </row>
    <row r="1487">
      <c r="A1487" s="10" t="n"/>
      <c r="B1487" s="10" t="n"/>
      <c r="C1487" s="11">
        <f>IF(A1487="","",$B$5*TAN(RADIANS(A1487)))</f>
        <v/>
      </c>
      <c r="D1487" s="11">
        <f>IF(C1487="","",C1487*(1+B1487/100))</f>
        <v/>
      </c>
      <c r="E1487" s="11">
        <f>IF(A1487="","",$B$6*TAN(RADIANS(A1487)))</f>
        <v/>
      </c>
    </row>
    <row r="1488">
      <c r="A1488" s="10" t="n"/>
      <c r="B1488" s="10" t="n"/>
      <c r="C1488" s="11">
        <f>IF(A1488="","",$B$5*TAN(RADIANS(A1488)))</f>
        <v/>
      </c>
      <c r="D1488" s="11">
        <f>IF(C1488="","",C1488*(1+B1488/100))</f>
        <v/>
      </c>
      <c r="E1488" s="11">
        <f>IF(A1488="","",$B$6*TAN(RADIANS(A1488)))</f>
        <v/>
      </c>
    </row>
    <row r="1489">
      <c r="A1489" s="10" t="n"/>
      <c r="B1489" s="10" t="n"/>
      <c r="C1489" s="11">
        <f>IF(A1489="","",$B$5*TAN(RADIANS(A1489)))</f>
        <v/>
      </c>
      <c r="D1489" s="11">
        <f>IF(C1489="","",C1489*(1+B1489/100))</f>
        <v/>
      </c>
      <c r="E1489" s="11">
        <f>IF(A1489="","",$B$6*TAN(RADIANS(A1489)))</f>
        <v/>
      </c>
    </row>
    <row r="1490">
      <c r="A1490" s="10" t="n"/>
      <c r="B1490" s="10" t="n"/>
      <c r="C1490" s="11">
        <f>IF(A1490="","",$B$5*TAN(RADIANS(A1490)))</f>
        <v/>
      </c>
      <c r="D1490" s="11">
        <f>IF(C1490="","",C1490*(1+B1490/100))</f>
        <v/>
      </c>
      <c r="E1490" s="11">
        <f>IF(A1490="","",$B$6*TAN(RADIANS(A1490)))</f>
        <v/>
      </c>
    </row>
    <row r="1491">
      <c r="A1491" s="10" t="n"/>
      <c r="B1491" s="10" t="n"/>
      <c r="C1491" s="11">
        <f>IF(A1491="","",$B$5*TAN(RADIANS(A1491)))</f>
        <v/>
      </c>
      <c r="D1491" s="11">
        <f>IF(C1491="","",C1491*(1+B1491/100))</f>
        <v/>
      </c>
      <c r="E1491" s="11">
        <f>IF(A1491="","",$B$6*TAN(RADIANS(A1491)))</f>
        <v/>
      </c>
    </row>
    <row r="1492">
      <c r="A1492" s="10" t="n"/>
      <c r="B1492" s="10" t="n"/>
      <c r="C1492" s="11">
        <f>IF(A1492="","",$B$5*TAN(RADIANS(A1492)))</f>
        <v/>
      </c>
      <c r="D1492" s="11">
        <f>IF(C1492="","",C1492*(1+B1492/100))</f>
        <v/>
      </c>
      <c r="E1492" s="11">
        <f>IF(A1492="","",$B$6*TAN(RADIANS(A1492)))</f>
        <v/>
      </c>
    </row>
    <row r="1493">
      <c r="A1493" s="10" t="n"/>
      <c r="B1493" s="10" t="n"/>
      <c r="C1493" s="11">
        <f>IF(A1493="","",$B$5*TAN(RADIANS(A1493)))</f>
        <v/>
      </c>
      <c r="D1493" s="11">
        <f>IF(C1493="","",C1493*(1+B1493/100))</f>
        <v/>
      </c>
      <c r="E1493" s="11">
        <f>IF(A1493="","",$B$6*TAN(RADIANS(A1493)))</f>
        <v/>
      </c>
    </row>
    <row r="1494">
      <c r="A1494" s="10" t="n"/>
      <c r="B1494" s="10" t="n"/>
      <c r="C1494" s="11">
        <f>IF(A1494="","",$B$5*TAN(RADIANS(A1494)))</f>
        <v/>
      </c>
      <c r="D1494" s="11">
        <f>IF(C1494="","",C1494*(1+B1494/100))</f>
        <v/>
      </c>
      <c r="E1494" s="11">
        <f>IF(A1494="","",$B$6*TAN(RADIANS(A1494)))</f>
        <v/>
      </c>
    </row>
    <row r="1495">
      <c r="A1495" s="10" t="n"/>
      <c r="B1495" s="10" t="n"/>
      <c r="C1495" s="11">
        <f>IF(A1495="","",$B$5*TAN(RADIANS(A1495)))</f>
        <v/>
      </c>
      <c r="D1495" s="11">
        <f>IF(C1495="","",C1495*(1+B1495/100))</f>
        <v/>
      </c>
      <c r="E1495" s="11">
        <f>IF(A1495="","",$B$6*TAN(RADIANS(A1495)))</f>
        <v/>
      </c>
    </row>
    <row r="1496">
      <c r="A1496" s="10" t="n"/>
      <c r="B1496" s="10" t="n"/>
      <c r="C1496" s="11">
        <f>IF(A1496="","",$B$5*TAN(RADIANS(A1496)))</f>
        <v/>
      </c>
      <c r="D1496" s="11">
        <f>IF(C1496="","",C1496*(1+B1496/100))</f>
        <v/>
      </c>
      <c r="E1496" s="11">
        <f>IF(A1496="","",$B$6*TAN(RADIANS(A1496)))</f>
        <v/>
      </c>
    </row>
    <row r="1497">
      <c r="A1497" s="10" t="n"/>
      <c r="B1497" s="10" t="n"/>
      <c r="C1497" s="11">
        <f>IF(A1497="","",$B$5*TAN(RADIANS(A1497)))</f>
        <v/>
      </c>
      <c r="D1497" s="11">
        <f>IF(C1497="","",C1497*(1+B1497/100))</f>
        <v/>
      </c>
      <c r="E1497" s="11">
        <f>IF(A1497="","",$B$6*TAN(RADIANS(A1497)))</f>
        <v/>
      </c>
    </row>
    <row r="1498">
      <c r="A1498" s="10" t="n"/>
      <c r="B1498" s="10" t="n"/>
      <c r="C1498" s="11">
        <f>IF(A1498="","",$B$5*TAN(RADIANS(A1498)))</f>
        <v/>
      </c>
      <c r="D1498" s="11">
        <f>IF(C1498="","",C1498*(1+B1498/100))</f>
        <v/>
      </c>
      <c r="E1498" s="11">
        <f>IF(A1498="","",$B$6*TAN(RADIANS(A1498)))</f>
        <v/>
      </c>
    </row>
    <row r="1499">
      <c r="A1499" s="10" t="n"/>
      <c r="B1499" s="10" t="n"/>
      <c r="C1499" s="11">
        <f>IF(A1499="","",$B$5*TAN(RADIANS(A1499)))</f>
        <v/>
      </c>
      <c r="D1499" s="11">
        <f>IF(C1499="","",C1499*(1+B1499/100))</f>
        <v/>
      </c>
      <c r="E1499" s="11">
        <f>IF(A1499="","",$B$6*TAN(RADIANS(A1499)))</f>
        <v/>
      </c>
    </row>
    <row r="1500">
      <c r="A1500" s="10" t="n"/>
      <c r="B1500" s="10" t="n"/>
      <c r="C1500" s="11">
        <f>IF(A1500="","",$B$5*TAN(RADIANS(A1500)))</f>
        <v/>
      </c>
      <c r="D1500" s="11">
        <f>IF(C1500="","",C1500*(1+B1500/100))</f>
        <v/>
      </c>
      <c r="E1500" s="11">
        <f>IF(A1500="","",$B$6*TAN(RADIANS(A1500)))</f>
        <v/>
      </c>
    </row>
    <row r="1501">
      <c r="A1501" s="10" t="n"/>
      <c r="B1501" s="10" t="n"/>
      <c r="C1501" s="11">
        <f>IF(A1501="","",$B$5*TAN(RADIANS(A1501)))</f>
        <v/>
      </c>
      <c r="D1501" s="11">
        <f>IF(C1501="","",C1501*(1+B1501/100))</f>
        <v/>
      </c>
      <c r="E1501" s="11">
        <f>IF(A1501="","",$B$6*TAN(RADIANS(A1501)))</f>
        <v/>
      </c>
    </row>
    <row r="1502">
      <c r="A1502" s="10" t="n"/>
      <c r="B1502" s="10" t="n"/>
      <c r="C1502" s="11">
        <f>IF(A1502="","",$B$5*TAN(RADIANS(A1502)))</f>
        <v/>
      </c>
      <c r="D1502" s="11">
        <f>IF(C1502="","",C1502*(1+B1502/100))</f>
        <v/>
      </c>
      <c r="E1502" s="11">
        <f>IF(A1502="","",$B$6*TAN(RADIANS(A1502)))</f>
        <v/>
      </c>
    </row>
    <row r="1503">
      <c r="A1503" s="10" t="n"/>
      <c r="B1503" s="10" t="n"/>
      <c r="C1503" s="11">
        <f>IF(A1503="","",$B$5*TAN(RADIANS(A1503)))</f>
        <v/>
      </c>
      <c r="D1503" s="11">
        <f>IF(C1503="","",C1503*(1+B1503/100))</f>
        <v/>
      </c>
      <c r="E1503" s="11">
        <f>IF(A1503="","",$B$6*TAN(RADIANS(A1503)))</f>
        <v/>
      </c>
    </row>
    <row r="1504">
      <c r="A1504" s="10" t="n"/>
      <c r="B1504" s="10" t="n"/>
      <c r="C1504" s="11">
        <f>IF(A1504="","",$B$5*TAN(RADIANS(A1504)))</f>
        <v/>
      </c>
      <c r="D1504" s="11">
        <f>IF(C1504="","",C1504*(1+B1504/100))</f>
        <v/>
      </c>
      <c r="E1504" s="11">
        <f>IF(A1504="","",$B$6*TAN(RADIANS(A1504)))</f>
        <v/>
      </c>
    </row>
    <row r="1505">
      <c r="A1505" s="10" t="n"/>
      <c r="B1505" s="10" t="n"/>
      <c r="C1505" s="11">
        <f>IF(A1505="","",$B$5*TAN(RADIANS(A1505)))</f>
        <v/>
      </c>
      <c r="D1505" s="11">
        <f>IF(C1505="","",C1505*(1+B1505/100))</f>
        <v/>
      </c>
      <c r="E1505" s="11">
        <f>IF(A1505="","",$B$6*TAN(RADIANS(A1505)))</f>
        <v/>
      </c>
    </row>
    <row r="1506">
      <c r="A1506" s="10" t="n"/>
      <c r="B1506" s="10" t="n"/>
      <c r="C1506" s="11">
        <f>IF(A1506="","",$B$5*TAN(RADIANS(A1506)))</f>
        <v/>
      </c>
      <c r="D1506" s="11">
        <f>IF(C1506="","",C1506*(1+B1506/100))</f>
        <v/>
      </c>
      <c r="E1506" s="11">
        <f>IF(A1506="","",$B$6*TAN(RADIANS(A1506)))</f>
        <v/>
      </c>
    </row>
    <row r="1507">
      <c r="A1507" s="10" t="n"/>
      <c r="B1507" s="10" t="n"/>
      <c r="C1507" s="11">
        <f>IF(A1507="","",$B$5*TAN(RADIANS(A1507)))</f>
        <v/>
      </c>
      <c r="D1507" s="11">
        <f>IF(C1507="","",C1507*(1+B1507/100))</f>
        <v/>
      </c>
      <c r="E1507" s="11">
        <f>IF(A1507="","",$B$6*TAN(RADIANS(A1507)))</f>
        <v/>
      </c>
    </row>
    <row r="1508">
      <c r="A1508" s="10" t="n"/>
      <c r="B1508" s="10" t="n"/>
      <c r="C1508" s="11">
        <f>IF(A1508="","",$B$5*TAN(RADIANS(A1508)))</f>
        <v/>
      </c>
      <c r="D1508" s="11">
        <f>IF(C1508="","",C1508*(1+B1508/100))</f>
        <v/>
      </c>
      <c r="E1508" s="11">
        <f>IF(A1508="","",$B$6*TAN(RADIANS(A1508)))</f>
        <v/>
      </c>
    </row>
    <row r="1509">
      <c r="A1509" s="10" t="n"/>
      <c r="B1509" s="10" t="n"/>
      <c r="C1509" s="11">
        <f>IF(A1509="","",$B$5*TAN(RADIANS(A1509)))</f>
        <v/>
      </c>
      <c r="D1509" s="11">
        <f>IF(C1509="","",C1509*(1+B1509/100))</f>
        <v/>
      </c>
      <c r="E1509" s="11">
        <f>IF(A1509="","",$B$6*TAN(RADIANS(A1509)))</f>
        <v/>
      </c>
    </row>
    <row r="1510">
      <c r="A1510" s="10" t="n"/>
      <c r="B1510" s="10" t="n"/>
      <c r="C1510" s="11">
        <f>IF(A1510="","",$B$5*TAN(RADIANS(A1510)))</f>
        <v/>
      </c>
      <c r="D1510" s="11">
        <f>IF(C1510="","",C1510*(1+B1510/100))</f>
        <v/>
      </c>
      <c r="E1510" s="11">
        <f>IF(A1510="","",$B$6*TAN(RADIANS(A1510)))</f>
        <v/>
      </c>
    </row>
    <row r="1511">
      <c r="A1511" s="10" t="n"/>
      <c r="B1511" s="10" t="n"/>
      <c r="C1511" s="11">
        <f>IF(A1511="","",$B$5*TAN(RADIANS(A1511)))</f>
        <v/>
      </c>
      <c r="D1511" s="11">
        <f>IF(C1511="","",C1511*(1+B1511/100))</f>
        <v/>
      </c>
      <c r="E1511" s="11">
        <f>IF(A1511="","",$B$6*TAN(RADIANS(A1511)))</f>
        <v/>
      </c>
    </row>
    <row r="1512">
      <c r="A1512" s="10" t="n"/>
      <c r="B1512" s="10" t="n"/>
      <c r="C1512" s="11">
        <f>IF(A1512="","",$B$5*TAN(RADIANS(A1512)))</f>
        <v/>
      </c>
      <c r="D1512" s="11">
        <f>IF(C1512="","",C1512*(1+B1512/100))</f>
        <v/>
      </c>
      <c r="E1512" s="11">
        <f>IF(A1512="","",$B$6*TAN(RADIANS(A1512)))</f>
        <v/>
      </c>
    </row>
    <row r="1513">
      <c r="A1513" s="10" t="n"/>
      <c r="B1513" s="10" t="n"/>
      <c r="C1513" s="11">
        <f>IF(A1513="","",$B$5*TAN(RADIANS(A1513)))</f>
        <v/>
      </c>
      <c r="D1513" s="11">
        <f>IF(C1513="","",C1513*(1+B1513/100))</f>
        <v/>
      </c>
      <c r="E1513" s="11">
        <f>IF(A1513="","",$B$6*TAN(RADIANS(A1513)))</f>
        <v/>
      </c>
    </row>
    <row r="1514">
      <c r="A1514" s="10" t="n"/>
      <c r="B1514" s="10" t="n"/>
      <c r="C1514" s="11">
        <f>IF(A1514="","",$B$5*TAN(RADIANS(A1514)))</f>
        <v/>
      </c>
      <c r="D1514" s="11">
        <f>IF(C1514="","",C1514*(1+B1514/100))</f>
        <v/>
      </c>
      <c r="E1514" s="11">
        <f>IF(A1514="","",$B$6*TAN(RADIANS(A1514)))</f>
        <v/>
      </c>
    </row>
    <row r="1515">
      <c r="A1515" s="10" t="n"/>
      <c r="B1515" s="10" t="n"/>
      <c r="C1515" s="11">
        <f>IF(A1515="","",$B$5*TAN(RADIANS(A1515)))</f>
        <v/>
      </c>
      <c r="D1515" s="11">
        <f>IF(C1515="","",C1515*(1+B1515/100))</f>
        <v/>
      </c>
      <c r="E1515" s="11">
        <f>IF(A1515="","",$B$6*TAN(RADIANS(A1515)))</f>
        <v/>
      </c>
    </row>
    <row r="1516">
      <c r="A1516" s="10" t="n"/>
      <c r="B1516" s="10" t="n"/>
      <c r="C1516" s="11">
        <f>IF(A1516="","",$B$5*TAN(RADIANS(A1516)))</f>
        <v/>
      </c>
      <c r="D1516" s="11">
        <f>IF(C1516="","",C1516*(1+B1516/100))</f>
        <v/>
      </c>
      <c r="E1516" s="11">
        <f>IF(A1516="","",$B$6*TAN(RADIANS(A1516)))</f>
        <v/>
      </c>
    </row>
    <row r="1517">
      <c r="A1517" s="10" t="n"/>
      <c r="B1517" s="10" t="n"/>
      <c r="C1517" s="11">
        <f>IF(A1517="","",$B$5*TAN(RADIANS(A1517)))</f>
        <v/>
      </c>
      <c r="D1517" s="11">
        <f>IF(C1517="","",C1517*(1+B1517/100))</f>
        <v/>
      </c>
      <c r="E1517" s="11">
        <f>IF(A1517="","",$B$6*TAN(RADIANS(A1517)))</f>
        <v/>
      </c>
    </row>
    <row r="1518">
      <c r="A1518" s="10" t="n"/>
      <c r="B1518" s="10" t="n"/>
      <c r="C1518" s="11">
        <f>IF(A1518="","",$B$5*TAN(RADIANS(A1518)))</f>
        <v/>
      </c>
      <c r="D1518" s="11">
        <f>IF(C1518="","",C1518*(1+B1518/100))</f>
        <v/>
      </c>
      <c r="E1518" s="11">
        <f>IF(A1518="","",$B$6*TAN(RADIANS(A1518)))</f>
        <v/>
      </c>
    </row>
    <row r="1519">
      <c r="A1519" s="10" t="n"/>
      <c r="B1519" s="10" t="n"/>
      <c r="C1519" s="11">
        <f>IF(A1519="","",$B$5*TAN(RADIANS(A1519)))</f>
        <v/>
      </c>
      <c r="D1519" s="11">
        <f>IF(C1519="","",C1519*(1+B1519/100))</f>
        <v/>
      </c>
      <c r="E1519" s="11">
        <f>IF(A1519="","",$B$6*TAN(RADIANS(A1519)))</f>
        <v/>
      </c>
    </row>
    <row r="1520">
      <c r="A1520" s="10" t="n"/>
      <c r="B1520" s="10" t="n"/>
      <c r="C1520" s="11">
        <f>IF(A1520="","",$B$5*TAN(RADIANS(A1520)))</f>
        <v/>
      </c>
      <c r="D1520" s="11">
        <f>IF(C1520="","",C1520*(1+B1520/100))</f>
        <v/>
      </c>
      <c r="E1520" s="11">
        <f>IF(A1520="","",$B$6*TAN(RADIANS(A1520)))</f>
        <v/>
      </c>
    </row>
    <row r="1521">
      <c r="A1521" s="10" t="n"/>
      <c r="B1521" s="10" t="n"/>
      <c r="C1521" s="11">
        <f>IF(A1521="","",$B$5*TAN(RADIANS(A1521)))</f>
        <v/>
      </c>
      <c r="D1521" s="11">
        <f>IF(C1521="","",C1521*(1+B1521/100))</f>
        <v/>
      </c>
      <c r="E1521" s="11">
        <f>IF(A1521="","",$B$6*TAN(RADIANS(A1521)))</f>
        <v/>
      </c>
    </row>
    <row r="1522">
      <c r="A1522" s="10" t="n"/>
      <c r="B1522" s="10" t="n"/>
      <c r="C1522" s="11">
        <f>IF(A1522="","",$B$5*TAN(RADIANS(A1522)))</f>
        <v/>
      </c>
      <c r="D1522" s="11">
        <f>IF(C1522="","",C1522*(1+B1522/100))</f>
        <v/>
      </c>
      <c r="E1522" s="11">
        <f>IF(A1522="","",$B$6*TAN(RADIANS(A1522)))</f>
        <v/>
      </c>
    </row>
    <row r="1523">
      <c r="A1523" s="10" t="n"/>
      <c r="B1523" s="10" t="n"/>
      <c r="C1523" s="11">
        <f>IF(A1523="","",$B$5*TAN(RADIANS(A1523)))</f>
        <v/>
      </c>
      <c r="D1523" s="11">
        <f>IF(C1523="","",C1523*(1+B1523/100))</f>
        <v/>
      </c>
      <c r="E1523" s="11">
        <f>IF(A1523="","",$B$6*TAN(RADIANS(A1523)))</f>
        <v/>
      </c>
    </row>
    <row r="1524">
      <c r="A1524" s="10" t="n"/>
      <c r="B1524" s="10" t="n"/>
      <c r="C1524" s="11">
        <f>IF(A1524="","",$B$5*TAN(RADIANS(A1524)))</f>
        <v/>
      </c>
      <c r="D1524" s="11">
        <f>IF(C1524="","",C1524*(1+B1524/100))</f>
        <v/>
      </c>
      <c r="E1524" s="11">
        <f>IF(A1524="","",$B$6*TAN(RADIANS(A1524)))</f>
        <v/>
      </c>
    </row>
    <row r="1525">
      <c r="A1525" s="10" t="n"/>
      <c r="B1525" s="10" t="n"/>
      <c r="C1525" s="11">
        <f>IF(A1525="","",$B$5*TAN(RADIANS(A1525)))</f>
        <v/>
      </c>
      <c r="D1525" s="11">
        <f>IF(C1525="","",C1525*(1+B1525/100))</f>
        <v/>
      </c>
      <c r="E1525" s="11">
        <f>IF(A1525="","",$B$6*TAN(RADIANS(A1525)))</f>
        <v/>
      </c>
    </row>
    <row r="1526">
      <c r="A1526" s="10" t="n"/>
      <c r="B1526" s="10" t="n"/>
      <c r="C1526" s="11">
        <f>IF(A1526="","",$B$5*TAN(RADIANS(A1526)))</f>
        <v/>
      </c>
      <c r="D1526" s="11">
        <f>IF(C1526="","",C1526*(1+B1526/100))</f>
        <v/>
      </c>
      <c r="E1526" s="11">
        <f>IF(A1526="","",$B$6*TAN(RADIANS(A1526)))</f>
        <v/>
      </c>
    </row>
    <row r="1527">
      <c r="A1527" s="10" t="n"/>
      <c r="B1527" s="10" t="n"/>
      <c r="C1527" s="11">
        <f>IF(A1527="","",$B$5*TAN(RADIANS(A1527)))</f>
        <v/>
      </c>
      <c r="D1527" s="11">
        <f>IF(C1527="","",C1527*(1+B1527/100))</f>
        <v/>
      </c>
      <c r="E1527" s="11">
        <f>IF(A1527="","",$B$6*TAN(RADIANS(A1527)))</f>
        <v/>
      </c>
    </row>
    <row r="1528">
      <c r="A1528" s="10" t="n"/>
      <c r="B1528" s="10" t="n"/>
      <c r="C1528" s="11">
        <f>IF(A1528="","",$B$5*TAN(RADIANS(A1528)))</f>
        <v/>
      </c>
      <c r="D1528" s="11">
        <f>IF(C1528="","",C1528*(1+B1528/100))</f>
        <v/>
      </c>
      <c r="E1528" s="11">
        <f>IF(A1528="","",$B$6*TAN(RADIANS(A1528)))</f>
        <v/>
      </c>
    </row>
    <row r="1529">
      <c r="A1529" s="10" t="n"/>
      <c r="B1529" s="10" t="n"/>
      <c r="C1529" s="11">
        <f>IF(A1529="","",$B$5*TAN(RADIANS(A1529)))</f>
        <v/>
      </c>
      <c r="D1529" s="11">
        <f>IF(C1529="","",C1529*(1+B1529/100))</f>
        <v/>
      </c>
      <c r="E1529" s="11">
        <f>IF(A1529="","",$B$6*TAN(RADIANS(A1529)))</f>
        <v/>
      </c>
    </row>
    <row r="1530">
      <c r="A1530" s="10" t="n"/>
      <c r="B1530" s="10" t="n"/>
      <c r="C1530" s="11">
        <f>IF(A1530="","",$B$5*TAN(RADIANS(A1530)))</f>
        <v/>
      </c>
      <c r="D1530" s="11">
        <f>IF(C1530="","",C1530*(1+B1530/100))</f>
        <v/>
      </c>
      <c r="E1530" s="11">
        <f>IF(A1530="","",$B$6*TAN(RADIANS(A1530)))</f>
        <v/>
      </c>
    </row>
    <row r="1531">
      <c r="A1531" s="10" t="n"/>
      <c r="B1531" s="10" t="n"/>
      <c r="C1531" s="11">
        <f>IF(A1531="","",$B$5*TAN(RADIANS(A1531)))</f>
        <v/>
      </c>
      <c r="D1531" s="11">
        <f>IF(C1531="","",C1531*(1+B1531/100))</f>
        <v/>
      </c>
      <c r="E1531" s="11">
        <f>IF(A1531="","",$B$6*TAN(RADIANS(A1531)))</f>
        <v/>
      </c>
    </row>
    <row r="1532">
      <c r="A1532" s="10" t="n"/>
      <c r="B1532" s="10" t="n"/>
      <c r="C1532" s="11">
        <f>IF(A1532="","",$B$5*TAN(RADIANS(A1532)))</f>
        <v/>
      </c>
      <c r="D1532" s="11">
        <f>IF(C1532="","",C1532*(1+B1532/100))</f>
        <v/>
      </c>
      <c r="E1532" s="11">
        <f>IF(A1532="","",$B$6*TAN(RADIANS(A1532)))</f>
        <v/>
      </c>
    </row>
    <row r="1533">
      <c r="A1533" s="10" t="n"/>
      <c r="B1533" s="10" t="n"/>
      <c r="C1533" s="11">
        <f>IF(A1533="","",$B$5*TAN(RADIANS(A1533)))</f>
        <v/>
      </c>
      <c r="D1533" s="11">
        <f>IF(C1533="","",C1533*(1+B1533/100))</f>
        <v/>
      </c>
      <c r="E1533" s="11">
        <f>IF(A1533="","",$B$6*TAN(RADIANS(A1533)))</f>
        <v/>
      </c>
    </row>
    <row r="1534">
      <c r="A1534" s="10" t="n"/>
      <c r="B1534" s="10" t="n"/>
      <c r="C1534" s="11">
        <f>IF(A1534="","",$B$5*TAN(RADIANS(A1534)))</f>
        <v/>
      </c>
      <c r="D1534" s="11">
        <f>IF(C1534="","",C1534*(1+B1534/100))</f>
        <v/>
      </c>
      <c r="E1534" s="11">
        <f>IF(A1534="","",$B$6*TAN(RADIANS(A1534)))</f>
        <v/>
      </c>
    </row>
    <row r="1535">
      <c r="A1535" s="10" t="n"/>
      <c r="B1535" s="10" t="n"/>
      <c r="C1535" s="11">
        <f>IF(A1535="","",$B$5*TAN(RADIANS(A1535)))</f>
        <v/>
      </c>
      <c r="D1535" s="11">
        <f>IF(C1535="","",C1535*(1+B1535/100))</f>
        <v/>
      </c>
      <c r="E1535" s="11">
        <f>IF(A1535="","",$B$6*TAN(RADIANS(A1535)))</f>
        <v/>
      </c>
    </row>
    <row r="1536">
      <c r="A1536" s="10" t="n"/>
      <c r="B1536" s="10" t="n"/>
      <c r="C1536" s="11">
        <f>IF(A1536="","",$B$5*TAN(RADIANS(A1536)))</f>
        <v/>
      </c>
      <c r="D1536" s="11">
        <f>IF(C1536="","",C1536*(1+B1536/100))</f>
        <v/>
      </c>
      <c r="E1536" s="11">
        <f>IF(A1536="","",$B$6*TAN(RADIANS(A1536)))</f>
        <v/>
      </c>
    </row>
    <row r="1537">
      <c r="A1537" s="10" t="n"/>
      <c r="B1537" s="10" t="n"/>
      <c r="C1537" s="11">
        <f>IF(A1537="","",$B$5*TAN(RADIANS(A1537)))</f>
        <v/>
      </c>
      <c r="D1537" s="11">
        <f>IF(C1537="","",C1537*(1+B1537/100))</f>
        <v/>
      </c>
      <c r="E1537" s="11">
        <f>IF(A1537="","",$B$6*TAN(RADIANS(A1537)))</f>
        <v/>
      </c>
    </row>
    <row r="1538">
      <c r="A1538" s="10" t="n"/>
      <c r="B1538" s="10" t="n"/>
      <c r="C1538" s="11">
        <f>IF(A1538="","",$B$5*TAN(RADIANS(A1538)))</f>
        <v/>
      </c>
      <c r="D1538" s="11">
        <f>IF(C1538="","",C1538*(1+B1538/100))</f>
        <v/>
      </c>
      <c r="E1538" s="11">
        <f>IF(A1538="","",$B$6*TAN(RADIANS(A1538)))</f>
        <v/>
      </c>
    </row>
    <row r="1539">
      <c r="A1539" s="10" t="n"/>
      <c r="B1539" s="10" t="n"/>
      <c r="C1539" s="11">
        <f>IF(A1539="","",$B$5*TAN(RADIANS(A1539)))</f>
        <v/>
      </c>
      <c r="D1539" s="11">
        <f>IF(C1539="","",C1539*(1+B1539/100))</f>
        <v/>
      </c>
      <c r="E1539" s="11">
        <f>IF(A1539="","",$B$6*TAN(RADIANS(A1539)))</f>
        <v/>
      </c>
    </row>
    <row r="1540">
      <c r="A1540" s="10" t="n"/>
      <c r="B1540" s="10" t="n"/>
      <c r="C1540" s="11">
        <f>IF(A1540="","",$B$5*TAN(RADIANS(A1540)))</f>
        <v/>
      </c>
      <c r="D1540" s="11">
        <f>IF(C1540="","",C1540*(1+B1540/100))</f>
        <v/>
      </c>
      <c r="E1540" s="11">
        <f>IF(A1540="","",$B$6*TAN(RADIANS(A1540)))</f>
        <v/>
      </c>
    </row>
    <row r="1541">
      <c r="A1541" s="10" t="n"/>
      <c r="B1541" s="10" t="n"/>
      <c r="C1541" s="11">
        <f>IF(A1541="","",$B$5*TAN(RADIANS(A1541)))</f>
        <v/>
      </c>
      <c r="D1541" s="11">
        <f>IF(C1541="","",C1541*(1+B1541/100))</f>
        <v/>
      </c>
      <c r="E1541" s="11">
        <f>IF(A1541="","",$B$6*TAN(RADIANS(A1541)))</f>
        <v/>
      </c>
    </row>
    <row r="1542">
      <c r="A1542" s="10" t="n"/>
      <c r="B1542" s="10" t="n"/>
      <c r="C1542" s="11">
        <f>IF(A1542="","",$B$5*TAN(RADIANS(A1542)))</f>
        <v/>
      </c>
      <c r="D1542" s="11">
        <f>IF(C1542="","",C1542*(1+B1542/100))</f>
        <v/>
      </c>
      <c r="E1542" s="11">
        <f>IF(A1542="","",$B$6*TAN(RADIANS(A1542)))</f>
        <v/>
      </c>
    </row>
    <row r="1543">
      <c r="A1543" s="10" t="n"/>
      <c r="B1543" s="10" t="n"/>
      <c r="C1543" s="11">
        <f>IF(A1543="","",$B$5*TAN(RADIANS(A1543)))</f>
        <v/>
      </c>
      <c r="D1543" s="11">
        <f>IF(C1543="","",C1543*(1+B1543/100))</f>
        <v/>
      </c>
      <c r="E1543" s="11">
        <f>IF(A1543="","",$B$6*TAN(RADIANS(A1543)))</f>
        <v/>
      </c>
    </row>
    <row r="1544">
      <c r="A1544" s="10" t="n"/>
      <c r="B1544" s="10" t="n"/>
      <c r="C1544" s="11">
        <f>IF(A1544="","",$B$5*TAN(RADIANS(A1544)))</f>
        <v/>
      </c>
      <c r="D1544" s="11">
        <f>IF(C1544="","",C1544*(1+B1544/100))</f>
        <v/>
      </c>
      <c r="E1544" s="11">
        <f>IF(A1544="","",$B$6*TAN(RADIANS(A1544)))</f>
        <v/>
      </c>
    </row>
    <row r="1545">
      <c r="A1545" s="10" t="n"/>
      <c r="B1545" s="10" t="n"/>
      <c r="C1545" s="11">
        <f>IF(A1545="","",$B$5*TAN(RADIANS(A1545)))</f>
        <v/>
      </c>
      <c r="D1545" s="11">
        <f>IF(C1545="","",C1545*(1+B1545/100))</f>
        <v/>
      </c>
      <c r="E1545" s="11">
        <f>IF(A1545="","",$B$6*TAN(RADIANS(A1545)))</f>
        <v/>
      </c>
    </row>
    <row r="1546">
      <c r="A1546" s="10" t="n"/>
      <c r="B1546" s="10" t="n"/>
      <c r="C1546" s="11">
        <f>IF(A1546="","",$B$5*TAN(RADIANS(A1546)))</f>
        <v/>
      </c>
      <c r="D1546" s="11">
        <f>IF(C1546="","",C1546*(1+B1546/100))</f>
        <v/>
      </c>
      <c r="E1546" s="11">
        <f>IF(A1546="","",$B$6*TAN(RADIANS(A1546)))</f>
        <v/>
      </c>
    </row>
    <row r="1547">
      <c r="A1547" s="10" t="n"/>
      <c r="B1547" s="10" t="n"/>
      <c r="C1547" s="11">
        <f>IF(A1547="","",$B$5*TAN(RADIANS(A1547)))</f>
        <v/>
      </c>
      <c r="D1547" s="11">
        <f>IF(C1547="","",C1547*(1+B1547/100))</f>
        <v/>
      </c>
      <c r="E1547" s="11">
        <f>IF(A1547="","",$B$6*TAN(RADIANS(A1547)))</f>
        <v/>
      </c>
    </row>
    <row r="1548">
      <c r="A1548" s="10" t="n"/>
      <c r="B1548" s="10" t="n"/>
      <c r="C1548" s="11">
        <f>IF(A1548="","",$B$5*TAN(RADIANS(A1548)))</f>
        <v/>
      </c>
      <c r="D1548" s="11">
        <f>IF(C1548="","",C1548*(1+B1548/100))</f>
        <v/>
      </c>
      <c r="E1548" s="11">
        <f>IF(A1548="","",$B$6*TAN(RADIANS(A1548)))</f>
        <v/>
      </c>
    </row>
    <row r="1549">
      <c r="A1549" s="10" t="n"/>
      <c r="B1549" s="10" t="n"/>
      <c r="C1549" s="11">
        <f>IF(A1549="","",$B$5*TAN(RADIANS(A1549)))</f>
        <v/>
      </c>
      <c r="D1549" s="11">
        <f>IF(C1549="","",C1549*(1+B1549/100))</f>
        <v/>
      </c>
      <c r="E1549" s="11">
        <f>IF(A1549="","",$B$6*TAN(RADIANS(A1549)))</f>
        <v/>
      </c>
    </row>
    <row r="1550">
      <c r="A1550" s="10" t="n"/>
      <c r="B1550" s="10" t="n"/>
      <c r="C1550" s="11">
        <f>IF(A1550="","",$B$5*TAN(RADIANS(A1550)))</f>
        <v/>
      </c>
      <c r="D1550" s="11">
        <f>IF(C1550="","",C1550*(1+B1550/100))</f>
        <v/>
      </c>
      <c r="E1550" s="11">
        <f>IF(A1550="","",$B$6*TAN(RADIANS(A1550)))</f>
        <v/>
      </c>
    </row>
    <row r="1551">
      <c r="A1551" s="10" t="n"/>
      <c r="B1551" s="10" t="n"/>
      <c r="C1551" s="11">
        <f>IF(A1551="","",$B$5*TAN(RADIANS(A1551)))</f>
        <v/>
      </c>
      <c r="D1551" s="11">
        <f>IF(C1551="","",C1551*(1+B1551/100))</f>
        <v/>
      </c>
      <c r="E1551" s="11">
        <f>IF(A1551="","",$B$6*TAN(RADIANS(A1551)))</f>
        <v/>
      </c>
    </row>
    <row r="1552">
      <c r="A1552" s="10" t="n"/>
      <c r="B1552" s="10" t="n"/>
      <c r="C1552" s="11">
        <f>IF(A1552="","",$B$5*TAN(RADIANS(A1552)))</f>
        <v/>
      </c>
      <c r="D1552" s="11">
        <f>IF(C1552="","",C1552*(1+B1552/100))</f>
        <v/>
      </c>
      <c r="E1552" s="11">
        <f>IF(A1552="","",$B$6*TAN(RADIANS(A1552)))</f>
        <v/>
      </c>
    </row>
    <row r="1553">
      <c r="A1553" s="10" t="n"/>
      <c r="B1553" s="10" t="n"/>
      <c r="C1553" s="11">
        <f>IF(A1553="","",$B$5*TAN(RADIANS(A1553)))</f>
        <v/>
      </c>
      <c r="D1553" s="11">
        <f>IF(C1553="","",C1553*(1+B1553/100))</f>
        <v/>
      </c>
      <c r="E1553" s="11">
        <f>IF(A1553="","",$B$6*TAN(RADIANS(A1553)))</f>
        <v/>
      </c>
    </row>
    <row r="1554">
      <c r="A1554" s="10" t="n"/>
      <c r="B1554" s="10" t="n"/>
      <c r="C1554" s="11">
        <f>IF(A1554="","",$B$5*TAN(RADIANS(A1554)))</f>
        <v/>
      </c>
      <c r="D1554" s="11">
        <f>IF(C1554="","",C1554*(1+B1554/100))</f>
        <v/>
      </c>
      <c r="E1554" s="11">
        <f>IF(A1554="","",$B$6*TAN(RADIANS(A1554)))</f>
        <v/>
      </c>
    </row>
    <row r="1555">
      <c r="A1555" s="10" t="n"/>
      <c r="B1555" s="10" t="n"/>
      <c r="C1555" s="11">
        <f>IF(A1555="","",$B$5*TAN(RADIANS(A1555)))</f>
        <v/>
      </c>
      <c r="D1555" s="11">
        <f>IF(C1555="","",C1555*(1+B1555/100))</f>
        <v/>
      </c>
      <c r="E1555" s="11">
        <f>IF(A1555="","",$B$6*TAN(RADIANS(A1555)))</f>
        <v/>
      </c>
    </row>
    <row r="1556">
      <c r="A1556" s="10" t="n"/>
      <c r="B1556" s="10" t="n"/>
      <c r="C1556" s="11">
        <f>IF(A1556="","",$B$5*TAN(RADIANS(A1556)))</f>
        <v/>
      </c>
      <c r="D1556" s="11">
        <f>IF(C1556="","",C1556*(1+B1556/100))</f>
        <v/>
      </c>
      <c r="E1556" s="11">
        <f>IF(A1556="","",$B$6*TAN(RADIANS(A1556)))</f>
        <v/>
      </c>
    </row>
    <row r="1557">
      <c r="A1557" s="10" t="n"/>
      <c r="B1557" s="10" t="n"/>
      <c r="C1557" s="11">
        <f>IF(A1557="","",$B$5*TAN(RADIANS(A1557)))</f>
        <v/>
      </c>
      <c r="D1557" s="11">
        <f>IF(C1557="","",C1557*(1+B1557/100))</f>
        <v/>
      </c>
      <c r="E1557" s="11">
        <f>IF(A1557="","",$B$6*TAN(RADIANS(A1557)))</f>
        <v/>
      </c>
    </row>
    <row r="1558">
      <c r="A1558" s="10" t="n"/>
      <c r="B1558" s="10" t="n"/>
      <c r="C1558" s="11">
        <f>IF(A1558="","",$B$5*TAN(RADIANS(A1558)))</f>
        <v/>
      </c>
      <c r="D1558" s="11">
        <f>IF(C1558="","",C1558*(1+B1558/100))</f>
        <v/>
      </c>
      <c r="E1558" s="11">
        <f>IF(A1558="","",$B$6*TAN(RADIANS(A1558)))</f>
        <v/>
      </c>
    </row>
    <row r="1559">
      <c r="A1559" s="10" t="n"/>
      <c r="B1559" s="10" t="n"/>
      <c r="C1559" s="11">
        <f>IF(A1559="","",$B$5*TAN(RADIANS(A1559)))</f>
        <v/>
      </c>
      <c r="D1559" s="11">
        <f>IF(C1559="","",C1559*(1+B1559/100))</f>
        <v/>
      </c>
      <c r="E1559" s="11">
        <f>IF(A1559="","",$B$6*TAN(RADIANS(A1559)))</f>
        <v/>
      </c>
    </row>
    <row r="1560">
      <c r="A1560" s="10" t="n"/>
      <c r="B1560" s="10" t="n"/>
      <c r="C1560" s="11">
        <f>IF(A1560="","",$B$5*TAN(RADIANS(A1560)))</f>
        <v/>
      </c>
      <c r="D1560" s="11">
        <f>IF(C1560="","",C1560*(1+B1560/100))</f>
        <v/>
      </c>
      <c r="E1560" s="11">
        <f>IF(A1560="","",$B$6*TAN(RADIANS(A1560)))</f>
        <v/>
      </c>
    </row>
    <row r="1561">
      <c r="A1561" s="10" t="n"/>
      <c r="B1561" s="10" t="n"/>
      <c r="C1561" s="11">
        <f>IF(A1561="","",$B$5*TAN(RADIANS(A1561)))</f>
        <v/>
      </c>
      <c r="D1561" s="11">
        <f>IF(C1561="","",C1561*(1+B1561/100))</f>
        <v/>
      </c>
      <c r="E1561" s="11">
        <f>IF(A1561="","",$B$6*TAN(RADIANS(A1561)))</f>
        <v/>
      </c>
    </row>
    <row r="1562">
      <c r="A1562" s="10" t="n"/>
      <c r="B1562" s="10" t="n"/>
      <c r="C1562" s="11">
        <f>IF(A1562="","",$B$5*TAN(RADIANS(A1562)))</f>
        <v/>
      </c>
      <c r="D1562" s="11">
        <f>IF(C1562="","",C1562*(1+B1562/100))</f>
        <v/>
      </c>
      <c r="E1562" s="11">
        <f>IF(A1562="","",$B$6*TAN(RADIANS(A1562)))</f>
        <v/>
      </c>
    </row>
    <row r="1563">
      <c r="A1563" s="10" t="n"/>
      <c r="B1563" s="10" t="n"/>
      <c r="C1563" s="11">
        <f>IF(A1563="","",$B$5*TAN(RADIANS(A1563)))</f>
        <v/>
      </c>
      <c r="D1563" s="11">
        <f>IF(C1563="","",C1563*(1+B1563/100))</f>
        <v/>
      </c>
      <c r="E1563" s="11">
        <f>IF(A1563="","",$B$6*TAN(RADIANS(A1563)))</f>
        <v/>
      </c>
    </row>
    <row r="1564">
      <c r="A1564" s="10" t="n"/>
      <c r="B1564" s="10" t="n"/>
      <c r="C1564" s="11">
        <f>IF(A1564="","",$B$5*TAN(RADIANS(A1564)))</f>
        <v/>
      </c>
      <c r="D1564" s="11">
        <f>IF(C1564="","",C1564*(1+B1564/100))</f>
        <v/>
      </c>
      <c r="E1564" s="11">
        <f>IF(A1564="","",$B$6*TAN(RADIANS(A1564)))</f>
        <v/>
      </c>
    </row>
    <row r="1565">
      <c r="A1565" s="10" t="n"/>
      <c r="B1565" s="10" t="n"/>
      <c r="C1565" s="11">
        <f>IF(A1565="","",$B$5*TAN(RADIANS(A1565)))</f>
        <v/>
      </c>
      <c r="D1565" s="11">
        <f>IF(C1565="","",C1565*(1+B1565/100))</f>
        <v/>
      </c>
      <c r="E1565" s="11">
        <f>IF(A1565="","",$B$6*TAN(RADIANS(A1565)))</f>
        <v/>
      </c>
    </row>
    <row r="1566">
      <c r="A1566" s="10" t="n"/>
      <c r="B1566" s="10" t="n"/>
      <c r="C1566" s="11">
        <f>IF(A1566="","",$B$5*TAN(RADIANS(A1566)))</f>
        <v/>
      </c>
      <c r="D1566" s="11">
        <f>IF(C1566="","",C1566*(1+B1566/100))</f>
        <v/>
      </c>
      <c r="E1566" s="11">
        <f>IF(A1566="","",$B$6*TAN(RADIANS(A1566)))</f>
        <v/>
      </c>
    </row>
    <row r="1567">
      <c r="A1567" s="10" t="n"/>
      <c r="B1567" s="10" t="n"/>
      <c r="C1567" s="11">
        <f>IF(A1567="","",$B$5*TAN(RADIANS(A1567)))</f>
        <v/>
      </c>
      <c r="D1567" s="11">
        <f>IF(C1567="","",C1567*(1+B1567/100))</f>
        <v/>
      </c>
      <c r="E1567" s="11">
        <f>IF(A1567="","",$B$6*TAN(RADIANS(A1567)))</f>
        <v/>
      </c>
    </row>
    <row r="1568">
      <c r="A1568" s="10" t="n"/>
      <c r="B1568" s="10" t="n"/>
      <c r="C1568" s="11">
        <f>IF(A1568="","",$B$5*TAN(RADIANS(A1568)))</f>
        <v/>
      </c>
      <c r="D1568" s="11">
        <f>IF(C1568="","",C1568*(1+B1568/100))</f>
        <v/>
      </c>
      <c r="E1568" s="11">
        <f>IF(A1568="","",$B$6*TAN(RADIANS(A1568)))</f>
        <v/>
      </c>
    </row>
    <row r="1569">
      <c r="A1569" s="10" t="n"/>
      <c r="B1569" s="10" t="n"/>
      <c r="C1569" s="11">
        <f>IF(A1569="","",$B$5*TAN(RADIANS(A1569)))</f>
        <v/>
      </c>
      <c r="D1569" s="11">
        <f>IF(C1569="","",C1569*(1+B1569/100))</f>
        <v/>
      </c>
      <c r="E1569" s="11">
        <f>IF(A1569="","",$B$6*TAN(RADIANS(A1569)))</f>
        <v/>
      </c>
    </row>
    <row r="1570">
      <c r="A1570" s="10" t="n"/>
      <c r="B1570" s="10" t="n"/>
      <c r="C1570" s="11">
        <f>IF(A1570="","",$B$5*TAN(RADIANS(A1570)))</f>
        <v/>
      </c>
      <c r="D1570" s="11">
        <f>IF(C1570="","",C1570*(1+B1570/100))</f>
        <v/>
      </c>
      <c r="E1570" s="11">
        <f>IF(A1570="","",$B$6*TAN(RADIANS(A1570)))</f>
        <v/>
      </c>
    </row>
    <row r="1571">
      <c r="A1571" s="10" t="n"/>
      <c r="B1571" s="10" t="n"/>
      <c r="C1571" s="11">
        <f>IF(A1571="","",$B$5*TAN(RADIANS(A1571)))</f>
        <v/>
      </c>
      <c r="D1571" s="11">
        <f>IF(C1571="","",C1571*(1+B1571/100))</f>
        <v/>
      </c>
      <c r="E1571" s="11">
        <f>IF(A1571="","",$B$6*TAN(RADIANS(A1571)))</f>
        <v/>
      </c>
    </row>
    <row r="1572">
      <c r="A1572" s="10" t="n"/>
      <c r="B1572" s="10" t="n"/>
      <c r="C1572" s="11">
        <f>IF(A1572="","",$B$5*TAN(RADIANS(A1572)))</f>
        <v/>
      </c>
      <c r="D1572" s="11">
        <f>IF(C1572="","",C1572*(1+B1572/100))</f>
        <v/>
      </c>
      <c r="E1572" s="11">
        <f>IF(A1572="","",$B$6*TAN(RADIANS(A1572)))</f>
        <v/>
      </c>
    </row>
    <row r="1573">
      <c r="A1573" s="10" t="n"/>
      <c r="B1573" s="10" t="n"/>
      <c r="C1573" s="11">
        <f>IF(A1573="","",$B$5*TAN(RADIANS(A1573)))</f>
        <v/>
      </c>
      <c r="D1573" s="11">
        <f>IF(C1573="","",C1573*(1+B1573/100))</f>
        <v/>
      </c>
      <c r="E1573" s="11">
        <f>IF(A1573="","",$B$6*TAN(RADIANS(A1573)))</f>
        <v/>
      </c>
    </row>
    <row r="1574">
      <c r="A1574" s="10" t="n"/>
      <c r="B1574" s="10" t="n"/>
      <c r="C1574" s="11">
        <f>IF(A1574="","",$B$5*TAN(RADIANS(A1574)))</f>
        <v/>
      </c>
      <c r="D1574" s="11">
        <f>IF(C1574="","",C1574*(1+B1574/100))</f>
        <v/>
      </c>
      <c r="E1574" s="11">
        <f>IF(A1574="","",$B$6*TAN(RADIANS(A1574)))</f>
        <v/>
      </c>
    </row>
    <row r="1575">
      <c r="A1575" s="10" t="n"/>
      <c r="B1575" s="10" t="n"/>
      <c r="C1575" s="11">
        <f>IF(A1575="","",$B$5*TAN(RADIANS(A1575)))</f>
        <v/>
      </c>
      <c r="D1575" s="11">
        <f>IF(C1575="","",C1575*(1+B1575/100))</f>
        <v/>
      </c>
      <c r="E1575" s="11">
        <f>IF(A1575="","",$B$6*TAN(RADIANS(A1575)))</f>
        <v/>
      </c>
    </row>
    <row r="1576">
      <c r="A1576" s="10" t="n"/>
      <c r="B1576" s="10" t="n"/>
      <c r="C1576" s="11">
        <f>IF(A1576="","",$B$5*TAN(RADIANS(A1576)))</f>
        <v/>
      </c>
      <c r="D1576" s="11">
        <f>IF(C1576="","",C1576*(1+B1576/100))</f>
        <v/>
      </c>
      <c r="E1576" s="11">
        <f>IF(A1576="","",$B$6*TAN(RADIANS(A1576)))</f>
        <v/>
      </c>
    </row>
    <row r="1577">
      <c r="A1577" s="10" t="n"/>
      <c r="B1577" s="10" t="n"/>
      <c r="C1577" s="11">
        <f>IF(A1577="","",$B$5*TAN(RADIANS(A1577)))</f>
        <v/>
      </c>
      <c r="D1577" s="11">
        <f>IF(C1577="","",C1577*(1+B1577/100))</f>
        <v/>
      </c>
      <c r="E1577" s="11">
        <f>IF(A1577="","",$B$6*TAN(RADIANS(A1577)))</f>
        <v/>
      </c>
    </row>
    <row r="1578">
      <c r="A1578" s="10" t="n"/>
      <c r="B1578" s="10" t="n"/>
      <c r="C1578" s="11">
        <f>IF(A1578="","",$B$5*TAN(RADIANS(A1578)))</f>
        <v/>
      </c>
      <c r="D1578" s="11">
        <f>IF(C1578="","",C1578*(1+B1578/100))</f>
        <v/>
      </c>
      <c r="E1578" s="11">
        <f>IF(A1578="","",$B$6*TAN(RADIANS(A1578)))</f>
        <v/>
      </c>
    </row>
    <row r="1579">
      <c r="A1579" s="10" t="n"/>
      <c r="B1579" s="10" t="n"/>
      <c r="C1579" s="11">
        <f>IF(A1579="","",$B$5*TAN(RADIANS(A1579)))</f>
        <v/>
      </c>
      <c r="D1579" s="11">
        <f>IF(C1579="","",C1579*(1+B1579/100))</f>
        <v/>
      </c>
      <c r="E1579" s="11">
        <f>IF(A1579="","",$B$6*TAN(RADIANS(A1579)))</f>
        <v/>
      </c>
    </row>
    <row r="1580">
      <c r="A1580" s="10" t="n"/>
      <c r="B1580" s="10" t="n"/>
      <c r="C1580" s="11">
        <f>IF(A1580="","",$B$5*TAN(RADIANS(A1580)))</f>
        <v/>
      </c>
      <c r="D1580" s="11">
        <f>IF(C1580="","",C1580*(1+B1580/100))</f>
        <v/>
      </c>
      <c r="E1580" s="11">
        <f>IF(A1580="","",$B$6*TAN(RADIANS(A1580)))</f>
        <v/>
      </c>
    </row>
    <row r="1581">
      <c r="A1581" s="10" t="n"/>
      <c r="B1581" s="10" t="n"/>
      <c r="C1581" s="11">
        <f>IF(A1581="","",$B$5*TAN(RADIANS(A1581)))</f>
        <v/>
      </c>
      <c r="D1581" s="11">
        <f>IF(C1581="","",C1581*(1+B1581/100))</f>
        <v/>
      </c>
      <c r="E1581" s="11">
        <f>IF(A1581="","",$B$6*TAN(RADIANS(A1581)))</f>
        <v/>
      </c>
    </row>
    <row r="1582">
      <c r="A1582" s="10" t="n"/>
      <c r="B1582" s="10" t="n"/>
      <c r="C1582" s="11">
        <f>IF(A1582="","",$B$5*TAN(RADIANS(A1582)))</f>
        <v/>
      </c>
      <c r="D1582" s="11">
        <f>IF(C1582="","",C1582*(1+B1582/100))</f>
        <v/>
      </c>
      <c r="E1582" s="11">
        <f>IF(A1582="","",$B$6*TAN(RADIANS(A1582)))</f>
        <v/>
      </c>
    </row>
    <row r="1583">
      <c r="A1583" s="10" t="n"/>
      <c r="B1583" s="10" t="n"/>
      <c r="C1583" s="11">
        <f>IF(A1583="","",$B$5*TAN(RADIANS(A1583)))</f>
        <v/>
      </c>
      <c r="D1583" s="11">
        <f>IF(C1583="","",C1583*(1+B1583/100))</f>
        <v/>
      </c>
      <c r="E1583" s="11">
        <f>IF(A1583="","",$B$6*TAN(RADIANS(A1583)))</f>
        <v/>
      </c>
    </row>
    <row r="1584">
      <c r="A1584" s="10" t="n"/>
      <c r="B1584" s="10" t="n"/>
      <c r="C1584" s="11">
        <f>IF(A1584="","",$B$5*TAN(RADIANS(A1584)))</f>
        <v/>
      </c>
      <c r="D1584" s="11">
        <f>IF(C1584="","",C1584*(1+B1584/100))</f>
        <v/>
      </c>
      <c r="E1584" s="11">
        <f>IF(A1584="","",$B$6*TAN(RADIANS(A1584)))</f>
        <v/>
      </c>
    </row>
    <row r="1585">
      <c r="A1585" s="10" t="n"/>
      <c r="B1585" s="10" t="n"/>
      <c r="C1585" s="11">
        <f>IF(A1585="","",$B$5*TAN(RADIANS(A1585)))</f>
        <v/>
      </c>
      <c r="D1585" s="11">
        <f>IF(C1585="","",C1585*(1+B1585/100))</f>
        <v/>
      </c>
      <c r="E1585" s="11">
        <f>IF(A1585="","",$B$6*TAN(RADIANS(A1585)))</f>
        <v/>
      </c>
    </row>
    <row r="1586">
      <c r="A1586" s="10" t="n"/>
      <c r="B1586" s="10" t="n"/>
      <c r="C1586" s="11">
        <f>IF(A1586="","",$B$5*TAN(RADIANS(A1586)))</f>
        <v/>
      </c>
      <c r="D1586" s="11">
        <f>IF(C1586="","",C1586*(1+B1586/100))</f>
        <v/>
      </c>
      <c r="E1586" s="11">
        <f>IF(A1586="","",$B$6*TAN(RADIANS(A1586)))</f>
        <v/>
      </c>
    </row>
    <row r="1587">
      <c r="A1587" s="10" t="n"/>
      <c r="B1587" s="10" t="n"/>
      <c r="C1587" s="11">
        <f>IF(A1587="","",$B$5*TAN(RADIANS(A1587)))</f>
        <v/>
      </c>
      <c r="D1587" s="11">
        <f>IF(C1587="","",C1587*(1+B1587/100))</f>
        <v/>
      </c>
      <c r="E1587" s="11">
        <f>IF(A1587="","",$B$6*TAN(RADIANS(A1587)))</f>
        <v/>
      </c>
    </row>
    <row r="1588">
      <c r="A1588" s="10" t="n"/>
      <c r="B1588" s="10" t="n"/>
      <c r="C1588" s="11">
        <f>IF(A1588="","",$B$5*TAN(RADIANS(A1588)))</f>
        <v/>
      </c>
      <c r="D1588" s="11">
        <f>IF(C1588="","",C1588*(1+B1588/100))</f>
        <v/>
      </c>
      <c r="E1588" s="11">
        <f>IF(A1588="","",$B$6*TAN(RADIANS(A1588)))</f>
        <v/>
      </c>
    </row>
    <row r="1589">
      <c r="A1589" s="10" t="n"/>
      <c r="B1589" s="10" t="n"/>
      <c r="C1589" s="11">
        <f>IF(A1589="","",$B$5*TAN(RADIANS(A1589)))</f>
        <v/>
      </c>
      <c r="D1589" s="11">
        <f>IF(C1589="","",C1589*(1+B1589/100))</f>
        <v/>
      </c>
      <c r="E1589" s="11">
        <f>IF(A1589="","",$B$6*TAN(RADIANS(A1589)))</f>
        <v/>
      </c>
    </row>
    <row r="1590">
      <c r="A1590" s="10" t="n"/>
      <c r="B1590" s="10" t="n"/>
      <c r="C1590" s="11">
        <f>IF(A1590="","",$B$5*TAN(RADIANS(A1590)))</f>
        <v/>
      </c>
      <c r="D1590" s="11">
        <f>IF(C1590="","",C1590*(1+B1590/100))</f>
        <v/>
      </c>
      <c r="E1590" s="11">
        <f>IF(A1590="","",$B$6*TAN(RADIANS(A1590)))</f>
        <v/>
      </c>
    </row>
    <row r="1591">
      <c r="A1591" s="10" t="n"/>
      <c r="B1591" s="10" t="n"/>
      <c r="C1591" s="11">
        <f>IF(A1591="","",$B$5*TAN(RADIANS(A1591)))</f>
        <v/>
      </c>
      <c r="D1591" s="11">
        <f>IF(C1591="","",C1591*(1+B1591/100))</f>
        <v/>
      </c>
      <c r="E1591" s="11">
        <f>IF(A1591="","",$B$6*TAN(RADIANS(A1591)))</f>
        <v/>
      </c>
    </row>
    <row r="1592">
      <c r="A1592" s="10" t="n"/>
      <c r="B1592" s="10" t="n"/>
      <c r="C1592" s="11">
        <f>IF(A1592="","",$B$5*TAN(RADIANS(A1592)))</f>
        <v/>
      </c>
      <c r="D1592" s="11">
        <f>IF(C1592="","",C1592*(1+B1592/100))</f>
        <v/>
      </c>
      <c r="E1592" s="11">
        <f>IF(A1592="","",$B$6*TAN(RADIANS(A1592)))</f>
        <v/>
      </c>
    </row>
    <row r="1593">
      <c r="A1593" s="10" t="n"/>
      <c r="B1593" s="10" t="n"/>
      <c r="C1593" s="11">
        <f>IF(A1593="","",$B$5*TAN(RADIANS(A1593)))</f>
        <v/>
      </c>
      <c r="D1593" s="11">
        <f>IF(C1593="","",C1593*(1+B1593/100))</f>
        <v/>
      </c>
      <c r="E1593" s="11">
        <f>IF(A1593="","",$B$6*TAN(RADIANS(A1593)))</f>
        <v/>
      </c>
    </row>
    <row r="1594">
      <c r="A1594" s="10" t="n"/>
      <c r="B1594" s="10" t="n"/>
      <c r="C1594" s="11">
        <f>IF(A1594="","",$B$5*TAN(RADIANS(A1594)))</f>
        <v/>
      </c>
      <c r="D1594" s="11">
        <f>IF(C1594="","",C1594*(1+B1594/100))</f>
        <v/>
      </c>
      <c r="E1594" s="11">
        <f>IF(A1594="","",$B$6*TAN(RADIANS(A1594)))</f>
        <v/>
      </c>
    </row>
    <row r="1595">
      <c r="A1595" s="10" t="n"/>
      <c r="B1595" s="10" t="n"/>
      <c r="C1595" s="11">
        <f>IF(A1595="","",$B$5*TAN(RADIANS(A1595)))</f>
        <v/>
      </c>
      <c r="D1595" s="11">
        <f>IF(C1595="","",C1595*(1+B1595/100))</f>
        <v/>
      </c>
      <c r="E1595" s="11">
        <f>IF(A1595="","",$B$6*TAN(RADIANS(A1595)))</f>
        <v/>
      </c>
    </row>
    <row r="1596">
      <c r="A1596" s="10" t="n"/>
      <c r="B1596" s="10" t="n"/>
      <c r="C1596" s="11">
        <f>IF(A1596="","",$B$5*TAN(RADIANS(A1596)))</f>
        <v/>
      </c>
      <c r="D1596" s="11">
        <f>IF(C1596="","",C1596*(1+B1596/100))</f>
        <v/>
      </c>
      <c r="E1596" s="11">
        <f>IF(A1596="","",$B$6*TAN(RADIANS(A1596)))</f>
        <v/>
      </c>
    </row>
    <row r="1597">
      <c r="A1597" s="10" t="n"/>
      <c r="B1597" s="10" t="n"/>
      <c r="C1597" s="11">
        <f>IF(A1597="","",$B$5*TAN(RADIANS(A1597)))</f>
        <v/>
      </c>
      <c r="D1597" s="11">
        <f>IF(C1597="","",C1597*(1+B1597/100))</f>
        <v/>
      </c>
      <c r="E1597" s="11">
        <f>IF(A1597="","",$B$6*TAN(RADIANS(A1597)))</f>
        <v/>
      </c>
    </row>
    <row r="1598">
      <c r="A1598" s="10" t="n"/>
      <c r="B1598" s="10" t="n"/>
      <c r="C1598" s="11">
        <f>IF(A1598="","",$B$5*TAN(RADIANS(A1598)))</f>
        <v/>
      </c>
      <c r="D1598" s="11">
        <f>IF(C1598="","",C1598*(1+B1598/100))</f>
        <v/>
      </c>
      <c r="E1598" s="11">
        <f>IF(A1598="","",$B$6*TAN(RADIANS(A1598)))</f>
        <v/>
      </c>
    </row>
    <row r="1599">
      <c r="A1599" s="10" t="n"/>
      <c r="B1599" s="10" t="n"/>
      <c r="C1599" s="11">
        <f>IF(A1599="","",$B$5*TAN(RADIANS(A1599)))</f>
        <v/>
      </c>
      <c r="D1599" s="11">
        <f>IF(C1599="","",C1599*(1+B1599/100))</f>
        <v/>
      </c>
      <c r="E1599" s="11">
        <f>IF(A1599="","",$B$6*TAN(RADIANS(A1599)))</f>
        <v/>
      </c>
    </row>
    <row r="1600">
      <c r="A1600" s="10" t="n"/>
      <c r="B1600" s="10" t="n"/>
      <c r="C1600" s="11">
        <f>IF(A1600="","",$B$5*TAN(RADIANS(A1600)))</f>
        <v/>
      </c>
      <c r="D1600" s="11">
        <f>IF(C1600="","",C1600*(1+B1600/100))</f>
        <v/>
      </c>
      <c r="E1600" s="11">
        <f>IF(A1600="","",$B$6*TAN(RADIANS(A1600)))</f>
        <v/>
      </c>
    </row>
    <row r="1601">
      <c r="A1601" s="10" t="n"/>
      <c r="B1601" s="10" t="n"/>
      <c r="C1601" s="11">
        <f>IF(A1601="","",$B$5*TAN(RADIANS(A1601)))</f>
        <v/>
      </c>
      <c r="D1601" s="11">
        <f>IF(C1601="","",C1601*(1+B1601/100))</f>
        <v/>
      </c>
      <c r="E1601" s="11">
        <f>IF(A1601="","",$B$6*TAN(RADIANS(A1601)))</f>
        <v/>
      </c>
    </row>
    <row r="1602">
      <c r="A1602" s="10" t="n"/>
      <c r="B1602" s="10" t="n"/>
      <c r="C1602" s="11">
        <f>IF(A1602="","",$B$5*TAN(RADIANS(A1602)))</f>
        <v/>
      </c>
      <c r="D1602" s="11">
        <f>IF(C1602="","",C1602*(1+B1602/100))</f>
        <v/>
      </c>
      <c r="E1602" s="11">
        <f>IF(A1602="","",$B$6*TAN(RADIANS(A1602)))</f>
        <v/>
      </c>
    </row>
    <row r="1603">
      <c r="A1603" s="10" t="n"/>
      <c r="B1603" s="10" t="n"/>
      <c r="C1603" s="11">
        <f>IF(A1603="","",$B$5*TAN(RADIANS(A1603)))</f>
        <v/>
      </c>
      <c r="D1603" s="11">
        <f>IF(C1603="","",C1603*(1+B1603/100))</f>
        <v/>
      </c>
      <c r="E1603" s="11">
        <f>IF(A1603="","",$B$6*TAN(RADIANS(A1603)))</f>
        <v/>
      </c>
    </row>
    <row r="1604">
      <c r="A1604" s="10" t="n"/>
      <c r="B1604" s="10" t="n"/>
      <c r="C1604" s="11">
        <f>IF(A1604="","",$B$5*TAN(RADIANS(A1604)))</f>
        <v/>
      </c>
      <c r="D1604" s="11">
        <f>IF(C1604="","",C1604*(1+B1604/100))</f>
        <v/>
      </c>
      <c r="E1604" s="11">
        <f>IF(A1604="","",$B$6*TAN(RADIANS(A1604)))</f>
        <v/>
      </c>
    </row>
    <row r="1605">
      <c r="A1605" s="10" t="n"/>
      <c r="B1605" s="10" t="n"/>
      <c r="C1605" s="11">
        <f>IF(A1605="","",$B$5*TAN(RADIANS(A1605)))</f>
        <v/>
      </c>
      <c r="D1605" s="11">
        <f>IF(C1605="","",C1605*(1+B1605/100))</f>
        <v/>
      </c>
      <c r="E1605" s="11">
        <f>IF(A1605="","",$B$6*TAN(RADIANS(A1605)))</f>
        <v/>
      </c>
    </row>
    <row r="1606">
      <c r="A1606" s="10" t="n"/>
      <c r="B1606" s="10" t="n"/>
      <c r="C1606" s="11">
        <f>IF(A1606="","",$B$5*TAN(RADIANS(A1606)))</f>
        <v/>
      </c>
      <c r="D1606" s="11">
        <f>IF(C1606="","",C1606*(1+B1606/100))</f>
        <v/>
      </c>
      <c r="E1606" s="11">
        <f>IF(A1606="","",$B$6*TAN(RADIANS(A1606)))</f>
        <v/>
      </c>
    </row>
    <row r="1607">
      <c r="A1607" s="10" t="n"/>
      <c r="B1607" s="10" t="n"/>
      <c r="C1607" s="11">
        <f>IF(A1607="","",$B$5*TAN(RADIANS(A1607)))</f>
        <v/>
      </c>
      <c r="D1607" s="11">
        <f>IF(C1607="","",C1607*(1+B1607/100))</f>
        <v/>
      </c>
      <c r="E1607" s="11">
        <f>IF(A1607="","",$B$6*TAN(RADIANS(A1607)))</f>
        <v/>
      </c>
    </row>
    <row r="1608">
      <c r="A1608" s="10" t="n"/>
      <c r="B1608" s="10" t="n"/>
      <c r="C1608" s="11">
        <f>IF(A1608="","",$B$5*TAN(RADIANS(A1608)))</f>
        <v/>
      </c>
      <c r="D1608" s="11">
        <f>IF(C1608="","",C1608*(1+B1608/100))</f>
        <v/>
      </c>
      <c r="E1608" s="11">
        <f>IF(A1608="","",$B$6*TAN(RADIANS(A1608)))</f>
        <v/>
      </c>
    </row>
    <row r="1609">
      <c r="A1609" s="10" t="n"/>
      <c r="B1609" s="10" t="n"/>
      <c r="C1609" s="11">
        <f>IF(A1609="","",$B$5*TAN(RADIANS(A1609)))</f>
        <v/>
      </c>
      <c r="D1609" s="11">
        <f>IF(C1609="","",C1609*(1+B1609/100))</f>
        <v/>
      </c>
      <c r="E1609" s="11">
        <f>IF(A1609="","",$B$6*TAN(RADIANS(A1609)))</f>
        <v/>
      </c>
    </row>
    <row r="1610">
      <c r="A1610" s="10" t="n"/>
      <c r="B1610" s="10" t="n"/>
      <c r="C1610" s="11">
        <f>IF(A1610="","",$B$5*TAN(RADIANS(A1610)))</f>
        <v/>
      </c>
      <c r="D1610" s="11">
        <f>IF(C1610="","",C1610*(1+B1610/100))</f>
        <v/>
      </c>
      <c r="E1610" s="11">
        <f>IF(A1610="","",$B$6*TAN(RADIANS(A1610)))</f>
        <v/>
      </c>
    </row>
    <row r="1611">
      <c r="A1611" s="10" t="n"/>
      <c r="B1611" s="10" t="n"/>
      <c r="C1611" s="11">
        <f>IF(A1611="","",$B$5*TAN(RADIANS(A1611)))</f>
        <v/>
      </c>
      <c r="D1611" s="11">
        <f>IF(C1611="","",C1611*(1+B1611/100))</f>
        <v/>
      </c>
      <c r="E1611" s="11">
        <f>IF(A1611="","",$B$6*TAN(RADIANS(A1611)))</f>
        <v/>
      </c>
    </row>
    <row r="1612">
      <c r="A1612" s="10" t="n"/>
      <c r="B1612" s="10" t="n"/>
      <c r="C1612" s="11">
        <f>IF(A1612="","",$B$5*TAN(RADIANS(A1612)))</f>
        <v/>
      </c>
      <c r="D1612" s="11">
        <f>IF(C1612="","",C1612*(1+B1612/100))</f>
        <v/>
      </c>
      <c r="E1612" s="11">
        <f>IF(A1612="","",$B$6*TAN(RADIANS(A1612)))</f>
        <v/>
      </c>
    </row>
    <row r="1613">
      <c r="A1613" s="10" t="n"/>
      <c r="B1613" s="10" t="n"/>
      <c r="C1613" s="11">
        <f>IF(A1613="","",$B$5*TAN(RADIANS(A1613)))</f>
        <v/>
      </c>
      <c r="D1613" s="11">
        <f>IF(C1613="","",C1613*(1+B1613/100))</f>
        <v/>
      </c>
      <c r="E1613" s="11">
        <f>IF(A1613="","",$B$6*TAN(RADIANS(A1613)))</f>
        <v/>
      </c>
    </row>
    <row r="1614">
      <c r="A1614" s="10" t="n"/>
      <c r="B1614" s="10" t="n"/>
      <c r="C1614" s="11">
        <f>IF(A1614="","",$B$5*TAN(RADIANS(A1614)))</f>
        <v/>
      </c>
      <c r="D1614" s="11">
        <f>IF(C1614="","",C1614*(1+B1614/100))</f>
        <v/>
      </c>
      <c r="E1614" s="11">
        <f>IF(A1614="","",$B$6*TAN(RADIANS(A1614)))</f>
        <v/>
      </c>
    </row>
    <row r="1615">
      <c r="A1615" s="10" t="n"/>
      <c r="B1615" s="10" t="n"/>
      <c r="C1615" s="11">
        <f>IF(A1615="","",$B$5*TAN(RADIANS(A1615)))</f>
        <v/>
      </c>
      <c r="D1615" s="11">
        <f>IF(C1615="","",C1615*(1+B1615/100))</f>
        <v/>
      </c>
      <c r="E1615" s="11">
        <f>IF(A1615="","",$B$6*TAN(RADIANS(A1615)))</f>
        <v/>
      </c>
    </row>
    <row r="1616">
      <c r="A1616" s="10" t="n"/>
      <c r="B1616" s="10" t="n"/>
      <c r="C1616" s="11">
        <f>IF(A1616="","",$B$5*TAN(RADIANS(A1616)))</f>
        <v/>
      </c>
      <c r="D1616" s="11">
        <f>IF(C1616="","",C1616*(1+B1616/100))</f>
        <v/>
      </c>
      <c r="E1616" s="11">
        <f>IF(A1616="","",$B$6*TAN(RADIANS(A1616)))</f>
        <v/>
      </c>
    </row>
    <row r="1617">
      <c r="A1617" s="10" t="n"/>
      <c r="B1617" s="10" t="n"/>
      <c r="C1617" s="11">
        <f>IF(A1617="","",$B$5*TAN(RADIANS(A1617)))</f>
        <v/>
      </c>
      <c r="D1617" s="11">
        <f>IF(C1617="","",C1617*(1+B1617/100))</f>
        <v/>
      </c>
      <c r="E1617" s="11">
        <f>IF(A1617="","",$B$6*TAN(RADIANS(A1617)))</f>
        <v/>
      </c>
    </row>
    <row r="1618">
      <c r="A1618" s="10" t="n"/>
      <c r="B1618" s="10" t="n"/>
      <c r="C1618" s="11">
        <f>IF(A1618="","",$B$5*TAN(RADIANS(A1618)))</f>
        <v/>
      </c>
      <c r="D1618" s="11">
        <f>IF(C1618="","",C1618*(1+B1618/100))</f>
        <v/>
      </c>
      <c r="E1618" s="11">
        <f>IF(A1618="","",$B$6*TAN(RADIANS(A1618)))</f>
        <v/>
      </c>
    </row>
    <row r="1619">
      <c r="A1619" s="10" t="n"/>
      <c r="B1619" s="10" t="n"/>
      <c r="C1619" s="11">
        <f>IF(A1619="","",$B$5*TAN(RADIANS(A1619)))</f>
        <v/>
      </c>
      <c r="D1619" s="11">
        <f>IF(C1619="","",C1619*(1+B1619/100))</f>
        <v/>
      </c>
      <c r="E1619" s="11">
        <f>IF(A1619="","",$B$6*TAN(RADIANS(A1619)))</f>
        <v/>
      </c>
    </row>
    <row r="1620">
      <c r="A1620" s="10" t="n"/>
      <c r="B1620" s="10" t="n"/>
      <c r="C1620" s="11">
        <f>IF(A1620="","",$B$5*TAN(RADIANS(A1620)))</f>
        <v/>
      </c>
      <c r="D1620" s="11">
        <f>IF(C1620="","",C1620*(1+B1620/100))</f>
        <v/>
      </c>
      <c r="E1620" s="11">
        <f>IF(A1620="","",$B$6*TAN(RADIANS(A1620)))</f>
        <v/>
      </c>
    </row>
    <row r="1621">
      <c r="A1621" s="10" t="n"/>
      <c r="B1621" s="10" t="n"/>
      <c r="C1621" s="11">
        <f>IF(A1621="","",$B$5*TAN(RADIANS(A1621)))</f>
        <v/>
      </c>
      <c r="D1621" s="11">
        <f>IF(C1621="","",C1621*(1+B1621/100))</f>
        <v/>
      </c>
      <c r="E1621" s="11">
        <f>IF(A1621="","",$B$6*TAN(RADIANS(A1621)))</f>
        <v/>
      </c>
    </row>
    <row r="1622">
      <c r="A1622" s="10" t="n"/>
      <c r="B1622" s="10" t="n"/>
      <c r="C1622" s="11">
        <f>IF(A1622="","",$B$5*TAN(RADIANS(A1622)))</f>
        <v/>
      </c>
      <c r="D1622" s="11">
        <f>IF(C1622="","",C1622*(1+B1622/100))</f>
        <v/>
      </c>
      <c r="E1622" s="11">
        <f>IF(A1622="","",$B$6*TAN(RADIANS(A1622)))</f>
        <v/>
      </c>
    </row>
    <row r="1623">
      <c r="A1623" s="10" t="n"/>
      <c r="B1623" s="10" t="n"/>
      <c r="C1623" s="11">
        <f>IF(A1623="","",$B$5*TAN(RADIANS(A1623)))</f>
        <v/>
      </c>
      <c r="D1623" s="11">
        <f>IF(C1623="","",C1623*(1+B1623/100))</f>
        <v/>
      </c>
      <c r="E1623" s="11">
        <f>IF(A1623="","",$B$6*TAN(RADIANS(A1623)))</f>
        <v/>
      </c>
    </row>
    <row r="1624">
      <c r="A1624" s="10" t="n"/>
      <c r="B1624" s="10" t="n"/>
      <c r="C1624" s="11">
        <f>IF(A1624="","",$B$5*TAN(RADIANS(A1624)))</f>
        <v/>
      </c>
      <c r="D1624" s="11">
        <f>IF(C1624="","",C1624*(1+B1624/100))</f>
        <v/>
      </c>
      <c r="E1624" s="11">
        <f>IF(A1624="","",$B$6*TAN(RADIANS(A1624)))</f>
        <v/>
      </c>
    </row>
    <row r="1625">
      <c r="A1625" s="10" t="n"/>
      <c r="B1625" s="10" t="n"/>
      <c r="C1625" s="11">
        <f>IF(A1625="","",$B$5*TAN(RADIANS(A1625)))</f>
        <v/>
      </c>
      <c r="D1625" s="11">
        <f>IF(C1625="","",C1625*(1+B1625/100))</f>
        <v/>
      </c>
      <c r="E1625" s="11">
        <f>IF(A1625="","",$B$6*TAN(RADIANS(A1625)))</f>
        <v/>
      </c>
    </row>
    <row r="1626">
      <c r="A1626" s="10" t="n"/>
      <c r="B1626" s="10" t="n"/>
      <c r="C1626" s="11">
        <f>IF(A1626="","",$B$5*TAN(RADIANS(A1626)))</f>
        <v/>
      </c>
      <c r="D1626" s="11">
        <f>IF(C1626="","",C1626*(1+B1626/100))</f>
        <v/>
      </c>
      <c r="E1626" s="11">
        <f>IF(A1626="","",$B$6*TAN(RADIANS(A1626)))</f>
        <v/>
      </c>
    </row>
    <row r="1627">
      <c r="A1627" s="10" t="n"/>
      <c r="B1627" s="10" t="n"/>
      <c r="C1627" s="11">
        <f>IF(A1627="","",$B$5*TAN(RADIANS(A1627)))</f>
        <v/>
      </c>
      <c r="D1627" s="11">
        <f>IF(C1627="","",C1627*(1+B1627/100))</f>
        <v/>
      </c>
      <c r="E1627" s="11">
        <f>IF(A1627="","",$B$6*TAN(RADIANS(A1627)))</f>
        <v/>
      </c>
    </row>
    <row r="1628">
      <c r="A1628" s="10" t="n"/>
      <c r="B1628" s="10" t="n"/>
      <c r="C1628" s="11">
        <f>IF(A1628="","",$B$5*TAN(RADIANS(A1628)))</f>
        <v/>
      </c>
      <c r="D1628" s="11">
        <f>IF(C1628="","",C1628*(1+B1628/100))</f>
        <v/>
      </c>
      <c r="E1628" s="11">
        <f>IF(A1628="","",$B$6*TAN(RADIANS(A1628)))</f>
        <v/>
      </c>
    </row>
    <row r="1629">
      <c r="A1629" s="10" t="n"/>
      <c r="B1629" s="10" t="n"/>
      <c r="C1629" s="11">
        <f>IF(A1629="","",$B$5*TAN(RADIANS(A1629)))</f>
        <v/>
      </c>
      <c r="D1629" s="11">
        <f>IF(C1629="","",C1629*(1+B1629/100))</f>
        <v/>
      </c>
      <c r="E1629" s="11">
        <f>IF(A1629="","",$B$6*TAN(RADIANS(A1629)))</f>
        <v/>
      </c>
    </row>
    <row r="1630">
      <c r="A1630" s="10" t="n"/>
      <c r="B1630" s="10" t="n"/>
      <c r="C1630" s="11">
        <f>IF(A1630="","",$B$5*TAN(RADIANS(A1630)))</f>
        <v/>
      </c>
      <c r="D1630" s="11">
        <f>IF(C1630="","",C1630*(1+B1630/100))</f>
        <v/>
      </c>
      <c r="E1630" s="11">
        <f>IF(A1630="","",$B$6*TAN(RADIANS(A1630)))</f>
        <v/>
      </c>
    </row>
    <row r="1631">
      <c r="A1631" s="10" t="n"/>
      <c r="B1631" s="10" t="n"/>
      <c r="C1631" s="11">
        <f>IF(A1631="","",$B$5*TAN(RADIANS(A1631)))</f>
        <v/>
      </c>
      <c r="D1631" s="11">
        <f>IF(C1631="","",C1631*(1+B1631/100))</f>
        <v/>
      </c>
      <c r="E1631" s="11">
        <f>IF(A1631="","",$B$6*TAN(RADIANS(A1631)))</f>
        <v/>
      </c>
    </row>
    <row r="1632">
      <c r="A1632" s="10" t="n"/>
      <c r="B1632" s="10" t="n"/>
      <c r="C1632" s="11">
        <f>IF(A1632="","",$B$5*TAN(RADIANS(A1632)))</f>
        <v/>
      </c>
      <c r="D1632" s="11">
        <f>IF(C1632="","",C1632*(1+B1632/100))</f>
        <v/>
      </c>
      <c r="E1632" s="11">
        <f>IF(A1632="","",$B$6*TAN(RADIANS(A1632)))</f>
        <v/>
      </c>
    </row>
    <row r="1633">
      <c r="A1633" s="10" t="n"/>
      <c r="B1633" s="10" t="n"/>
      <c r="C1633" s="11">
        <f>IF(A1633="","",$B$5*TAN(RADIANS(A1633)))</f>
        <v/>
      </c>
      <c r="D1633" s="11">
        <f>IF(C1633="","",C1633*(1+B1633/100))</f>
        <v/>
      </c>
      <c r="E1633" s="11">
        <f>IF(A1633="","",$B$6*TAN(RADIANS(A1633)))</f>
        <v/>
      </c>
    </row>
    <row r="1634">
      <c r="A1634" s="10" t="n"/>
      <c r="B1634" s="10" t="n"/>
      <c r="C1634" s="11">
        <f>IF(A1634="","",$B$5*TAN(RADIANS(A1634)))</f>
        <v/>
      </c>
      <c r="D1634" s="11">
        <f>IF(C1634="","",C1634*(1+B1634/100))</f>
        <v/>
      </c>
      <c r="E1634" s="11">
        <f>IF(A1634="","",$B$6*TAN(RADIANS(A1634)))</f>
        <v/>
      </c>
    </row>
    <row r="1635">
      <c r="A1635" s="10" t="n"/>
      <c r="B1635" s="10" t="n"/>
      <c r="C1635" s="11">
        <f>IF(A1635="","",$B$5*TAN(RADIANS(A1635)))</f>
        <v/>
      </c>
      <c r="D1635" s="11">
        <f>IF(C1635="","",C1635*(1+B1635/100))</f>
        <v/>
      </c>
      <c r="E1635" s="11">
        <f>IF(A1635="","",$B$6*TAN(RADIANS(A1635)))</f>
        <v/>
      </c>
    </row>
    <row r="1636">
      <c r="A1636" s="10" t="n"/>
      <c r="B1636" s="10" t="n"/>
      <c r="C1636" s="11">
        <f>IF(A1636="","",$B$5*TAN(RADIANS(A1636)))</f>
        <v/>
      </c>
      <c r="D1636" s="11">
        <f>IF(C1636="","",C1636*(1+B1636/100))</f>
        <v/>
      </c>
      <c r="E1636" s="11">
        <f>IF(A1636="","",$B$6*TAN(RADIANS(A1636)))</f>
        <v/>
      </c>
    </row>
    <row r="1637">
      <c r="A1637" s="10" t="n"/>
      <c r="B1637" s="10" t="n"/>
      <c r="C1637" s="11">
        <f>IF(A1637="","",$B$5*TAN(RADIANS(A1637)))</f>
        <v/>
      </c>
      <c r="D1637" s="11">
        <f>IF(C1637="","",C1637*(1+B1637/100))</f>
        <v/>
      </c>
      <c r="E1637" s="11">
        <f>IF(A1637="","",$B$6*TAN(RADIANS(A1637)))</f>
        <v/>
      </c>
    </row>
    <row r="1638">
      <c r="A1638" s="10" t="n"/>
      <c r="B1638" s="10" t="n"/>
      <c r="C1638" s="11">
        <f>IF(A1638="","",$B$5*TAN(RADIANS(A1638)))</f>
        <v/>
      </c>
      <c r="D1638" s="11">
        <f>IF(C1638="","",C1638*(1+B1638/100))</f>
        <v/>
      </c>
      <c r="E1638" s="11">
        <f>IF(A1638="","",$B$6*TAN(RADIANS(A1638)))</f>
        <v/>
      </c>
    </row>
    <row r="1639">
      <c r="A1639" s="10" t="n"/>
      <c r="B1639" s="10" t="n"/>
      <c r="C1639" s="11">
        <f>IF(A1639="","",$B$5*TAN(RADIANS(A1639)))</f>
        <v/>
      </c>
      <c r="D1639" s="11">
        <f>IF(C1639="","",C1639*(1+B1639/100))</f>
        <v/>
      </c>
      <c r="E1639" s="11">
        <f>IF(A1639="","",$B$6*TAN(RADIANS(A1639)))</f>
        <v/>
      </c>
    </row>
    <row r="1640">
      <c r="A1640" s="10" t="n"/>
      <c r="B1640" s="10" t="n"/>
      <c r="C1640" s="11">
        <f>IF(A1640="","",$B$5*TAN(RADIANS(A1640)))</f>
        <v/>
      </c>
      <c r="D1640" s="11">
        <f>IF(C1640="","",C1640*(1+B1640/100))</f>
        <v/>
      </c>
      <c r="E1640" s="11">
        <f>IF(A1640="","",$B$6*TAN(RADIANS(A1640)))</f>
        <v/>
      </c>
    </row>
    <row r="1641">
      <c r="A1641" s="10" t="n"/>
      <c r="B1641" s="10" t="n"/>
      <c r="C1641" s="11">
        <f>IF(A1641="","",$B$5*TAN(RADIANS(A1641)))</f>
        <v/>
      </c>
      <c r="D1641" s="11">
        <f>IF(C1641="","",C1641*(1+B1641/100))</f>
        <v/>
      </c>
      <c r="E1641" s="11">
        <f>IF(A1641="","",$B$6*TAN(RADIANS(A1641)))</f>
        <v/>
      </c>
    </row>
    <row r="1642">
      <c r="A1642" s="10" t="n"/>
      <c r="B1642" s="10" t="n"/>
      <c r="C1642" s="11">
        <f>IF(A1642="","",$B$5*TAN(RADIANS(A1642)))</f>
        <v/>
      </c>
      <c r="D1642" s="11">
        <f>IF(C1642="","",C1642*(1+B1642/100))</f>
        <v/>
      </c>
      <c r="E1642" s="11">
        <f>IF(A1642="","",$B$6*TAN(RADIANS(A1642)))</f>
        <v/>
      </c>
    </row>
    <row r="1643">
      <c r="A1643" s="10" t="n"/>
      <c r="B1643" s="10" t="n"/>
      <c r="C1643" s="11">
        <f>IF(A1643="","",$B$5*TAN(RADIANS(A1643)))</f>
        <v/>
      </c>
      <c r="D1643" s="11">
        <f>IF(C1643="","",C1643*(1+B1643/100))</f>
        <v/>
      </c>
      <c r="E1643" s="11">
        <f>IF(A1643="","",$B$6*TAN(RADIANS(A1643)))</f>
        <v/>
      </c>
    </row>
    <row r="1644">
      <c r="A1644" s="10" t="n"/>
      <c r="B1644" s="10" t="n"/>
      <c r="C1644" s="11">
        <f>IF(A1644="","",$B$5*TAN(RADIANS(A1644)))</f>
        <v/>
      </c>
      <c r="D1644" s="11">
        <f>IF(C1644="","",C1644*(1+B1644/100))</f>
        <v/>
      </c>
      <c r="E1644" s="11">
        <f>IF(A1644="","",$B$6*TAN(RADIANS(A1644)))</f>
        <v/>
      </c>
    </row>
    <row r="1645">
      <c r="A1645" s="10" t="n"/>
      <c r="B1645" s="10" t="n"/>
      <c r="C1645" s="11">
        <f>IF(A1645="","",$B$5*TAN(RADIANS(A1645)))</f>
        <v/>
      </c>
      <c r="D1645" s="11">
        <f>IF(C1645="","",C1645*(1+B1645/100))</f>
        <v/>
      </c>
      <c r="E1645" s="11">
        <f>IF(A1645="","",$B$6*TAN(RADIANS(A1645)))</f>
        <v/>
      </c>
    </row>
    <row r="1646">
      <c r="A1646" s="10" t="n"/>
      <c r="B1646" s="10" t="n"/>
      <c r="C1646" s="11">
        <f>IF(A1646="","",$B$5*TAN(RADIANS(A1646)))</f>
        <v/>
      </c>
      <c r="D1646" s="11">
        <f>IF(C1646="","",C1646*(1+B1646/100))</f>
        <v/>
      </c>
      <c r="E1646" s="11">
        <f>IF(A1646="","",$B$6*TAN(RADIANS(A1646)))</f>
        <v/>
      </c>
    </row>
    <row r="1647">
      <c r="A1647" s="10" t="n"/>
      <c r="B1647" s="10" t="n"/>
      <c r="C1647" s="11">
        <f>IF(A1647="","",$B$5*TAN(RADIANS(A1647)))</f>
        <v/>
      </c>
      <c r="D1647" s="11">
        <f>IF(C1647="","",C1647*(1+B1647/100))</f>
        <v/>
      </c>
      <c r="E1647" s="11">
        <f>IF(A1647="","",$B$6*TAN(RADIANS(A1647)))</f>
        <v/>
      </c>
    </row>
    <row r="1648">
      <c r="A1648" s="10" t="n"/>
      <c r="B1648" s="10" t="n"/>
      <c r="C1648" s="11">
        <f>IF(A1648="","",$B$5*TAN(RADIANS(A1648)))</f>
        <v/>
      </c>
      <c r="D1648" s="11">
        <f>IF(C1648="","",C1648*(1+B1648/100))</f>
        <v/>
      </c>
      <c r="E1648" s="11">
        <f>IF(A1648="","",$B$6*TAN(RADIANS(A1648)))</f>
        <v/>
      </c>
    </row>
    <row r="1649">
      <c r="A1649" s="10" t="n"/>
      <c r="B1649" s="10" t="n"/>
      <c r="C1649" s="11">
        <f>IF(A1649="","",$B$5*TAN(RADIANS(A1649)))</f>
        <v/>
      </c>
      <c r="D1649" s="11">
        <f>IF(C1649="","",C1649*(1+B1649/100))</f>
        <v/>
      </c>
      <c r="E1649" s="11">
        <f>IF(A1649="","",$B$6*TAN(RADIANS(A1649)))</f>
        <v/>
      </c>
    </row>
    <row r="1650">
      <c r="A1650" s="10" t="n"/>
      <c r="B1650" s="10" t="n"/>
      <c r="C1650" s="11">
        <f>IF(A1650="","",$B$5*TAN(RADIANS(A1650)))</f>
        <v/>
      </c>
      <c r="D1650" s="11">
        <f>IF(C1650="","",C1650*(1+B1650/100))</f>
        <v/>
      </c>
      <c r="E1650" s="11">
        <f>IF(A1650="","",$B$6*TAN(RADIANS(A1650)))</f>
        <v/>
      </c>
    </row>
    <row r="1651">
      <c r="A1651" s="10" t="n"/>
      <c r="B1651" s="10" t="n"/>
      <c r="C1651" s="11">
        <f>IF(A1651="","",$B$5*TAN(RADIANS(A1651)))</f>
        <v/>
      </c>
      <c r="D1651" s="11">
        <f>IF(C1651="","",C1651*(1+B1651/100))</f>
        <v/>
      </c>
      <c r="E1651" s="11">
        <f>IF(A1651="","",$B$6*TAN(RADIANS(A1651)))</f>
        <v/>
      </c>
    </row>
    <row r="1652">
      <c r="A1652" s="10" t="n"/>
      <c r="B1652" s="10" t="n"/>
      <c r="C1652" s="11">
        <f>IF(A1652="","",$B$5*TAN(RADIANS(A1652)))</f>
        <v/>
      </c>
      <c r="D1652" s="11">
        <f>IF(C1652="","",C1652*(1+B1652/100))</f>
        <v/>
      </c>
      <c r="E1652" s="11">
        <f>IF(A1652="","",$B$6*TAN(RADIANS(A1652)))</f>
        <v/>
      </c>
    </row>
    <row r="1653">
      <c r="A1653" s="10" t="n"/>
      <c r="B1653" s="10" t="n"/>
      <c r="C1653" s="11">
        <f>IF(A1653="","",$B$5*TAN(RADIANS(A1653)))</f>
        <v/>
      </c>
      <c r="D1653" s="11">
        <f>IF(C1653="","",C1653*(1+B1653/100))</f>
        <v/>
      </c>
      <c r="E1653" s="11">
        <f>IF(A1653="","",$B$6*TAN(RADIANS(A1653)))</f>
        <v/>
      </c>
    </row>
    <row r="1654">
      <c r="A1654" s="10" t="n"/>
      <c r="B1654" s="10" t="n"/>
      <c r="C1654" s="11">
        <f>IF(A1654="","",$B$5*TAN(RADIANS(A1654)))</f>
        <v/>
      </c>
      <c r="D1654" s="11">
        <f>IF(C1654="","",C1654*(1+B1654/100))</f>
        <v/>
      </c>
      <c r="E1654" s="11">
        <f>IF(A1654="","",$B$6*TAN(RADIANS(A1654)))</f>
        <v/>
      </c>
    </row>
    <row r="1655">
      <c r="A1655" s="10" t="n"/>
      <c r="B1655" s="10" t="n"/>
      <c r="C1655" s="11">
        <f>IF(A1655="","",$B$5*TAN(RADIANS(A1655)))</f>
        <v/>
      </c>
      <c r="D1655" s="11">
        <f>IF(C1655="","",C1655*(1+B1655/100))</f>
        <v/>
      </c>
      <c r="E1655" s="11">
        <f>IF(A1655="","",$B$6*TAN(RADIANS(A1655)))</f>
        <v/>
      </c>
    </row>
    <row r="1656">
      <c r="A1656" s="10" t="n"/>
      <c r="B1656" s="10" t="n"/>
      <c r="C1656" s="11">
        <f>IF(A1656="","",$B$5*TAN(RADIANS(A1656)))</f>
        <v/>
      </c>
      <c r="D1656" s="11">
        <f>IF(C1656="","",C1656*(1+B1656/100))</f>
        <v/>
      </c>
      <c r="E1656" s="11">
        <f>IF(A1656="","",$B$6*TAN(RADIANS(A1656)))</f>
        <v/>
      </c>
    </row>
    <row r="1657">
      <c r="A1657" s="10" t="n"/>
      <c r="B1657" s="10" t="n"/>
      <c r="C1657" s="11">
        <f>IF(A1657="","",$B$5*TAN(RADIANS(A1657)))</f>
        <v/>
      </c>
      <c r="D1657" s="11">
        <f>IF(C1657="","",C1657*(1+B1657/100))</f>
        <v/>
      </c>
      <c r="E1657" s="11">
        <f>IF(A1657="","",$B$6*TAN(RADIANS(A1657)))</f>
        <v/>
      </c>
    </row>
    <row r="1658">
      <c r="A1658" s="10" t="n"/>
      <c r="B1658" s="10" t="n"/>
      <c r="C1658" s="11">
        <f>IF(A1658="","",$B$5*TAN(RADIANS(A1658)))</f>
        <v/>
      </c>
      <c r="D1658" s="11">
        <f>IF(C1658="","",C1658*(1+B1658/100))</f>
        <v/>
      </c>
      <c r="E1658" s="11">
        <f>IF(A1658="","",$B$6*TAN(RADIANS(A1658)))</f>
        <v/>
      </c>
    </row>
    <row r="1659">
      <c r="A1659" s="10" t="n"/>
      <c r="B1659" s="10" t="n"/>
      <c r="C1659" s="11">
        <f>IF(A1659="","",$B$5*TAN(RADIANS(A1659)))</f>
        <v/>
      </c>
      <c r="D1659" s="11">
        <f>IF(C1659="","",C1659*(1+B1659/100))</f>
        <v/>
      </c>
      <c r="E1659" s="11">
        <f>IF(A1659="","",$B$6*TAN(RADIANS(A1659)))</f>
        <v/>
      </c>
    </row>
    <row r="1660">
      <c r="A1660" s="10" t="n"/>
      <c r="B1660" s="10" t="n"/>
      <c r="C1660" s="11">
        <f>IF(A1660="","",$B$5*TAN(RADIANS(A1660)))</f>
        <v/>
      </c>
      <c r="D1660" s="11">
        <f>IF(C1660="","",C1660*(1+B1660/100))</f>
        <v/>
      </c>
      <c r="E1660" s="11">
        <f>IF(A1660="","",$B$6*TAN(RADIANS(A1660)))</f>
        <v/>
      </c>
    </row>
    <row r="1661">
      <c r="A1661" s="10" t="n"/>
      <c r="B1661" s="10" t="n"/>
      <c r="C1661" s="11">
        <f>IF(A1661="","",$B$5*TAN(RADIANS(A1661)))</f>
        <v/>
      </c>
      <c r="D1661" s="11">
        <f>IF(C1661="","",C1661*(1+B1661/100))</f>
        <v/>
      </c>
      <c r="E1661" s="11">
        <f>IF(A1661="","",$B$6*TAN(RADIANS(A1661)))</f>
        <v/>
      </c>
    </row>
    <row r="1662">
      <c r="A1662" s="10" t="n"/>
      <c r="B1662" s="10" t="n"/>
      <c r="C1662" s="11">
        <f>IF(A1662="","",$B$5*TAN(RADIANS(A1662)))</f>
        <v/>
      </c>
      <c r="D1662" s="11">
        <f>IF(C1662="","",C1662*(1+B1662/100))</f>
        <v/>
      </c>
      <c r="E1662" s="11">
        <f>IF(A1662="","",$B$6*TAN(RADIANS(A1662)))</f>
        <v/>
      </c>
    </row>
    <row r="1663">
      <c r="A1663" s="10" t="n"/>
      <c r="B1663" s="10" t="n"/>
      <c r="C1663" s="11">
        <f>IF(A1663="","",$B$5*TAN(RADIANS(A1663)))</f>
        <v/>
      </c>
      <c r="D1663" s="11">
        <f>IF(C1663="","",C1663*(1+B1663/100))</f>
        <v/>
      </c>
      <c r="E1663" s="11">
        <f>IF(A1663="","",$B$6*TAN(RADIANS(A1663)))</f>
        <v/>
      </c>
    </row>
    <row r="1664">
      <c r="A1664" s="10" t="n"/>
      <c r="B1664" s="10" t="n"/>
      <c r="C1664" s="11">
        <f>IF(A1664="","",$B$5*TAN(RADIANS(A1664)))</f>
        <v/>
      </c>
      <c r="D1664" s="11">
        <f>IF(C1664="","",C1664*(1+B1664/100))</f>
        <v/>
      </c>
      <c r="E1664" s="11">
        <f>IF(A1664="","",$B$6*TAN(RADIANS(A1664)))</f>
        <v/>
      </c>
    </row>
    <row r="1665">
      <c r="A1665" s="10" t="n"/>
      <c r="B1665" s="10" t="n"/>
      <c r="C1665" s="11">
        <f>IF(A1665="","",$B$5*TAN(RADIANS(A1665)))</f>
        <v/>
      </c>
      <c r="D1665" s="11">
        <f>IF(C1665="","",C1665*(1+B1665/100))</f>
        <v/>
      </c>
      <c r="E1665" s="11">
        <f>IF(A1665="","",$B$6*TAN(RADIANS(A1665)))</f>
        <v/>
      </c>
    </row>
    <row r="1666">
      <c r="A1666" s="10" t="n"/>
      <c r="B1666" s="10" t="n"/>
      <c r="C1666" s="11">
        <f>IF(A1666="","",$B$5*TAN(RADIANS(A1666)))</f>
        <v/>
      </c>
      <c r="D1666" s="11">
        <f>IF(C1666="","",C1666*(1+B1666/100))</f>
        <v/>
      </c>
      <c r="E1666" s="11">
        <f>IF(A1666="","",$B$6*TAN(RADIANS(A1666)))</f>
        <v/>
      </c>
    </row>
    <row r="1667">
      <c r="A1667" s="10" t="n"/>
      <c r="B1667" s="10" t="n"/>
      <c r="C1667" s="11">
        <f>IF(A1667="","",$B$5*TAN(RADIANS(A1667)))</f>
        <v/>
      </c>
      <c r="D1667" s="11">
        <f>IF(C1667="","",C1667*(1+B1667/100))</f>
        <v/>
      </c>
      <c r="E1667" s="11">
        <f>IF(A1667="","",$B$6*TAN(RADIANS(A1667)))</f>
        <v/>
      </c>
    </row>
    <row r="1668">
      <c r="A1668" s="10" t="n"/>
      <c r="B1668" s="10" t="n"/>
      <c r="C1668" s="11">
        <f>IF(A1668="","",$B$5*TAN(RADIANS(A1668)))</f>
        <v/>
      </c>
      <c r="D1668" s="11">
        <f>IF(C1668="","",C1668*(1+B1668/100))</f>
        <v/>
      </c>
      <c r="E1668" s="11">
        <f>IF(A1668="","",$B$6*TAN(RADIANS(A1668)))</f>
        <v/>
      </c>
    </row>
    <row r="1669">
      <c r="A1669" s="10" t="n"/>
      <c r="B1669" s="10" t="n"/>
      <c r="C1669" s="11">
        <f>IF(A1669="","",$B$5*TAN(RADIANS(A1669)))</f>
        <v/>
      </c>
      <c r="D1669" s="11">
        <f>IF(C1669="","",C1669*(1+B1669/100))</f>
        <v/>
      </c>
      <c r="E1669" s="11">
        <f>IF(A1669="","",$B$6*TAN(RADIANS(A1669)))</f>
        <v/>
      </c>
    </row>
    <row r="1670">
      <c r="A1670" s="10" t="n"/>
      <c r="B1670" s="10" t="n"/>
      <c r="C1670" s="11">
        <f>IF(A1670="","",$B$5*TAN(RADIANS(A1670)))</f>
        <v/>
      </c>
      <c r="D1670" s="11">
        <f>IF(C1670="","",C1670*(1+B1670/100))</f>
        <v/>
      </c>
      <c r="E1670" s="11">
        <f>IF(A1670="","",$B$6*TAN(RADIANS(A1670)))</f>
        <v/>
      </c>
    </row>
    <row r="1671">
      <c r="A1671" s="10" t="n"/>
      <c r="B1671" s="10" t="n"/>
      <c r="C1671" s="11">
        <f>IF(A1671="","",$B$5*TAN(RADIANS(A1671)))</f>
        <v/>
      </c>
      <c r="D1671" s="11">
        <f>IF(C1671="","",C1671*(1+B1671/100))</f>
        <v/>
      </c>
      <c r="E1671" s="11">
        <f>IF(A1671="","",$B$6*TAN(RADIANS(A1671)))</f>
        <v/>
      </c>
    </row>
    <row r="1672">
      <c r="A1672" s="10" t="n"/>
      <c r="B1672" s="10" t="n"/>
      <c r="C1672" s="11">
        <f>IF(A1672="","",$B$5*TAN(RADIANS(A1672)))</f>
        <v/>
      </c>
      <c r="D1672" s="11">
        <f>IF(C1672="","",C1672*(1+B1672/100))</f>
        <v/>
      </c>
      <c r="E1672" s="11">
        <f>IF(A1672="","",$B$6*TAN(RADIANS(A1672)))</f>
        <v/>
      </c>
    </row>
    <row r="1673">
      <c r="A1673" s="10" t="n"/>
      <c r="B1673" s="10" t="n"/>
      <c r="C1673" s="11">
        <f>IF(A1673="","",$B$5*TAN(RADIANS(A1673)))</f>
        <v/>
      </c>
      <c r="D1673" s="11">
        <f>IF(C1673="","",C1673*(1+B1673/100))</f>
        <v/>
      </c>
      <c r="E1673" s="11">
        <f>IF(A1673="","",$B$6*TAN(RADIANS(A1673)))</f>
        <v/>
      </c>
    </row>
    <row r="1674">
      <c r="A1674" s="10" t="n"/>
      <c r="B1674" s="10" t="n"/>
      <c r="C1674" s="11">
        <f>IF(A1674="","",$B$5*TAN(RADIANS(A1674)))</f>
        <v/>
      </c>
      <c r="D1674" s="11">
        <f>IF(C1674="","",C1674*(1+B1674/100))</f>
        <v/>
      </c>
      <c r="E1674" s="11">
        <f>IF(A1674="","",$B$6*TAN(RADIANS(A1674)))</f>
        <v/>
      </c>
    </row>
    <row r="1675">
      <c r="A1675" s="10" t="n"/>
      <c r="B1675" s="10" t="n"/>
      <c r="C1675" s="11">
        <f>IF(A1675="","",$B$5*TAN(RADIANS(A1675)))</f>
        <v/>
      </c>
      <c r="D1675" s="11">
        <f>IF(C1675="","",C1675*(1+B1675/100))</f>
        <v/>
      </c>
      <c r="E1675" s="11">
        <f>IF(A1675="","",$B$6*TAN(RADIANS(A1675)))</f>
        <v/>
      </c>
    </row>
    <row r="1676">
      <c r="A1676" s="10" t="n"/>
      <c r="B1676" s="10" t="n"/>
      <c r="C1676" s="11">
        <f>IF(A1676="","",$B$5*TAN(RADIANS(A1676)))</f>
        <v/>
      </c>
      <c r="D1676" s="11">
        <f>IF(C1676="","",C1676*(1+B1676/100))</f>
        <v/>
      </c>
      <c r="E1676" s="11">
        <f>IF(A1676="","",$B$6*TAN(RADIANS(A1676)))</f>
        <v/>
      </c>
    </row>
    <row r="1677">
      <c r="A1677" s="10" t="n"/>
      <c r="B1677" s="10" t="n"/>
      <c r="C1677" s="11">
        <f>IF(A1677="","",$B$5*TAN(RADIANS(A1677)))</f>
        <v/>
      </c>
      <c r="D1677" s="11">
        <f>IF(C1677="","",C1677*(1+B1677/100))</f>
        <v/>
      </c>
      <c r="E1677" s="11">
        <f>IF(A1677="","",$B$6*TAN(RADIANS(A1677)))</f>
        <v/>
      </c>
    </row>
    <row r="1678">
      <c r="A1678" s="10" t="n"/>
      <c r="B1678" s="10" t="n"/>
      <c r="C1678" s="11">
        <f>IF(A1678="","",$B$5*TAN(RADIANS(A1678)))</f>
        <v/>
      </c>
      <c r="D1678" s="11">
        <f>IF(C1678="","",C1678*(1+B1678/100))</f>
        <v/>
      </c>
      <c r="E1678" s="11">
        <f>IF(A1678="","",$B$6*TAN(RADIANS(A1678)))</f>
        <v/>
      </c>
    </row>
    <row r="1679">
      <c r="A1679" s="10" t="n"/>
      <c r="B1679" s="10" t="n"/>
      <c r="C1679" s="11">
        <f>IF(A1679="","",$B$5*TAN(RADIANS(A1679)))</f>
        <v/>
      </c>
      <c r="D1679" s="11">
        <f>IF(C1679="","",C1679*(1+B1679/100))</f>
        <v/>
      </c>
      <c r="E1679" s="11">
        <f>IF(A1679="","",$B$6*TAN(RADIANS(A1679)))</f>
        <v/>
      </c>
    </row>
    <row r="1680">
      <c r="A1680" s="10" t="n"/>
      <c r="B1680" s="10" t="n"/>
      <c r="C1680" s="11">
        <f>IF(A1680="","",$B$5*TAN(RADIANS(A1680)))</f>
        <v/>
      </c>
      <c r="D1680" s="11">
        <f>IF(C1680="","",C1680*(1+B1680/100))</f>
        <v/>
      </c>
      <c r="E1680" s="11">
        <f>IF(A1680="","",$B$6*TAN(RADIANS(A1680)))</f>
        <v/>
      </c>
    </row>
    <row r="1681">
      <c r="A1681" s="10" t="n"/>
      <c r="B1681" s="10" t="n"/>
      <c r="C1681" s="11">
        <f>IF(A1681="","",$B$5*TAN(RADIANS(A1681)))</f>
        <v/>
      </c>
      <c r="D1681" s="11">
        <f>IF(C1681="","",C1681*(1+B1681/100))</f>
        <v/>
      </c>
      <c r="E1681" s="11">
        <f>IF(A1681="","",$B$6*TAN(RADIANS(A1681)))</f>
        <v/>
      </c>
    </row>
    <row r="1682">
      <c r="A1682" s="10" t="n"/>
      <c r="B1682" s="10" t="n"/>
      <c r="C1682" s="11">
        <f>IF(A1682="","",$B$5*TAN(RADIANS(A1682)))</f>
        <v/>
      </c>
      <c r="D1682" s="11">
        <f>IF(C1682="","",C1682*(1+B1682/100))</f>
        <v/>
      </c>
      <c r="E1682" s="11">
        <f>IF(A1682="","",$B$6*TAN(RADIANS(A1682)))</f>
        <v/>
      </c>
    </row>
    <row r="1683">
      <c r="A1683" s="10" t="n"/>
      <c r="B1683" s="10" t="n"/>
      <c r="C1683" s="11">
        <f>IF(A1683="","",$B$5*TAN(RADIANS(A1683)))</f>
        <v/>
      </c>
      <c r="D1683" s="11">
        <f>IF(C1683="","",C1683*(1+B1683/100))</f>
        <v/>
      </c>
      <c r="E1683" s="11">
        <f>IF(A1683="","",$B$6*TAN(RADIANS(A1683)))</f>
        <v/>
      </c>
    </row>
    <row r="1684">
      <c r="A1684" s="10" t="n"/>
      <c r="B1684" s="10" t="n"/>
      <c r="C1684" s="11">
        <f>IF(A1684="","",$B$5*TAN(RADIANS(A1684)))</f>
        <v/>
      </c>
      <c r="D1684" s="11">
        <f>IF(C1684="","",C1684*(1+B1684/100))</f>
        <v/>
      </c>
      <c r="E1684" s="11">
        <f>IF(A1684="","",$B$6*TAN(RADIANS(A1684)))</f>
        <v/>
      </c>
    </row>
    <row r="1685">
      <c r="A1685" s="10" t="n"/>
      <c r="B1685" s="10" t="n"/>
      <c r="C1685" s="11">
        <f>IF(A1685="","",$B$5*TAN(RADIANS(A1685)))</f>
        <v/>
      </c>
      <c r="D1685" s="11">
        <f>IF(C1685="","",C1685*(1+B1685/100))</f>
        <v/>
      </c>
      <c r="E1685" s="11">
        <f>IF(A1685="","",$B$6*TAN(RADIANS(A1685)))</f>
        <v/>
      </c>
    </row>
    <row r="1686">
      <c r="A1686" s="10" t="n"/>
      <c r="B1686" s="10" t="n"/>
      <c r="C1686" s="11">
        <f>IF(A1686="","",$B$5*TAN(RADIANS(A1686)))</f>
        <v/>
      </c>
      <c r="D1686" s="11">
        <f>IF(C1686="","",C1686*(1+B1686/100))</f>
        <v/>
      </c>
      <c r="E1686" s="11">
        <f>IF(A1686="","",$B$6*TAN(RADIANS(A1686)))</f>
        <v/>
      </c>
    </row>
    <row r="1687">
      <c r="A1687" s="10" t="n"/>
      <c r="B1687" s="10" t="n"/>
      <c r="C1687" s="11">
        <f>IF(A1687="","",$B$5*TAN(RADIANS(A1687)))</f>
        <v/>
      </c>
      <c r="D1687" s="11">
        <f>IF(C1687="","",C1687*(1+B1687/100))</f>
        <v/>
      </c>
      <c r="E1687" s="11">
        <f>IF(A1687="","",$B$6*TAN(RADIANS(A1687)))</f>
        <v/>
      </c>
    </row>
    <row r="1688">
      <c r="A1688" s="10" t="n"/>
      <c r="B1688" s="10" t="n"/>
      <c r="C1688" s="11">
        <f>IF(A1688="","",$B$5*TAN(RADIANS(A1688)))</f>
        <v/>
      </c>
      <c r="D1688" s="11">
        <f>IF(C1688="","",C1688*(1+B1688/100))</f>
        <v/>
      </c>
      <c r="E1688" s="11">
        <f>IF(A1688="","",$B$6*TAN(RADIANS(A1688)))</f>
        <v/>
      </c>
    </row>
    <row r="1689">
      <c r="A1689" s="10" t="n"/>
      <c r="B1689" s="10" t="n"/>
      <c r="C1689" s="11">
        <f>IF(A1689="","",$B$5*TAN(RADIANS(A1689)))</f>
        <v/>
      </c>
      <c r="D1689" s="11">
        <f>IF(C1689="","",C1689*(1+B1689/100))</f>
        <v/>
      </c>
      <c r="E1689" s="11">
        <f>IF(A1689="","",$B$6*TAN(RADIANS(A1689)))</f>
        <v/>
      </c>
    </row>
    <row r="1690">
      <c r="A1690" s="10" t="n"/>
      <c r="B1690" s="10" t="n"/>
      <c r="C1690" s="11">
        <f>IF(A1690="","",$B$5*TAN(RADIANS(A1690)))</f>
        <v/>
      </c>
      <c r="D1690" s="11">
        <f>IF(C1690="","",C1690*(1+B1690/100))</f>
        <v/>
      </c>
      <c r="E1690" s="11">
        <f>IF(A1690="","",$B$6*TAN(RADIANS(A1690)))</f>
        <v/>
      </c>
    </row>
    <row r="1691">
      <c r="A1691" s="10" t="n"/>
      <c r="B1691" s="10" t="n"/>
      <c r="C1691" s="11">
        <f>IF(A1691="","",$B$5*TAN(RADIANS(A1691)))</f>
        <v/>
      </c>
      <c r="D1691" s="11">
        <f>IF(C1691="","",C1691*(1+B1691/100))</f>
        <v/>
      </c>
      <c r="E1691" s="11">
        <f>IF(A1691="","",$B$6*TAN(RADIANS(A1691)))</f>
        <v/>
      </c>
    </row>
    <row r="1692">
      <c r="A1692" s="10" t="n"/>
      <c r="B1692" s="10" t="n"/>
      <c r="C1692" s="11">
        <f>IF(A1692="","",$B$5*TAN(RADIANS(A1692)))</f>
        <v/>
      </c>
      <c r="D1692" s="11">
        <f>IF(C1692="","",C1692*(1+B1692/100))</f>
        <v/>
      </c>
      <c r="E1692" s="11">
        <f>IF(A1692="","",$B$6*TAN(RADIANS(A1692)))</f>
        <v/>
      </c>
    </row>
    <row r="1693">
      <c r="A1693" s="10" t="n"/>
      <c r="B1693" s="10" t="n"/>
      <c r="C1693" s="11">
        <f>IF(A1693="","",$B$5*TAN(RADIANS(A1693)))</f>
        <v/>
      </c>
      <c r="D1693" s="11">
        <f>IF(C1693="","",C1693*(1+B1693/100))</f>
        <v/>
      </c>
      <c r="E1693" s="11">
        <f>IF(A1693="","",$B$6*TAN(RADIANS(A1693)))</f>
        <v/>
      </c>
    </row>
    <row r="1694">
      <c r="A1694" s="10" t="n"/>
      <c r="B1694" s="10" t="n"/>
      <c r="C1694" s="11">
        <f>IF(A1694="","",$B$5*TAN(RADIANS(A1694)))</f>
        <v/>
      </c>
      <c r="D1694" s="11">
        <f>IF(C1694="","",C1694*(1+B1694/100))</f>
        <v/>
      </c>
      <c r="E1694" s="11">
        <f>IF(A1694="","",$B$6*TAN(RADIANS(A1694)))</f>
        <v/>
      </c>
    </row>
    <row r="1695">
      <c r="A1695" s="10" t="n"/>
      <c r="B1695" s="10" t="n"/>
      <c r="C1695" s="11">
        <f>IF(A1695="","",$B$5*TAN(RADIANS(A1695)))</f>
        <v/>
      </c>
      <c r="D1695" s="11">
        <f>IF(C1695="","",C1695*(1+B1695/100))</f>
        <v/>
      </c>
      <c r="E1695" s="11">
        <f>IF(A1695="","",$B$6*TAN(RADIANS(A1695)))</f>
        <v/>
      </c>
    </row>
    <row r="1696">
      <c r="A1696" s="10" t="n"/>
      <c r="B1696" s="10" t="n"/>
      <c r="C1696" s="11">
        <f>IF(A1696="","",$B$5*TAN(RADIANS(A1696)))</f>
        <v/>
      </c>
      <c r="D1696" s="11">
        <f>IF(C1696="","",C1696*(1+B1696/100))</f>
        <v/>
      </c>
      <c r="E1696" s="11">
        <f>IF(A1696="","",$B$6*TAN(RADIANS(A1696)))</f>
        <v/>
      </c>
    </row>
    <row r="1697">
      <c r="A1697" s="10" t="n"/>
      <c r="B1697" s="10" t="n"/>
      <c r="C1697" s="11">
        <f>IF(A1697="","",$B$5*TAN(RADIANS(A1697)))</f>
        <v/>
      </c>
      <c r="D1697" s="11">
        <f>IF(C1697="","",C1697*(1+B1697/100))</f>
        <v/>
      </c>
      <c r="E1697" s="11">
        <f>IF(A1697="","",$B$6*TAN(RADIANS(A1697)))</f>
        <v/>
      </c>
    </row>
    <row r="1698">
      <c r="A1698" s="10" t="n"/>
      <c r="B1698" s="10" t="n"/>
      <c r="C1698" s="11">
        <f>IF(A1698="","",$B$5*TAN(RADIANS(A1698)))</f>
        <v/>
      </c>
      <c r="D1698" s="11">
        <f>IF(C1698="","",C1698*(1+B1698/100))</f>
        <v/>
      </c>
      <c r="E1698" s="11">
        <f>IF(A1698="","",$B$6*TAN(RADIANS(A1698)))</f>
        <v/>
      </c>
    </row>
    <row r="1699">
      <c r="A1699" s="10" t="n"/>
      <c r="B1699" s="10" t="n"/>
      <c r="C1699" s="11">
        <f>IF(A1699="","",$B$5*TAN(RADIANS(A1699)))</f>
        <v/>
      </c>
      <c r="D1699" s="11">
        <f>IF(C1699="","",C1699*(1+B1699/100))</f>
        <v/>
      </c>
      <c r="E1699" s="11">
        <f>IF(A1699="","",$B$6*TAN(RADIANS(A1699)))</f>
        <v/>
      </c>
    </row>
    <row r="1700">
      <c r="A1700" s="10" t="n"/>
      <c r="B1700" s="10" t="n"/>
      <c r="C1700" s="11">
        <f>IF(A1700="","",$B$5*TAN(RADIANS(A1700)))</f>
        <v/>
      </c>
      <c r="D1700" s="11">
        <f>IF(C1700="","",C1700*(1+B1700/100))</f>
        <v/>
      </c>
      <c r="E1700" s="11">
        <f>IF(A1700="","",$B$6*TAN(RADIANS(A1700)))</f>
        <v/>
      </c>
    </row>
    <row r="1701">
      <c r="A1701" s="10" t="n"/>
      <c r="B1701" s="10" t="n"/>
      <c r="C1701" s="11">
        <f>IF(A1701="","",$B$5*TAN(RADIANS(A1701)))</f>
        <v/>
      </c>
      <c r="D1701" s="11">
        <f>IF(C1701="","",C1701*(1+B1701/100))</f>
        <v/>
      </c>
      <c r="E1701" s="11">
        <f>IF(A1701="","",$B$6*TAN(RADIANS(A1701)))</f>
        <v/>
      </c>
    </row>
    <row r="1702">
      <c r="A1702" s="10" t="n"/>
      <c r="B1702" s="10" t="n"/>
      <c r="C1702" s="11">
        <f>IF(A1702="","",$B$5*TAN(RADIANS(A1702)))</f>
        <v/>
      </c>
      <c r="D1702" s="11">
        <f>IF(C1702="","",C1702*(1+B1702/100))</f>
        <v/>
      </c>
      <c r="E1702" s="11">
        <f>IF(A1702="","",$B$6*TAN(RADIANS(A1702)))</f>
        <v/>
      </c>
    </row>
    <row r="1703">
      <c r="A1703" s="10" t="n"/>
      <c r="B1703" s="10" t="n"/>
      <c r="C1703" s="11">
        <f>IF(A1703="","",$B$5*TAN(RADIANS(A1703)))</f>
        <v/>
      </c>
      <c r="D1703" s="11">
        <f>IF(C1703="","",C1703*(1+B1703/100))</f>
        <v/>
      </c>
      <c r="E1703" s="11">
        <f>IF(A1703="","",$B$6*TAN(RADIANS(A1703)))</f>
        <v/>
      </c>
    </row>
    <row r="1704">
      <c r="A1704" s="10" t="n"/>
      <c r="B1704" s="10" t="n"/>
      <c r="C1704" s="11">
        <f>IF(A1704="","",$B$5*TAN(RADIANS(A1704)))</f>
        <v/>
      </c>
      <c r="D1704" s="11">
        <f>IF(C1704="","",C1704*(1+B1704/100))</f>
        <v/>
      </c>
      <c r="E1704" s="11">
        <f>IF(A1704="","",$B$6*TAN(RADIANS(A1704)))</f>
        <v/>
      </c>
    </row>
    <row r="1705">
      <c r="A1705" s="10" t="n"/>
      <c r="B1705" s="10" t="n"/>
      <c r="C1705" s="11">
        <f>IF(A1705="","",$B$5*TAN(RADIANS(A1705)))</f>
        <v/>
      </c>
      <c r="D1705" s="11">
        <f>IF(C1705="","",C1705*(1+B1705/100))</f>
        <v/>
      </c>
      <c r="E1705" s="11">
        <f>IF(A1705="","",$B$6*TAN(RADIANS(A1705)))</f>
        <v/>
      </c>
    </row>
    <row r="1706">
      <c r="A1706" s="10" t="n"/>
      <c r="B1706" s="10" t="n"/>
      <c r="C1706" s="11">
        <f>IF(A1706="","",$B$5*TAN(RADIANS(A1706)))</f>
        <v/>
      </c>
      <c r="D1706" s="11">
        <f>IF(C1706="","",C1706*(1+B1706/100))</f>
        <v/>
      </c>
      <c r="E1706" s="11">
        <f>IF(A1706="","",$B$6*TAN(RADIANS(A1706)))</f>
        <v/>
      </c>
    </row>
    <row r="1707">
      <c r="A1707" s="10" t="n"/>
      <c r="B1707" s="10" t="n"/>
      <c r="C1707" s="11">
        <f>IF(A1707="","",$B$5*TAN(RADIANS(A1707)))</f>
        <v/>
      </c>
      <c r="D1707" s="11">
        <f>IF(C1707="","",C1707*(1+B1707/100))</f>
        <v/>
      </c>
      <c r="E1707" s="11">
        <f>IF(A1707="","",$B$6*TAN(RADIANS(A1707)))</f>
        <v/>
      </c>
    </row>
    <row r="1708">
      <c r="A1708" s="10" t="n"/>
      <c r="B1708" s="10" t="n"/>
      <c r="C1708" s="11">
        <f>IF(A1708="","",$B$5*TAN(RADIANS(A1708)))</f>
        <v/>
      </c>
      <c r="D1708" s="11">
        <f>IF(C1708="","",C1708*(1+B1708/100))</f>
        <v/>
      </c>
      <c r="E1708" s="11">
        <f>IF(A1708="","",$B$6*TAN(RADIANS(A1708)))</f>
        <v/>
      </c>
    </row>
    <row r="1709">
      <c r="A1709" s="10" t="n"/>
      <c r="B1709" s="10" t="n"/>
      <c r="C1709" s="11">
        <f>IF(A1709="","",$B$5*TAN(RADIANS(A1709)))</f>
        <v/>
      </c>
      <c r="D1709" s="11">
        <f>IF(C1709="","",C1709*(1+B1709/100))</f>
        <v/>
      </c>
      <c r="E1709" s="11">
        <f>IF(A1709="","",$B$6*TAN(RADIANS(A1709)))</f>
        <v/>
      </c>
    </row>
    <row r="1710">
      <c r="A1710" s="10" t="n"/>
      <c r="B1710" s="10" t="n"/>
      <c r="C1710" s="11">
        <f>IF(A1710="","",$B$5*TAN(RADIANS(A1710)))</f>
        <v/>
      </c>
      <c r="D1710" s="11">
        <f>IF(C1710="","",C1710*(1+B1710/100))</f>
        <v/>
      </c>
      <c r="E1710" s="11">
        <f>IF(A1710="","",$B$6*TAN(RADIANS(A1710)))</f>
        <v/>
      </c>
    </row>
    <row r="1711">
      <c r="A1711" s="10" t="n"/>
      <c r="B1711" s="10" t="n"/>
      <c r="C1711" s="11">
        <f>IF(A1711="","",$B$5*TAN(RADIANS(A1711)))</f>
        <v/>
      </c>
      <c r="D1711" s="11">
        <f>IF(C1711="","",C1711*(1+B1711/100))</f>
        <v/>
      </c>
      <c r="E1711" s="11">
        <f>IF(A1711="","",$B$6*TAN(RADIANS(A1711)))</f>
        <v/>
      </c>
    </row>
    <row r="1712">
      <c r="A1712" s="10" t="n"/>
      <c r="B1712" s="10" t="n"/>
      <c r="C1712" s="11">
        <f>IF(A1712="","",$B$5*TAN(RADIANS(A1712)))</f>
        <v/>
      </c>
      <c r="D1712" s="11">
        <f>IF(C1712="","",C1712*(1+B1712/100))</f>
        <v/>
      </c>
      <c r="E1712" s="11">
        <f>IF(A1712="","",$B$6*TAN(RADIANS(A1712)))</f>
        <v/>
      </c>
    </row>
    <row r="1713">
      <c r="A1713" s="10" t="n"/>
      <c r="B1713" s="10" t="n"/>
      <c r="C1713" s="11">
        <f>IF(A1713="","",$B$5*TAN(RADIANS(A1713)))</f>
        <v/>
      </c>
      <c r="D1713" s="11">
        <f>IF(C1713="","",C1713*(1+B1713/100))</f>
        <v/>
      </c>
      <c r="E1713" s="11">
        <f>IF(A1713="","",$B$6*TAN(RADIANS(A1713)))</f>
        <v/>
      </c>
    </row>
    <row r="1714">
      <c r="A1714" s="10" t="n"/>
      <c r="B1714" s="10" t="n"/>
      <c r="C1714" s="11">
        <f>IF(A1714="","",$B$5*TAN(RADIANS(A1714)))</f>
        <v/>
      </c>
      <c r="D1714" s="11">
        <f>IF(C1714="","",C1714*(1+B1714/100))</f>
        <v/>
      </c>
      <c r="E1714" s="11">
        <f>IF(A1714="","",$B$6*TAN(RADIANS(A1714)))</f>
        <v/>
      </c>
    </row>
    <row r="1715">
      <c r="A1715" s="10" t="n"/>
      <c r="B1715" s="10" t="n"/>
      <c r="C1715" s="11">
        <f>IF(A1715="","",$B$5*TAN(RADIANS(A1715)))</f>
        <v/>
      </c>
      <c r="D1715" s="11">
        <f>IF(C1715="","",C1715*(1+B1715/100))</f>
        <v/>
      </c>
      <c r="E1715" s="11">
        <f>IF(A1715="","",$B$6*TAN(RADIANS(A1715)))</f>
        <v/>
      </c>
    </row>
    <row r="1716">
      <c r="A1716" s="10" t="n"/>
      <c r="B1716" s="10" t="n"/>
      <c r="C1716" s="11">
        <f>IF(A1716="","",$B$5*TAN(RADIANS(A1716)))</f>
        <v/>
      </c>
      <c r="D1716" s="11">
        <f>IF(C1716="","",C1716*(1+B1716/100))</f>
        <v/>
      </c>
      <c r="E1716" s="11">
        <f>IF(A1716="","",$B$6*TAN(RADIANS(A1716)))</f>
        <v/>
      </c>
    </row>
    <row r="1717">
      <c r="A1717" s="10" t="n"/>
      <c r="B1717" s="10" t="n"/>
      <c r="C1717" s="11">
        <f>IF(A1717="","",$B$5*TAN(RADIANS(A1717)))</f>
        <v/>
      </c>
      <c r="D1717" s="11">
        <f>IF(C1717="","",C1717*(1+B1717/100))</f>
        <v/>
      </c>
      <c r="E1717" s="11">
        <f>IF(A1717="","",$B$6*TAN(RADIANS(A1717)))</f>
        <v/>
      </c>
    </row>
    <row r="1718">
      <c r="A1718" s="10" t="n"/>
      <c r="B1718" s="10" t="n"/>
      <c r="C1718" s="11">
        <f>IF(A1718="","",$B$5*TAN(RADIANS(A1718)))</f>
        <v/>
      </c>
      <c r="D1718" s="11">
        <f>IF(C1718="","",C1718*(1+B1718/100))</f>
        <v/>
      </c>
      <c r="E1718" s="11">
        <f>IF(A1718="","",$B$6*TAN(RADIANS(A1718)))</f>
        <v/>
      </c>
    </row>
    <row r="1719">
      <c r="A1719" s="10" t="n"/>
      <c r="B1719" s="10" t="n"/>
      <c r="C1719" s="11">
        <f>IF(A1719="","",$B$5*TAN(RADIANS(A1719)))</f>
        <v/>
      </c>
      <c r="D1719" s="11">
        <f>IF(C1719="","",C1719*(1+B1719/100))</f>
        <v/>
      </c>
      <c r="E1719" s="11">
        <f>IF(A1719="","",$B$6*TAN(RADIANS(A1719)))</f>
        <v/>
      </c>
    </row>
    <row r="1720">
      <c r="A1720" s="10" t="n"/>
      <c r="B1720" s="10" t="n"/>
      <c r="C1720" s="11">
        <f>IF(A1720="","",$B$5*TAN(RADIANS(A1720)))</f>
        <v/>
      </c>
      <c r="D1720" s="11">
        <f>IF(C1720="","",C1720*(1+B1720/100))</f>
        <v/>
      </c>
      <c r="E1720" s="11">
        <f>IF(A1720="","",$B$6*TAN(RADIANS(A1720)))</f>
        <v/>
      </c>
    </row>
    <row r="1721">
      <c r="A1721" s="10" t="n"/>
      <c r="B1721" s="10" t="n"/>
      <c r="C1721" s="11">
        <f>IF(A1721="","",$B$5*TAN(RADIANS(A1721)))</f>
        <v/>
      </c>
      <c r="D1721" s="11">
        <f>IF(C1721="","",C1721*(1+B1721/100))</f>
        <v/>
      </c>
      <c r="E1721" s="11">
        <f>IF(A1721="","",$B$6*TAN(RADIANS(A1721)))</f>
        <v/>
      </c>
    </row>
    <row r="1722">
      <c r="A1722" s="10" t="n"/>
      <c r="B1722" s="10" t="n"/>
      <c r="C1722" s="11">
        <f>IF(A1722="","",$B$5*TAN(RADIANS(A1722)))</f>
        <v/>
      </c>
      <c r="D1722" s="11">
        <f>IF(C1722="","",C1722*(1+B1722/100))</f>
        <v/>
      </c>
      <c r="E1722" s="11">
        <f>IF(A1722="","",$B$6*TAN(RADIANS(A1722)))</f>
        <v/>
      </c>
    </row>
    <row r="1723">
      <c r="A1723" s="10" t="n"/>
      <c r="B1723" s="10" t="n"/>
      <c r="C1723" s="11">
        <f>IF(A1723="","",$B$5*TAN(RADIANS(A1723)))</f>
        <v/>
      </c>
      <c r="D1723" s="11">
        <f>IF(C1723="","",C1723*(1+B1723/100))</f>
        <v/>
      </c>
      <c r="E1723" s="11">
        <f>IF(A1723="","",$B$6*TAN(RADIANS(A1723)))</f>
        <v/>
      </c>
    </row>
    <row r="1724">
      <c r="A1724" s="10" t="n"/>
      <c r="B1724" s="10" t="n"/>
      <c r="C1724" s="11">
        <f>IF(A1724="","",$B$5*TAN(RADIANS(A1724)))</f>
        <v/>
      </c>
      <c r="D1724" s="11">
        <f>IF(C1724="","",C1724*(1+B1724/100))</f>
        <v/>
      </c>
      <c r="E1724" s="11">
        <f>IF(A1724="","",$B$6*TAN(RADIANS(A1724)))</f>
        <v/>
      </c>
    </row>
    <row r="1725">
      <c r="A1725" s="10" t="n"/>
      <c r="B1725" s="10" t="n"/>
      <c r="C1725" s="11">
        <f>IF(A1725="","",$B$5*TAN(RADIANS(A1725)))</f>
        <v/>
      </c>
      <c r="D1725" s="11">
        <f>IF(C1725="","",C1725*(1+B1725/100))</f>
        <v/>
      </c>
      <c r="E1725" s="11">
        <f>IF(A1725="","",$B$6*TAN(RADIANS(A1725)))</f>
        <v/>
      </c>
    </row>
    <row r="1726">
      <c r="A1726" s="10" t="n"/>
      <c r="B1726" s="10" t="n"/>
      <c r="C1726" s="11">
        <f>IF(A1726="","",$B$5*TAN(RADIANS(A1726)))</f>
        <v/>
      </c>
      <c r="D1726" s="11">
        <f>IF(C1726="","",C1726*(1+B1726/100))</f>
        <v/>
      </c>
      <c r="E1726" s="11">
        <f>IF(A1726="","",$B$6*TAN(RADIANS(A1726)))</f>
        <v/>
      </c>
    </row>
    <row r="1727">
      <c r="A1727" s="10" t="n"/>
      <c r="B1727" s="10" t="n"/>
      <c r="C1727" s="11">
        <f>IF(A1727="","",$B$5*TAN(RADIANS(A1727)))</f>
        <v/>
      </c>
      <c r="D1727" s="11">
        <f>IF(C1727="","",C1727*(1+B1727/100))</f>
        <v/>
      </c>
      <c r="E1727" s="11">
        <f>IF(A1727="","",$B$6*TAN(RADIANS(A1727)))</f>
        <v/>
      </c>
    </row>
    <row r="1728">
      <c r="A1728" s="10" t="n"/>
      <c r="B1728" s="10" t="n"/>
      <c r="C1728" s="11">
        <f>IF(A1728="","",$B$5*TAN(RADIANS(A1728)))</f>
        <v/>
      </c>
      <c r="D1728" s="11">
        <f>IF(C1728="","",C1728*(1+B1728/100))</f>
        <v/>
      </c>
      <c r="E1728" s="11">
        <f>IF(A1728="","",$B$6*TAN(RADIANS(A1728)))</f>
        <v/>
      </c>
    </row>
    <row r="1729">
      <c r="A1729" s="10" t="n"/>
      <c r="B1729" s="10" t="n"/>
      <c r="C1729" s="11">
        <f>IF(A1729="","",$B$5*TAN(RADIANS(A1729)))</f>
        <v/>
      </c>
      <c r="D1729" s="11">
        <f>IF(C1729="","",C1729*(1+B1729/100))</f>
        <v/>
      </c>
      <c r="E1729" s="11">
        <f>IF(A1729="","",$B$6*TAN(RADIANS(A1729)))</f>
        <v/>
      </c>
    </row>
    <row r="1730">
      <c r="A1730" s="10" t="n"/>
      <c r="B1730" s="10" t="n"/>
      <c r="C1730" s="11">
        <f>IF(A1730="","",$B$5*TAN(RADIANS(A1730)))</f>
        <v/>
      </c>
      <c r="D1730" s="11">
        <f>IF(C1730="","",C1730*(1+B1730/100))</f>
        <v/>
      </c>
      <c r="E1730" s="11">
        <f>IF(A1730="","",$B$6*TAN(RADIANS(A1730)))</f>
        <v/>
      </c>
    </row>
    <row r="1731">
      <c r="A1731" s="10" t="n"/>
      <c r="B1731" s="10" t="n"/>
      <c r="C1731" s="11">
        <f>IF(A1731="","",$B$5*TAN(RADIANS(A1731)))</f>
        <v/>
      </c>
      <c r="D1731" s="11">
        <f>IF(C1731="","",C1731*(1+B1731/100))</f>
        <v/>
      </c>
      <c r="E1731" s="11">
        <f>IF(A1731="","",$B$6*TAN(RADIANS(A1731)))</f>
        <v/>
      </c>
    </row>
    <row r="1732">
      <c r="A1732" s="10" t="n"/>
      <c r="B1732" s="10" t="n"/>
      <c r="C1732" s="11">
        <f>IF(A1732="","",$B$5*TAN(RADIANS(A1732)))</f>
        <v/>
      </c>
      <c r="D1732" s="11">
        <f>IF(C1732="","",C1732*(1+B1732/100))</f>
        <v/>
      </c>
      <c r="E1732" s="11">
        <f>IF(A1732="","",$B$6*TAN(RADIANS(A1732)))</f>
        <v/>
      </c>
    </row>
    <row r="1733">
      <c r="A1733" s="10" t="n"/>
      <c r="B1733" s="10" t="n"/>
      <c r="C1733" s="11">
        <f>IF(A1733="","",$B$5*TAN(RADIANS(A1733)))</f>
        <v/>
      </c>
      <c r="D1733" s="11">
        <f>IF(C1733="","",C1733*(1+B1733/100))</f>
        <v/>
      </c>
      <c r="E1733" s="11">
        <f>IF(A1733="","",$B$6*TAN(RADIANS(A1733)))</f>
        <v/>
      </c>
    </row>
    <row r="1734">
      <c r="A1734" s="10" t="n"/>
      <c r="B1734" s="10" t="n"/>
      <c r="C1734" s="11">
        <f>IF(A1734="","",$B$5*TAN(RADIANS(A1734)))</f>
        <v/>
      </c>
      <c r="D1734" s="11">
        <f>IF(C1734="","",C1734*(1+B1734/100))</f>
        <v/>
      </c>
      <c r="E1734" s="11">
        <f>IF(A1734="","",$B$6*TAN(RADIANS(A1734)))</f>
        <v/>
      </c>
    </row>
    <row r="1735">
      <c r="A1735" s="10" t="n"/>
      <c r="B1735" s="10" t="n"/>
      <c r="C1735" s="11">
        <f>IF(A1735="","",$B$5*TAN(RADIANS(A1735)))</f>
        <v/>
      </c>
      <c r="D1735" s="11">
        <f>IF(C1735="","",C1735*(1+B1735/100))</f>
        <v/>
      </c>
      <c r="E1735" s="11">
        <f>IF(A1735="","",$B$6*TAN(RADIANS(A1735)))</f>
        <v/>
      </c>
    </row>
    <row r="1736">
      <c r="A1736" s="10" t="n"/>
      <c r="B1736" s="10" t="n"/>
      <c r="C1736" s="11">
        <f>IF(A1736="","",$B$5*TAN(RADIANS(A1736)))</f>
        <v/>
      </c>
      <c r="D1736" s="11">
        <f>IF(C1736="","",C1736*(1+B1736/100))</f>
        <v/>
      </c>
      <c r="E1736" s="11">
        <f>IF(A1736="","",$B$6*TAN(RADIANS(A1736)))</f>
        <v/>
      </c>
    </row>
    <row r="1737">
      <c r="A1737" s="10" t="n"/>
      <c r="B1737" s="10" t="n"/>
      <c r="C1737" s="11">
        <f>IF(A1737="","",$B$5*TAN(RADIANS(A1737)))</f>
        <v/>
      </c>
      <c r="D1737" s="11">
        <f>IF(C1737="","",C1737*(1+B1737/100))</f>
        <v/>
      </c>
      <c r="E1737" s="11">
        <f>IF(A1737="","",$B$6*TAN(RADIANS(A1737)))</f>
        <v/>
      </c>
    </row>
    <row r="1738">
      <c r="A1738" s="10" t="n"/>
      <c r="B1738" s="10" t="n"/>
      <c r="C1738" s="11">
        <f>IF(A1738="","",$B$5*TAN(RADIANS(A1738)))</f>
        <v/>
      </c>
      <c r="D1738" s="11">
        <f>IF(C1738="","",C1738*(1+B1738/100))</f>
        <v/>
      </c>
      <c r="E1738" s="11">
        <f>IF(A1738="","",$B$6*TAN(RADIANS(A1738)))</f>
        <v/>
      </c>
    </row>
    <row r="1739">
      <c r="A1739" s="10" t="n"/>
      <c r="B1739" s="10" t="n"/>
      <c r="C1739" s="11">
        <f>IF(A1739="","",$B$5*TAN(RADIANS(A1739)))</f>
        <v/>
      </c>
      <c r="D1739" s="11">
        <f>IF(C1739="","",C1739*(1+B1739/100))</f>
        <v/>
      </c>
      <c r="E1739" s="11">
        <f>IF(A1739="","",$B$6*TAN(RADIANS(A1739)))</f>
        <v/>
      </c>
    </row>
    <row r="1740">
      <c r="A1740" s="10" t="n"/>
      <c r="B1740" s="10" t="n"/>
      <c r="C1740" s="11">
        <f>IF(A1740="","",$B$5*TAN(RADIANS(A1740)))</f>
        <v/>
      </c>
      <c r="D1740" s="11">
        <f>IF(C1740="","",C1740*(1+B1740/100))</f>
        <v/>
      </c>
      <c r="E1740" s="11">
        <f>IF(A1740="","",$B$6*TAN(RADIANS(A1740)))</f>
        <v/>
      </c>
    </row>
    <row r="1741">
      <c r="A1741" s="10" t="n"/>
      <c r="B1741" s="10" t="n"/>
      <c r="C1741" s="11">
        <f>IF(A1741="","",$B$5*TAN(RADIANS(A1741)))</f>
        <v/>
      </c>
      <c r="D1741" s="11">
        <f>IF(C1741="","",C1741*(1+B1741/100))</f>
        <v/>
      </c>
      <c r="E1741" s="11">
        <f>IF(A1741="","",$B$6*TAN(RADIANS(A1741)))</f>
        <v/>
      </c>
    </row>
    <row r="1742">
      <c r="A1742" s="10" t="n"/>
      <c r="B1742" s="10" t="n"/>
      <c r="C1742" s="11">
        <f>IF(A1742="","",$B$5*TAN(RADIANS(A1742)))</f>
        <v/>
      </c>
      <c r="D1742" s="11">
        <f>IF(C1742="","",C1742*(1+B1742/100))</f>
        <v/>
      </c>
      <c r="E1742" s="11">
        <f>IF(A1742="","",$B$6*TAN(RADIANS(A1742)))</f>
        <v/>
      </c>
    </row>
    <row r="1743">
      <c r="A1743" s="10" t="n"/>
      <c r="B1743" s="10" t="n"/>
      <c r="C1743" s="11">
        <f>IF(A1743="","",$B$5*TAN(RADIANS(A1743)))</f>
        <v/>
      </c>
      <c r="D1743" s="11">
        <f>IF(C1743="","",C1743*(1+B1743/100))</f>
        <v/>
      </c>
      <c r="E1743" s="11">
        <f>IF(A1743="","",$B$6*TAN(RADIANS(A1743)))</f>
        <v/>
      </c>
    </row>
    <row r="1744">
      <c r="A1744" s="10" t="n"/>
      <c r="B1744" s="10" t="n"/>
      <c r="C1744" s="11">
        <f>IF(A1744="","",$B$5*TAN(RADIANS(A1744)))</f>
        <v/>
      </c>
      <c r="D1744" s="11">
        <f>IF(C1744="","",C1744*(1+B1744/100))</f>
        <v/>
      </c>
      <c r="E1744" s="11">
        <f>IF(A1744="","",$B$6*TAN(RADIANS(A1744)))</f>
        <v/>
      </c>
    </row>
    <row r="1745">
      <c r="A1745" s="10" t="n"/>
      <c r="B1745" s="10" t="n"/>
      <c r="C1745" s="11">
        <f>IF(A1745="","",$B$5*TAN(RADIANS(A1745)))</f>
        <v/>
      </c>
      <c r="D1745" s="11">
        <f>IF(C1745="","",C1745*(1+B1745/100))</f>
        <v/>
      </c>
      <c r="E1745" s="11">
        <f>IF(A1745="","",$B$6*TAN(RADIANS(A1745)))</f>
        <v/>
      </c>
    </row>
    <row r="1746">
      <c r="A1746" s="10" t="n"/>
      <c r="B1746" s="10" t="n"/>
      <c r="C1746" s="11">
        <f>IF(A1746="","",$B$5*TAN(RADIANS(A1746)))</f>
        <v/>
      </c>
      <c r="D1746" s="11">
        <f>IF(C1746="","",C1746*(1+B1746/100))</f>
        <v/>
      </c>
      <c r="E1746" s="11">
        <f>IF(A1746="","",$B$6*TAN(RADIANS(A1746)))</f>
        <v/>
      </c>
    </row>
    <row r="1747">
      <c r="A1747" s="10" t="n"/>
      <c r="B1747" s="10" t="n"/>
      <c r="C1747" s="11">
        <f>IF(A1747="","",$B$5*TAN(RADIANS(A1747)))</f>
        <v/>
      </c>
      <c r="D1747" s="11">
        <f>IF(C1747="","",C1747*(1+B1747/100))</f>
        <v/>
      </c>
      <c r="E1747" s="11">
        <f>IF(A1747="","",$B$6*TAN(RADIANS(A1747)))</f>
        <v/>
      </c>
    </row>
    <row r="1748">
      <c r="A1748" s="10" t="n"/>
      <c r="B1748" s="10" t="n"/>
      <c r="C1748" s="11">
        <f>IF(A1748="","",$B$5*TAN(RADIANS(A1748)))</f>
        <v/>
      </c>
      <c r="D1748" s="11">
        <f>IF(C1748="","",C1748*(1+B1748/100))</f>
        <v/>
      </c>
      <c r="E1748" s="11">
        <f>IF(A1748="","",$B$6*TAN(RADIANS(A1748)))</f>
        <v/>
      </c>
    </row>
    <row r="1749">
      <c r="A1749" s="10" t="n"/>
      <c r="B1749" s="10" t="n"/>
      <c r="C1749" s="11">
        <f>IF(A1749="","",$B$5*TAN(RADIANS(A1749)))</f>
        <v/>
      </c>
      <c r="D1749" s="11">
        <f>IF(C1749="","",C1749*(1+B1749/100))</f>
        <v/>
      </c>
      <c r="E1749" s="11">
        <f>IF(A1749="","",$B$6*TAN(RADIANS(A1749)))</f>
        <v/>
      </c>
    </row>
    <row r="1750">
      <c r="A1750" s="10" t="n"/>
      <c r="B1750" s="10" t="n"/>
      <c r="C1750" s="11">
        <f>IF(A1750="","",$B$5*TAN(RADIANS(A1750)))</f>
        <v/>
      </c>
      <c r="D1750" s="11">
        <f>IF(C1750="","",C1750*(1+B1750/100))</f>
        <v/>
      </c>
      <c r="E1750" s="11">
        <f>IF(A1750="","",$B$6*TAN(RADIANS(A1750)))</f>
        <v/>
      </c>
    </row>
    <row r="1751">
      <c r="A1751" s="10" t="n"/>
      <c r="B1751" s="10" t="n"/>
      <c r="C1751" s="11">
        <f>IF(A1751="","",$B$5*TAN(RADIANS(A1751)))</f>
        <v/>
      </c>
      <c r="D1751" s="11">
        <f>IF(C1751="","",C1751*(1+B1751/100))</f>
        <v/>
      </c>
      <c r="E1751" s="11">
        <f>IF(A1751="","",$B$6*TAN(RADIANS(A1751)))</f>
        <v/>
      </c>
    </row>
    <row r="1752">
      <c r="A1752" s="10" t="n"/>
      <c r="B1752" s="10" t="n"/>
      <c r="C1752" s="11">
        <f>IF(A1752="","",$B$5*TAN(RADIANS(A1752)))</f>
        <v/>
      </c>
      <c r="D1752" s="11">
        <f>IF(C1752="","",C1752*(1+B1752/100))</f>
        <v/>
      </c>
      <c r="E1752" s="11">
        <f>IF(A1752="","",$B$6*TAN(RADIANS(A1752)))</f>
        <v/>
      </c>
    </row>
    <row r="1753">
      <c r="A1753" s="10" t="n"/>
      <c r="B1753" s="10" t="n"/>
      <c r="C1753" s="11">
        <f>IF(A1753="","",$B$5*TAN(RADIANS(A1753)))</f>
        <v/>
      </c>
      <c r="D1753" s="11">
        <f>IF(C1753="","",C1753*(1+B1753/100))</f>
        <v/>
      </c>
      <c r="E1753" s="11">
        <f>IF(A1753="","",$B$6*TAN(RADIANS(A1753)))</f>
        <v/>
      </c>
    </row>
    <row r="1754">
      <c r="A1754" s="10" t="n"/>
      <c r="B1754" s="10" t="n"/>
      <c r="C1754" s="11">
        <f>IF(A1754="","",$B$5*TAN(RADIANS(A1754)))</f>
        <v/>
      </c>
      <c r="D1754" s="11">
        <f>IF(C1754="","",C1754*(1+B1754/100))</f>
        <v/>
      </c>
      <c r="E1754" s="11">
        <f>IF(A1754="","",$B$6*TAN(RADIANS(A1754)))</f>
        <v/>
      </c>
    </row>
    <row r="1755">
      <c r="A1755" s="10" t="n"/>
      <c r="B1755" s="10" t="n"/>
      <c r="C1755" s="11">
        <f>IF(A1755="","",$B$5*TAN(RADIANS(A1755)))</f>
        <v/>
      </c>
      <c r="D1755" s="11">
        <f>IF(C1755="","",C1755*(1+B1755/100))</f>
        <v/>
      </c>
      <c r="E1755" s="11">
        <f>IF(A1755="","",$B$6*TAN(RADIANS(A1755)))</f>
        <v/>
      </c>
    </row>
    <row r="1756">
      <c r="A1756" s="10" t="n"/>
      <c r="B1756" s="10" t="n"/>
      <c r="C1756" s="11">
        <f>IF(A1756="","",$B$5*TAN(RADIANS(A1756)))</f>
        <v/>
      </c>
      <c r="D1756" s="11">
        <f>IF(C1756="","",C1756*(1+B1756/100))</f>
        <v/>
      </c>
      <c r="E1756" s="11">
        <f>IF(A1756="","",$B$6*TAN(RADIANS(A1756)))</f>
        <v/>
      </c>
    </row>
    <row r="1757">
      <c r="A1757" s="10" t="n"/>
      <c r="B1757" s="10" t="n"/>
      <c r="C1757" s="11">
        <f>IF(A1757="","",$B$5*TAN(RADIANS(A1757)))</f>
        <v/>
      </c>
      <c r="D1757" s="11">
        <f>IF(C1757="","",C1757*(1+B1757/100))</f>
        <v/>
      </c>
      <c r="E1757" s="11">
        <f>IF(A1757="","",$B$6*TAN(RADIANS(A1757)))</f>
        <v/>
      </c>
    </row>
    <row r="1758">
      <c r="A1758" s="10" t="n"/>
      <c r="B1758" s="10" t="n"/>
      <c r="C1758" s="11">
        <f>IF(A1758="","",$B$5*TAN(RADIANS(A1758)))</f>
        <v/>
      </c>
      <c r="D1758" s="11">
        <f>IF(C1758="","",C1758*(1+B1758/100))</f>
        <v/>
      </c>
      <c r="E1758" s="11">
        <f>IF(A1758="","",$B$6*TAN(RADIANS(A1758)))</f>
        <v/>
      </c>
    </row>
    <row r="1759">
      <c r="A1759" s="10" t="n"/>
      <c r="B1759" s="10" t="n"/>
      <c r="C1759" s="11">
        <f>IF(A1759="","",$B$5*TAN(RADIANS(A1759)))</f>
        <v/>
      </c>
      <c r="D1759" s="11">
        <f>IF(C1759="","",C1759*(1+B1759/100))</f>
        <v/>
      </c>
      <c r="E1759" s="11">
        <f>IF(A1759="","",$B$6*TAN(RADIANS(A1759)))</f>
        <v/>
      </c>
    </row>
    <row r="1760">
      <c r="A1760" s="10" t="n"/>
      <c r="B1760" s="10" t="n"/>
      <c r="C1760" s="11">
        <f>IF(A1760="","",$B$5*TAN(RADIANS(A1760)))</f>
        <v/>
      </c>
      <c r="D1760" s="11">
        <f>IF(C1760="","",C1760*(1+B1760/100))</f>
        <v/>
      </c>
      <c r="E1760" s="11">
        <f>IF(A1760="","",$B$6*TAN(RADIANS(A1760)))</f>
        <v/>
      </c>
    </row>
    <row r="1761">
      <c r="A1761" s="10" t="n"/>
      <c r="B1761" s="10" t="n"/>
      <c r="C1761" s="11">
        <f>IF(A1761="","",$B$5*TAN(RADIANS(A1761)))</f>
        <v/>
      </c>
      <c r="D1761" s="11">
        <f>IF(C1761="","",C1761*(1+B1761/100))</f>
        <v/>
      </c>
      <c r="E1761" s="11">
        <f>IF(A1761="","",$B$6*TAN(RADIANS(A1761)))</f>
        <v/>
      </c>
    </row>
    <row r="1762">
      <c r="A1762" s="10" t="n"/>
      <c r="B1762" s="10" t="n"/>
      <c r="C1762" s="11">
        <f>IF(A1762="","",$B$5*TAN(RADIANS(A1762)))</f>
        <v/>
      </c>
      <c r="D1762" s="11">
        <f>IF(C1762="","",C1762*(1+B1762/100))</f>
        <v/>
      </c>
      <c r="E1762" s="11">
        <f>IF(A1762="","",$B$6*TAN(RADIANS(A1762)))</f>
        <v/>
      </c>
    </row>
    <row r="1763">
      <c r="A1763" s="10" t="n"/>
      <c r="B1763" s="10" t="n"/>
      <c r="C1763" s="11">
        <f>IF(A1763="","",$B$5*TAN(RADIANS(A1763)))</f>
        <v/>
      </c>
      <c r="D1763" s="11">
        <f>IF(C1763="","",C1763*(1+B1763/100))</f>
        <v/>
      </c>
      <c r="E1763" s="11">
        <f>IF(A1763="","",$B$6*TAN(RADIANS(A1763)))</f>
        <v/>
      </c>
    </row>
    <row r="1764">
      <c r="A1764" s="10" t="n"/>
      <c r="B1764" s="10" t="n"/>
      <c r="C1764" s="11">
        <f>IF(A1764="","",$B$5*TAN(RADIANS(A1764)))</f>
        <v/>
      </c>
      <c r="D1764" s="11">
        <f>IF(C1764="","",C1764*(1+B1764/100))</f>
        <v/>
      </c>
      <c r="E1764" s="11">
        <f>IF(A1764="","",$B$6*TAN(RADIANS(A1764)))</f>
        <v/>
      </c>
    </row>
    <row r="1765">
      <c r="A1765" s="10" t="n"/>
      <c r="B1765" s="10" t="n"/>
      <c r="C1765" s="11">
        <f>IF(A1765="","",$B$5*TAN(RADIANS(A1765)))</f>
        <v/>
      </c>
      <c r="D1765" s="11">
        <f>IF(C1765="","",C1765*(1+B1765/100))</f>
        <v/>
      </c>
      <c r="E1765" s="11">
        <f>IF(A1765="","",$B$6*TAN(RADIANS(A1765)))</f>
        <v/>
      </c>
    </row>
    <row r="1766">
      <c r="A1766" s="10" t="n"/>
      <c r="B1766" s="10" t="n"/>
      <c r="C1766" s="11">
        <f>IF(A1766="","",$B$5*TAN(RADIANS(A1766)))</f>
        <v/>
      </c>
      <c r="D1766" s="11">
        <f>IF(C1766="","",C1766*(1+B1766/100))</f>
        <v/>
      </c>
      <c r="E1766" s="11">
        <f>IF(A1766="","",$B$6*TAN(RADIANS(A1766)))</f>
        <v/>
      </c>
    </row>
    <row r="1767">
      <c r="A1767" s="10" t="n"/>
      <c r="B1767" s="10" t="n"/>
      <c r="C1767" s="11">
        <f>IF(A1767="","",$B$5*TAN(RADIANS(A1767)))</f>
        <v/>
      </c>
      <c r="D1767" s="11">
        <f>IF(C1767="","",C1767*(1+B1767/100))</f>
        <v/>
      </c>
      <c r="E1767" s="11">
        <f>IF(A1767="","",$B$6*TAN(RADIANS(A1767)))</f>
        <v/>
      </c>
    </row>
    <row r="1768">
      <c r="A1768" s="10" t="n"/>
      <c r="B1768" s="10" t="n"/>
      <c r="C1768" s="11">
        <f>IF(A1768="","",$B$5*TAN(RADIANS(A1768)))</f>
        <v/>
      </c>
      <c r="D1768" s="11">
        <f>IF(C1768="","",C1768*(1+B1768/100))</f>
        <v/>
      </c>
      <c r="E1768" s="11">
        <f>IF(A1768="","",$B$6*TAN(RADIANS(A1768)))</f>
        <v/>
      </c>
    </row>
    <row r="1769">
      <c r="A1769" s="10" t="n"/>
      <c r="B1769" s="10" t="n"/>
      <c r="C1769" s="11">
        <f>IF(A1769="","",$B$5*TAN(RADIANS(A1769)))</f>
        <v/>
      </c>
      <c r="D1769" s="11">
        <f>IF(C1769="","",C1769*(1+B1769/100))</f>
        <v/>
      </c>
      <c r="E1769" s="11">
        <f>IF(A1769="","",$B$6*TAN(RADIANS(A1769)))</f>
        <v/>
      </c>
    </row>
    <row r="1770">
      <c r="A1770" s="10" t="n"/>
      <c r="B1770" s="10" t="n"/>
      <c r="C1770" s="11">
        <f>IF(A1770="","",$B$5*TAN(RADIANS(A1770)))</f>
        <v/>
      </c>
      <c r="D1770" s="11">
        <f>IF(C1770="","",C1770*(1+B1770/100))</f>
        <v/>
      </c>
      <c r="E1770" s="11">
        <f>IF(A1770="","",$B$6*TAN(RADIANS(A1770)))</f>
        <v/>
      </c>
    </row>
    <row r="1771">
      <c r="A1771" s="10" t="n"/>
      <c r="B1771" s="10" t="n"/>
      <c r="C1771" s="11">
        <f>IF(A1771="","",$B$5*TAN(RADIANS(A1771)))</f>
        <v/>
      </c>
      <c r="D1771" s="11">
        <f>IF(C1771="","",C1771*(1+B1771/100))</f>
        <v/>
      </c>
      <c r="E1771" s="11">
        <f>IF(A1771="","",$B$6*TAN(RADIANS(A1771)))</f>
        <v/>
      </c>
    </row>
    <row r="1772">
      <c r="A1772" s="10" t="n"/>
      <c r="B1772" s="10" t="n"/>
      <c r="C1772" s="11">
        <f>IF(A1772="","",$B$5*TAN(RADIANS(A1772)))</f>
        <v/>
      </c>
      <c r="D1772" s="11">
        <f>IF(C1772="","",C1772*(1+B1772/100))</f>
        <v/>
      </c>
      <c r="E1772" s="11">
        <f>IF(A1772="","",$B$6*TAN(RADIANS(A1772)))</f>
        <v/>
      </c>
    </row>
    <row r="1773">
      <c r="A1773" s="10" t="n"/>
      <c r="B1773" s="10" t="n"/>
      <c r="C1773" s="11">
        <f>IF(A1773="","",$B$5*TAN(RADIANS(A1773)))</f>
        <v/>
      </c>
      <c r="D1773" s="11">
        <f>IF(C1773="","",C1773*(1+B1773/100))</f>
        <v/>
      </c>
      <c r="E1773" s="11">
        <f>IF(A1773="","",$B$6*TAN(RADIANS(A1773)))</f>
        <v/>
      </c>
    </row>
    <row r="1774">
      <c r="A1774" s="10" t="n"/>
      <c r="B1774" s="10" t="n"/>
      <c r="C1774" s="11">
        <f>IF(A1774="","",$B$5*TAN(RADIANS(A1774)))</f>
        <v/>
      </c>
      <c r="D1774" s="11">
        <f>IF(C1774="","",C1774*(1+B1774/100))</f>
        <v/>
      </c>
      <c r="E1774" s="11">
        <f>IF(A1774="","",$B$6*TAN(RADIANS(A1774)))</f>
        <v/>
      </c>
    </row>
    <row r="1775">
      <c r="A1775" s="10" t="n"/>
      <c r="B1775" s="10" t="n"/>
      <c r="C1775" s="11">
        <f>IF(A1775="","",$B$5*TAN(RADIANS(A1775)))</f>
        <v/>
      </c>
      <c r="D1775" s="11">
        <f>IF(C1775="","",C1775*(1+B1775/100))</f>
        <v/>
      </c>
      <c r="E1775" s="11">
        <f>IF(A1775="","",$B$6*TAN(RADIANS(A1775)))</f>
        <v/>
      </c>
    </row>
    <row r="1776">
      <c r="A1776" s="10" t="n"/>
      <c r="B1776" s="10" t="n"/>
      <c r="C1776" s="11">
        <f>IF(A1776="","",$B$5*TAN(RADIANS(A1776)))</f>
        <v/>
      </c>
      <c r="D1776" s="11">
        <f>IF(C1776="","",C1776*(1+B1776/100))</f>
        <v/>
      </c>
      <c r="E1776" s="11">
        <f>IF(A1776="","",$B$6*TAN(RADIANS(A1776)))</f>
        <v/>
      </c>
    </row>
    <row r="1777">
      <c r="A1777" s="10" t="n"/>
      <c r="B1777" s="10" t="n"/>
      <c r="C1777" s="11">
        <f>IF(A1777="","",$B$5*TAN(RADIANS(A1777)))</f>
        <v/>
      </c>
      <c r="D1777" s="11">
        <f>IF(C1777="","",C1777*(1+B1777/100))</f>
        <v/>
      </c>
      <c r="E1777" s="11">
        <f>IF(A1777="","",$B$6*TAN(RADIANS(A1777)))</f>
        <v/>
      </c>
    </row>
    <row r="1778">
      <c r="A1778" s="10" t="n"/>
      <c r="B1778" s="10" t="n"/>
      <c r="C1778" s="11">
        <f>IF(A1778="","",$B$5*TAN(RADIANS(A1778)))</f>
        <v/>
      </c>
      <c r="D1778" s="11">
        <f>IF(C1778="","",C1778*(1+B1778/100))</f>
        <v/>
      </c>
      <c r="E1778" s="11">
        <f>IF(A1778="","",$B$6*TAN(RADIANS(A1778)))</f>
        <v/>
      </c>
    </row>
    <row r="1779">
      <c r="A1779" s="10" t="n"/>
      <c r="B1779" s="10" t="n"/>
      <c r="C1779" s="11">
        <f>IF(A1779="","",$B$5*TAN(RADIANS(A1779)))</f>
        <v/>
      </c>
      <c r="D1779" s="11">
        <f>IF(C1779="","",C1779*(1+B1779/100))</f>
        <v/>
      </c>
      <c r="E1779" s="11">
        <f>IF(A1779="","",$B$6*TAN(RADIANS(A1779)))</f>
        <v/>
      </c>
    </row>
    <row r="1780">
      <c r="A1780" s="10" t="n"/>
      <c r="B1780" s="10" t="n"/>
      <c r="C1780" s="11">
        <f>IF(A1780="","",$B$5*TAN(RADIANS(A1780)))</f>
        <v/>
      </c>
      <c r="D1780" s="11">
        <f>IF(C1780="","",C1780*(1+B1780/100))</f>
        <v/>
      </c>
      <c r="E1780" s="11">
        <f>IF(A1780="","",$B$6*TAN(RADIANS(A1780)))</f>
        <v/>
      </c>
    </row>
    <row r="1781">
      <c r="A1781" s="10" t="n"/>
      <c r="B1781" s="10" t="n"/>
      <c r="C1781" s="11">
        <f>IF(A1781="","",$B$5*TAN(RADIANS(A1781)))</f>
        <v/>
      </c>
      <c r="D1781" s="11">
        <f>IF(C1781="","",C1781*(1+B1781/100))</f>
        <v/>
      </c>
      <c r="E1781" s="11">
        <f>IF(A1781="","",$B$6*TAN(RADIANS(A1781)))</f>
        <v/>
      </c>
    </row>
    <row r="1782">
      <c r="A1782" s="10" t="n"/>
      <c r="B1782" s="10" t="n"/>
      <c r="C1782" s="11">
        <f>IF(A1782="","",$B$5*TAN(RADIANS(A1782)))</f>
        <v/>
      </c>
      <c r="D1782" s="11">
        <f>IF(C1782="","",C1782*(1+B1782/100))</f>
        <v/>
      </c>
      <c r="E1782" s="11">
        <f>IF(A1782="","",$B$6*TAN(RADIANS(A1782)))</f>
        <v/>
      </c>
    </row>
    <row r="1783">
      <c r="A1783" s="10" t="n"/>
      <c r="B1783" s="10" t="n"/>
      <c r="C1783" s="11">
        <f>IF(A1783="","",$B$5*TAN(RADIANS(A1783)))</f>
        <v/>
      </c>
      <c r="D1783" s="11">
        <f>IF(C1783="","",C1783*(1+B1783/100))</f>
        <v/>
      </c>
      <c r="E1783" s="11">
        <f>IF(A1783="","",$B$6*TAN(RADIANS(A1783)))</f>
        <v/>
      </c>
    </row>
    <row r="1784">
      <c r="A1784" s="10" t="n"/>
      <c r="B1784" s="10" t="n"/>
      <c r="C1784" s="11">
        <f>IF(A1784="","",$B$5*TAN(RADIANS(A1784)))</f>
        <v/>
      </c>
      <c r="D1784" s="11">
        <f>IF(C1784="","",C1784*(1+B1784/100))</f>
        <v/>
      </c>
      <c r="E1784" s="11">
        <f>IF(A1784="","",$B$6*TAN(RADIANS(A1784)))</f>
        <v/>
      </c>
    </row>
    <row r="1785">
      <c r="A1785" s="10" t="n"/>
      <c r="B1785" s="10" t="n"/>
      <c r="C1785" s="11">
        <f>IF(A1785="","",$B$5*TAN(RADIANS(A1785)))</f>
        <v/>
      </c>
      <c r="D1785" s="11">
        <f>IF(C1785="","",C1785*(1+B1785/100))</f>
        <v/>
      </c>
      <c r="E1785" s="11">
        <f>IF(A1785="","",$B$6*TAN(RADIANS(A1785)))</f>
        <v/>
      </c>
    </row>
    <row r="1786">
      <c r="A1786" s="10" t="n"/>
      <c r="B1786" s="10" t="n"/>
      <c r="C1786" s="11">
        <f>IF(A1786="","",$B$5*TAN(RADIANS(A1786)))</f>
        <v/>
      </c>
      <c r="D1786" s="11">
        <f>IF(C1786="","",C1786*(1+B1786/100))</f>
        <v/>
      </c>
      <c r="E1786" s="11">
        <f>IF(A1786="","",$B$6*TAN(RADIANS(A1786)))</f>
        <v/>
      </c>
    </row>
    <row r="1787">
      <c r="A1787" s="10" t="n"/>
      <c r="B1787" s="10" t="n"/>
      <c r="C1787" s="11">
        <f>IF(A1787="","",$B$5*TAN(RADIANS(A1787)))</f>
        <v/>
      </c>
      <c r="D1787" s="11">
        <f>IF(C1787="","",C1787*(1+B1787/100))</f>
        <v/>
      </c>
      <c r="E1787" s="11">
        <f>IF(A1787="","",$B$6*TAN(RADIANS(A1787)))</f>
        <v/>
      </c>
    </row>
    <row r="1788">
      <c r="A1788" s="10" t="n"/>
      <c r="B1788" s="10" t="n"/>
      <c r="C1788" s="11">
        <f>IF(A1788="","",$B$5*TAN(RADIANS(A1788)))</f>
        <v/>
      </c>
      <c r="D1788" s="11">
        <f>IF(C1788="","",C1788*(1+B1788/100))</f>
        <v/>
      </c>
      <c r="E1788" s="11">
        <f>IF(A1788="","",$B$6*TAN(RADIANS(A1788)))</f>
        <v/>
      </c>
    </row>
    <row r="1789">
      <c r="A1789" s="10" t="n"/>
      <c r="B1789" s="10" t="n"/>
      <c r="C1789" s="11">
        <f>IF(A1789="","",$B$5*TAN(RADIANS(A1789)))</f>
        <v/>
      </c>
      <c r="D1789" s="11">
        <f>IF(C1789="","",C1789*(1+B1789/100))</f>
        <v/>
      </c>
      <c r="E1789" s="11">
        <f>IF(A1789="","",$B$6*TAN(RADIANS(A1789)))</f>
        <v/>
      </c>
    </row>
    <row r="1790">
      <c r="A1790" s="10" t="n"/>
      <c r="B1790" s="10" t="n"/>
      <c r="C1790" s="11">
        <f>IF(A1790="","",$B$5*TAN(RADIANS(A1790)))</f>
        <v/>
      </c>
      <c r="D1790" s="11">
        <f>IF(C1790="","",C1790*(1+B1790/100))</f>
        <v/>
      </c>
      <c r="E1790" s="11">
        <f>IF(A1790="","",$B$6*TAN(RADIANS(A1790)))</f>
        <v/>
      </c>
    </row>
    <row r="1791">
      <c r="A1791" s="10" t="n"/>
      <c r="B1791" s="10" t="n"/>
      <c r="C1791" s="11">
        <f>IF(A1791="","",$B$5*TAN(RADIANS(A1791)))</f>
        <v/>
      </c>
      <c r="D1791" s="11">
        <f>IF(C1791="","",C1791*(1+B1791/100))</f>
        <v/>
      </c>
      <c r="E1791" s="11">
        <f>IF(A1791="","",$B$6*TAN(RADIANS(A1791)))</f>
        <v/>
      </c>
    </row>
    <row r="1792">
      <c r="A1792" s="10" t="n"/>
      <c r="B1792" s="10" t="n"/>
      <c r="C1792" s="11">
        <f>IF(A1792="","",$B$5*TAN(RADIANS(A1792)))</f>
        <v/>
      </c>
      <c r="D1792" s="11">
        <f>IF(C1792="","",C1792*(1+B1792/100))</f>
        <v/>
      </c>
      <c r="E1792" s="11">
        <f>IF(A1792="","",$B$6*TAN(RADIANS(A1792)))</f>
        <v/>
      </c>
    </row>
    <row r="1793">
      <c r="A1793" s="10" t="n"/>
      <c r="B1793" s="10" t="n"/>
      <c r="C1793" s="11">
        <f>IF(A1793="","",$B$5*TAN(RADIANS(A1793)))</f>
        <v/>
      </c>
      <c r="D1793" s="11">
        <f>IF(C1793="","",C1793*(1+B1793/100))</f>
        <v/>
      </c>
      <c r="E1793" s="11">
        <f>IF(A1793="","",$B$6*TAN(RADIANS(A1793)))</f>
        <v/>
      </c>
    </row>
    <row r="1794">
      <c r="A1794" s="10" t="n"/>
      <c r="B1794" s="10" t="n"/>
      <c r="C1794" s="11">
        <f>IF(A1794="","",$B$5*TAN(RADIANS(A1794)))</f>
        <v/>
      </c>
      <c r="D1794" s="11">
        <f>IF(C1794="","",C1794*(1+B1794/100))</f>
        <v/>
      </c>
      <c r="E1794" s="11">
        <f>IF(A1794="","",$B$6*TAN(RADIANS(A1794)))</f>
        <v/>
      </c>
    </row>
    <row r="1795">
      <c r="A1795" s="10" t="n"/>
      <c r="B1795" s="10" t="n"/>
      <c r="C1795" s="11">
        <f>IF(A1795="","",$B$5*TAN(RADIANS(A1795)))</f>
        <v/>
      </c>
      <c r="D1795" s="11">
        <f>IF(C1795="","",C1795*(1+B1795/100))</f>
        <v/>
      </c>
      <c r="E1795" s="11">
        <f>IF(A1795="","",$B$6*TAN(RADIANS(A1795)))</f>
        <v/>
      </c>
    </row>
    <row r="1796">
      <c r="A1796" s="10" t="n"/>
      <c r="B1796" s="10" t="n"/>
      <c r="C1796" s="11">
        <f>IF(A1796="","",$B$5*TAN(RADIANS(A1796)))</f>
        <v/>
      </c>
      <c r="D1796" s="11">
        <f>IF(C1796="","",C1796*(1+B1796/100))</f>
        <v/>
      </c>
      <c r="E1796" s="11">
        <f>IF(A1796="","",$B$6*TAN(RADIANS(A1796)))</f>
        <v/>
      </c>
    </row>
    <row r="1797">
      <c r="A1797" s="10" t="n"/>
      <c r="B1797" s="10" t="n"/>
      <c r="C1797" s="11">
        <f>IF(A1797="","",$B$5*TAN(RADIANS(A1797)))</f>
        <v/>
      </c>
      <c r="D1797" s="11">
        <f>IF(C1797="","",C1797*(1+B1797/100))</f>
        <v/>
      </c>
      <c r="E1797" s="11">
        <f>IF(A1797="","",$B$6*TAN(RADIANS(A1797)))</f>
        <v/>
      </c>
    </row>
    <row r="1798">
      <c r="A1798" s="10" t="n"/>
      <c r="B1798" s="10" t="n"/>
      <c r="C1798" s="11">
        <f>IF(A1798="","",$B$5*TAN(RADIANS(A1798)))</f>
        <v/>
      </c>
      <c r="D1798" s="11">
        <f>IF(C1798="","",C1798*(1+B1798/100))</f>
        <v/>
      </c>
      <c r="E1798" s="11">
        <f>IF(A1798="","",$B$6*TAN(RADIANS(A1798)))</f>
        <v/>
      </c>
    </row>
    <row r="1799">
      <c r="A1799" s="10" t="n"/>
      <c r="B1799" s="10" t="n"/>
      <c r="C1799" s="11">
        <f>IF(A1799="","",$B$5*TAN(RADIANS(A1799)))</f>
        <v/>
      </c>
      <c r="D1799" s="11">
        <f>IF(C1799="","",C1799*(1+B1799/100))</f>
        <v/>
      </c>
      <c r="E1799" s="11">
        <f>IF(A1799="","",$B$6*TAN(RADIANS(A1799)))</f>
        <v/>
      </c>
    </row>
    <row r="1800">
      <c r="A1800" s="10" t="n"/>
      <c r="B1800" s="10" t="n"/>
      <c r="C1800" s="11">
        <f>IF(A1800="","",$B$5*TAN(RADIANS(A1800)))</f>
        <v/>
      </c>
      <c r="D1800" s="11">
        <f>IF(C1800="","",C1800*(1+B1800/100))</f>
        <v/>
      </c>
      <c r="E1800" s="11">
        <f>IF(A1800="","",$B$6*TAN(RADIANS(A1800)))</f>
        <v/>
      </c>
    </row>
    <row r="1801">
      <c r="A1801" s="10" t="n"/>
      <c r="B1801" s="10" t="n"/>
      <c r="C1801" s="11">
        <f>IF(A1801="","",$B$5*TAN(RADIANS(A1801)))</f>
        <v/>
      </c>
      <c r="D1801" s="11">
        <f>IF(C1801="","",C1801*(1+B1801/100))</f>
        <v/>
      </c>
      <c r="E1801" s="11">
        <f>IF(A1801="","",$B$6*TAN(RADIANS(A1801)))</f>
        <v/>
      </c>
    </row>
    <row r="1802">
      <c r="A1802" s="10" t="n"/>
      <c r="B1802" s="10" t="n"/>
      <c r="C1802" s="11">
        <f>IF(A1802="","",$B$5*TAN(RADIANS(A1802)))</f>
        <v/>
      </c>
      <c r="D1802" s="11">
        <f>IF(C1802="","",C1802*(1+B1802/100))</f>
        <v/>
      </c>
      <c r="E1802" s="11">
        <f>IF(A1802="","",$B$6*TAN(RADIANS(A1802)))</f>
        <v/>
      </c>
    </row>
    <row r="1803">
      <c r="A1803" s="10" t="n"/>
      <c r="B1803" s="10" t="n"/>
      <c r="C1803" s="11">
        <f>IF(A1803="","",$B$5*TAN(RADIANS(A1803)))</f>
        <v/>
      </c>
      <c r="D1803" s="11">
        <f>IF(C1803="","",C1803*(1+B1803/100))</f>
        <v/>
      </c>
      <c r="E1803" s="11">
        <f>IF(A1803="","",$B$6*TAN(RADIANS(A1803)))</f>
        <v/>
      </c>
    </row>
    <row r="1804">
      <c r="A1804" s="10" t="n"/>
      <c r="B1804" s="10" t="n"/>
      <c r="C1804" s="11">
        <f>IF(A1804="","",$B$5*TAN(RADIANS(A1804)))</f>
        <v/>
      </c>
      <c r="D1804" s="11">
        <f>IF(C1804="","",C1804*(1+B1804/100))</f>
        <v/>
      </c>
      <c r="E1804" s="11">
        <f>IF(A1804="","",$B$6*TAN(RADIANS(A1804)))</f>
        <v/>
      </c>
    </row>
    <row r="1805">
      <c r="A1805" s="10" t="n"/>
      <c r="B1805" s="10" t="n"/>
      <c r="C1805" s="11">
        <f>IF(A1805="","",$B$5*TAN(RADIANS(A1805)))</f>
        <v/>
      </c>
      <c r="D1805" s="11">
        <f>IF(C1805="","",C1805*(1+B1805/100))</f>
        <v/>
      </c>
      <c r="E1805" s="11">
        <f>IF(A1805="","",$B$6*TAN(RADIANS(A1805)))</f>
        <v/>
      </c>
    </row>
    <row r="1806">
      <c r="A1806" s="10" t="n"/>
      <c r="B1806" s="10" t="n"/>
      <c r="C1806" s="11">
        <f>IF(A1806="","",$B$5*TAN(RADIANS(A1806)))</f>
        <v/>
      </c>
      <c r="D1806" s="11">
        <f>IF(C1806="","",C1806*(1+B1806/100))</f>
        <v/>
      </c>
      <c r="E1806" s="11">
        <f>IF(A1806="","",$B$6*TAN(RADIANS(A1806)))</f>
        <v/>
      </c>
    </row>
    <row r="1807">
      <c r="A1807" s="10" t="n"/>
      <c r="B1807" s="10" t="n"/>
      <c r="C1807" s="11">
        <f>IF(A1807="","",$B$5*TAN(RADIANS(A1807)))</f>
        <v/>
      </c>
      <c r="D1807" s="11">
        <f>IF(C1807="","",C1807*(1+B1807/100))</f>
        <v/>
      </c>
      <c r="E1807" s="11">
        <f>IF(A1807="","",$B$6*TAN(RADIANS(A1807)))</f>
        <v/>
      </c>
    </row>
    <row r="1808">
      <c r="A1808" s="10" t="n"/>
      <c r="B1808" s="10" t="n"/>
      <c r="C1808" s="11">
        <f>IF(A1808="","",$B$5*TAN(RADIANS(A1808)))</f>
        <v/>
      </c>
      <c r="D1808" s="11">
        <f>IF(C1808="","",C1808*(1+B1808/100))</f>
        <v/>
      </c>
      <c r="E1808" s="11">
        <f>IF(A1808="","",$B$6*TAN(RADIANS(A1808)))</f>
        <v/>
      </c>
    </row>
    <row r="1809">
      <c r="A1809" s="10" t="n"/>
      <c r="B1809" s="10" t="n"/>
      <c r="C1809" s="11">
        <f>IF(A1809="","",$B$5*TAN(RADIANS(A1809)))</f>
        <v/>
      </c>
      <c r="D1809" s="11">
        <f>IF(C1809="","",C1809*(1+B1809/100))</f>
        <v/>
      </c>
      <c r="E1809" s="11">
        <f>IF(A1809="","",$B$6*TAN(RADIANS(A1809)))</f>
        <v/>
      </c>
    </row>
    <row r="1810">
      <c r="A1810" s="10" t="n"/>
      <c r="B1810" s="10" t="n"/>
      <c r="C1810" s="11">
        <f>IF(A1810="","",$B$5*TAN(RADIANS(A1810)))</f>
        <v/>
      </c>
      <c r="D1810" s="11">
        <f>IF(C1810="","",C1810*(1+B1810/100))</f>
        <v/>
      </c>
      <c r="E1810" s="11">
        <f>IF(A1810="","",$B$6*TAN(RADIANS(A1810)))</f>
        <v/>
      </c>
    </row>
    <row r="1811">
      <c r="A1811" s="10" t="n"/>
      <c r="B1811" s="10" t="n"/>
      <c r="C1811" s="11">
        <f>IF(A1811="","",$B$5*TAN(RADIANS(A1811)))</f>
        <v/>
      </c>
      <c r="D1811" s="11">
        <f>IF(C1811="","",C1811*(1+B1811/100))</f>
        <v/>
      </c>
      <c r="E1811" s="11">
        <f>IF(A1811="","",$B$6*TAN(RADIANS(A1811)))</f>
        <v/>
      </c>
    </row>
    <row r="1812">
      <c r="A1812" s="10" t="n"/>
      <c r="B1812" s="10" t="n"/>
      <c r="C1812" s="11">
        <f>IF(A1812="","",$B$5*TAN(RADIANS(A1812)))</f>
        <v/>
      </c>
      <c r="D1812" s="11">
        <f>IF(C1812="","",C1812*(1+B1812/100))</f>
        <v/>
      </c>
      <c r="E1812" s="11">
        <f>IF(A1812="","",$B$6*TAN(RADIANS(A1812)))</f>
        <v/>
      </c>
    </row>
    <row r="1813">
      <c r="A1813" s="10" t="n"/>
      <c r="B1813" s="10" t="n"/>
      <c r="C1813" s="11">
        <f>IF(A1813="","",$B$5*TAN(RADIANS(A1813)))</f>
        <v/>
      </c>
      <c r="D1813" s="11">
        <f>IF(C1813="","",C1813*(1+B1813/100))</f>
        <v/>
      </c>
      <c r="E1813" s="11">
        <f>IF(A1813="","",$B$6*TAN(RADIANS(A1813)))</f>
        <v/>
      </c>
    </row>
    <row r="1814">
      <c r="A1814" s="10" t="n"/>
      <c r="B1814" s="10" t="n"/>
      <c r="C1814" s="11">
        <f>IF(A1814="","",$B$5*TAN(RADIANS(A1814)))</f>
        <v/>
      </c>
      <c r="D1814" s="11">
        <f>IF(C1814="","",C1814*(1+B1814/100))</f>
        <v/>
      </c>
      <c r="E1814" s="11">
        <f>IF(A1814="","",$B$6*TAN(RADIANS(A1814)))</f>
        <v/>
      </c>
    </row>
    <row r="1815">
      <c r="A1815" s="10" t="n"/>
      <c r="B1815" s="10" t="n"/>
      <c r="C1815" s="11">
        <f>IF(A1815="","",$B$5*TAN(RADIANS(A1815)))</f>
        <v/>
      </c>
      <c r="D1815" s="11">
        <f>IF(C1815="","",C1815*(1+B1815/100))</f>
        <v/>
      </c>
      <c r="E1815" s="11">
        <f>IF(A1815="","",$B$6*TAN(RADIANS(A1815)))</f>
        <v/>
      </c>
    </row>
    <row r="1816">
      <c r="A1816" s="10" t="n"/>
      <c r="B1816" s="10" t="n"/>
      <c r="C1816" s="11">
        <f>IF(A1816="","",$B$5*TAN(RADIANS(A1816)))</f>
        <v/>
      </c>
      <c r="D1816" s="11">
        <f>IF(C1816="","",C1816*(1+B1816/100))</f>
        <v/>
      </c>
      <c r="E1816" s="11">
        <f>IF(A1816="","",$B$6*TAN(RADIANS(A1816)))</f>
        <v/>
      </c>
    </row>
    <row r="1817">
      <c r="A1817" s="10" t="n"/>
      <c r="B1817" s="10" t="n"/>
      <c r="C1817" s="11">
        <f>IF(A1817="","",$B$5*TAN(RADIANS(A1817)))</f>
        <v/>
      </c>
      <c r="D1817" s="11">
        <f>IF(C1817="","",C1817*(1+B1817/100))</f>
        <v/>
      </c>
      <c r="E1817" s="11">
        <f>IF(A1817="","",$B$6*TAN(RADIANS(A1817)))</f>
        <v/>
      </c>
    </row>
    <row r="1818">
      <c r="A1818" s="10" t="n"/>
      <c r="B1818" s="10" t="n"/>
      <c r="C1818" s="11">
        <f>IF(A1818="","",$B$5*TAN(RADIANS(A1818)))</f>
        <v/>
      </c>
      <c r="D1818" s="11">
        <f>IF(C1818="","",C1818*(1+B1818/100))</f>
        <v/>
      </c>
      <c r="E1818" s="11">
        <f>IF(A1818="","",$B$6*TAN(RADIANS(A1818)))</f>
        <v/>
      </c>
    </row>
    <row r="1819">
      <c r="A1819" s="10" t="n"/>
      <c r="B1819" s="10" t="n"/>
      <c r="C1819" s="11">
        <f>IF(A1819="","",$B$5*TAN(RADIANS(A1819)))</f>
        <v/>
      </c>
      <c r="D1819" s="11">
        <f>IF(C1819="","",C1819*(1+B1819/100))</f>
        <v/>
      </c>
      <c r="E1819" s="11">
        <f>IF(A1819="","",$B$6*TAN(RADIANS(A1819)))</f>
        <v/>
      </c>
    </row>
    <row r="1820">
      <c r="A1820" s="10" t="n"/>
      <c r="B1820" s="10" t="n"/>
      <c r="C1820" s="11">
        <f>IF(A1820="","",$B$5*TAN(RADIANS(A1820)))</f>
        <v/>
      </c>
      <c r="D1820" s="11">
        <f>IF(C1820="","",C1820*(1+B1820/100))</f>
        <v/>
      </c>
      <c r="E1820" s="11">
        <f>IF(A1820="","",$B$6*TAN(RADIANS(A1820)))</f>
        <v/>
      </c>
    </row>
    <row r="1821">
      <c r="A1821" s="10" t="n"/>
      <c r="B1821" s="10" t="n"/>
      <c r="C1821" s="11">
        <f>IF(A1821="","",$B$5*TAN(RADIANS(A1821)))</f>
        <v/>
      </c>
      <c r="D1821" s="11">
        <f>IF(C1821="","",C1821*(1+B1821/100))</f>
        <v/>
      </c>
      <c r="E1821" s="11">
        <f>IF(A1821="","",$B$6*TAN(RADIANS(A1821)))</f>
        <v/>
      </c>
    </row>
    <row r="1822">
      <c r="A1822" s="10" t="n"/>
      <c r="B1822" s="10" t="n"/>
      <c r="C1822" s="11">
        <f>IF(A1822="","",$B$5*TAN(RADIANS(A1822)))</f>
        <v/>
      </c>
      <c r="D1822" s="11">
        <f>IF(C1822="","",C1822*(1+B1822/100))</f>
        <v/>
      </c>
      <c r="E1822" s="11">
        <f>IF(A1822="","",$B$6*TAN(RADIANS(A1822)))</f>
        <v/>
      </c>
    </row>
    <row r="1823">
      <c r="A1823" s="10" t="n"/>
      <c r="B1823" s="10" t="n"/>
      <c r="C1823" s="11">
        <f>IF(A1823="","",$B$5*TAN(RADIANS(A1823)))</f>
        <v/>
      </c>
      <c r="D1823" s="11">
        <f>IF(C1823="","",C1823*(1+B1823/100))</f>
        <v/>
      </c>
      <c r="E1823" s="11">
        <f>IF(A1823="","",$B$6*TAN(RADIANS(A1823)))</f>
        <v/>
      </c>
    </row>
    <row r="1824">
      <c r="A1824" s="10" t="n"/>
      <c r="B1824" s="10" t="n"/>
      <c r="C1824" s="11">
        <f>IF(A1824="","",$B$5*TAN(RADIANS(A1824)))</f>
        <v/>
      </c>
      <c r="D1824" s="11">
        <f>IF(C1824="","",C1824*(1+B1824/100))</f>
        <v/>
      </c>
      <c r="E1824" s="11">
        <f>IF(A1824="","",$B$6*TAN(RADIANS(A1824)))</f>
        <v/>
      </c>
    </row>
    <row r="1825">
      <c r="A1825" s="10" t="n"/>
      <c r="B1825" s="10" t="n"/>
      <c r="C1825" s="11">
        <f>IF(A1825="","",$B$5*TAN(RADIANS(A1825)))</f>
        <v/>
      </c>
      <c r="D1825" s="11">
        <f>IF(C1825="","",C1825*(1+B1825/100))</f>
        <v/>
      </c>
      <c r="E1825" s="11">
        <f>IF(A1825="","",$B$6*TAN(RADIANS(A1825)))</f>
        <v/>
      </c>
    </row>
    <row r="1826">
      <c r="A1826" s="10" t="n"/>
      <c r="B1826" s="10" t="n"/>
      <c r="C1826" s="11">
        <f>IF(A1826="","",$B$5*TAN(RADIANS(A1826)))</f>
        <v/>
      </c>
      <c r="D1826" s="11">
        <f>IF(C1826="","",C1826*(1+B1826/100))</f>
        <v/>
      </c>
      <c r="E1826" s="11">
        <f>IF(A1826="","",$B$6*TAN(RADIANS(A1826)))</f>
        <v/>
      </c>
    </row>
    <row r="1827">
      <c r="A1827" s="10" t="n"/>
      <c r="B1827" s="10" t="n"/>
      <c r="C1827" s="11">
        <f>IF(A1827="","",$B$5*TAN(RADIANS(A1827)))</f>
        <v/>
      </c>
      <c r="D1827" s="11">
        <f>IF(C1827="","",C1827*(1+B1827/100))</f>
        <v/>
      </c>
      <c r="E1827" s="11">
        <f>IF(A1827="","",$B$6*TAN(RADIANS(A1827)))</f>
        <v/>
      </c>
    </row>
    <row r="1828">
      <c r="A1828" s="10" t="n"/>
      <c r="B1828" s="10" t="n"/>
      <c r="C1828" s="11">
        <f>IF(A1828="","",$B$5*TAN(RADIANS(A1828)))</f>
        <v/>
      </c>
      <c r="D1828" s="11">
        <f>IF(C1828="","",C1828*(1+B1828/100))</f>
        <v/>
      </c>
      <c r="E1828" s="11">
        <f>IF(A1828="","",$B$6*TAN(RADIANS(A1828)))</f>
        <v/>
      </c>
    </row>
    <row r="1829">
      <c r="A1829" s="10" t="n"/>
      <c r="B1829" s="10" t="n"/>
      <c r="C1829" s="11">
        <f>IF(A1829="","",$B$5*TAN(RADIANS(A1829)))</f>
        <v/>
      </c>
      <c r="D1829" s="11">
        <f>IF(C1829="","",C1829*(1+B1829/100))</f>
        <v/>
      </c>
      <c r="E1829" s="11">
        <f>IF(A1829="","",$B$6*TAN(RADIANS(A1829)))</f>
        <v/>
      </c>
    </row>
    <row r="1830">
      <c r="A1830" s="10" t="n"/>
      <c r="B1830" s="10" t="n"/>
      <c r="C1830" s="11">
        <f>IF(A1830="","",$B$5*TAN(RADIANS(A1830)))</f>
        <v/>
      </c>
      <c r="D1830" s="11">
        <f>IF(C1830="","",C1830*(1+B1830/100))</f>
        <v/>
      </c>
      <c r="E1830" s="11">
        <f>IF(A1830="","",$B$6*TAN(RADIANS(A1830)))</f>
        <v/>
      </c>
    </row>
    <row r="1831">
      <c r="A1831" s="10" t="n"/>
      <c r="B1831" s="10" t="n"/>
      <c r="C1831" s="11">
        <f>IF(A1831="","",$B$5*TAN(RADIANS(A1831)))</f>
        <v/>
      </c>
      <c r="D1831" s="11">
        <f>IF(C1831="","",C1831*(1+B1831/100))</f>
        <v/>
      </c>
      <c r="E1831" s="11">
        <f>IF(A1831="","",$B$6*TAN(RADIANS(A1831)))</f>
        <v/>
      </c>
    </row>
    <row r="1832">
      <c r="A1832" s="10" t="n"/>
      <c r="B1832" s="10" t="n"/>
      <c r="C1832" s="11">
        <f>IF(A1832="","",$B$5*TAN(RADIANS(A1832)))</f>
        <v/>
      </c>
      <c r="D1832" s="11">
        <f>IF(C1832="","",C1832*(1+B1832/100))</f>
        <v/>
      </c>
      <c r="E1832" s="11">
        <f>IF(A1832="","",$B$6*TAN(RADIANS(A1832)))</f>
        <v/>
      </c>
    </row>
    <row r="1833">
      <c r="A1833" s="10" t="n"/>
      <c r="B1833" s="10" t="n"/>
      <c r="C1833" s="11">
        <f>IF(A1833="","",$B$5*TAN(RADIANS(A1833)))</f>
        <v/>
      </c>
      <c r="D1833" s="11">
        <f>IF(C1833="","",C1833*(1+B1833/100))</f>
        <v/>
      </c>
      <c r="E1833" s="11">
        <f>IF(A1833="","",$B$6*TAN(RADIANS(A1833)))</f>
        <v/>
      </c>
    </row>
    <row r="1834">
      <c r="A1834" s="10" t="n"/>
      <c r="B1834" s="10" t="n"/>
      <c r="C1834" s="11">
        <f>IF(A1834="","",$B$5*TAN(RADIANS(A1834)))</f>
        <v/>
      </c>
      <c r="D1834" s="11">
        <f>IF(C1834="","",C1834*(1+B1834/100))</f>
        <v/>
      </c>
      <c r="E1834" s="11">
        <f>IF(A1834="","",$B$6*TAN(RADIANS(A1834)))</f>
        <v/>
      </c>
    </row>
    <row r="1835">
      <c r="A1835" s="10" t="n"/>
      <c r="B1835" s="10" t="n"/>
      <c r="C1835" s="11">
        <f>IF(A1835="","",$B$5*TAN(RADIANS(A1835)))</f>
        <v/>
      </c>
      <c r="D1835" s="11">
        <f>IF(C1835="","",C1835*(1+B1835/100))</f>
        <v/>
      </c>
      <c r="E1835" s="11">
        <f>IF(A1835="","",$B$6*TAN(RADIANS(A1835)))</f>
        <v/>
      </c>
    </row>
    <row r="1836">
      <c r="A1836" s="10" t="n"/>
      <c r="B1836" s="10" t="n"/>
      <c r="C1836" s="11">
        <f>IF(A1836="","",$B$5*TAN(RADIANS(A1836)))</f>
        <v/>
      </c>
      <c r="D1836" s="11">
        <f>IF(C1836="","",C1836*(1+B1836/100))</f>
        <v/>
      </c>
      <c r="E1836" s="11">
        <f>IF(A1836="","",$B$6*TAN(RADIANS(A1836)))</f>
        <v/>
      </c>
    </row>
    <row r="1837">
      <c r="A1837" s="10" t="n"/>
      <c r="B1837" s="10" t="n"/>
      <c r="C1837" s="11">
        <f>IF(A1837="","",$B$5*TAN(RADIANS(A1837)))</f>
        <v/>
      </c>
      <c r="D1837" s="11">
        <f>IF(C1837="","",C1837*(1+B1837/100))</f>
        <v/>
      </c>
      <c r="E1837" s="11">
        <f>IF(A1837="","",$B$6*TAN(RADIANS(A1837)))</f>
        <v/>
      </c>
    </row>
    <row r="1838">
      <c r="A1838" s="10" t="n"/>
      <c r="B1838" s="10" t="n"/>
      <c r="C1838" s="11">
        <f>IF(A1838="","",$B$5*TAN(RADIANS(A1838)))</f>
        <v/>
      </c>
      <c r="D1838" s="11">
        <f>IF(C1838="","",C1838*(1+B1838/100))</f>
        <v/>
      </c>
      <c r="E1838" s="11">
        <f>IF(A1838="","",$B$6*TAN(RADIANS(A1838)))</f>
        <v/>
      </c>
    </row>
    <row r="1839">
      <c r="A1839" s="10" t="n"/>
      <c r="B1839" s="10" t="n"/>
      <c r="C1839" s="11">
        <f>IF(A1839="","",$B$5*TAN(RADIANS(A1839)))</f>
        <v/>
      </c>
      <c r="D1839" s="11">
        <f>IF(C1839="","",C1839*(1+B1839/100))</f>
        <v/>
      </c>
      <c r="E1839" s="11">
        <f>IF(A1839="","",$B$6*TAN(RADIANS(A1839)))</f>
        <v/>
      </c>
    </row>
    <row r="1840">
      <c r="A1840" s="10" t="n"/>
      <c r="B1840" s="10" t="n"/>
      <c r="C1840" s="11">
        <f>IF(A1840="","",$B$5*TAN(RADIANS(A1840)))</f>
        <v/>
      </c>
      <c r="D1840" s="11">
        <f>IF(C1840="","",C1840*(1+B1840/100))</f>
        <v/>
      </c>
      <c r="E1840" s="11">
        <f>IF(A1840="","",$B$6*TAN(RADIANS(A1840)))</f>
        <v/>
      </c>
    </row>
    <row r="1841">
      <c r="A1841" s="10" t="n"/>
      <c r="B1841" s="10" t="n"/>
      <c r="C1841" s="11">
        <f>IF(A1841="","",$B$5*TAN(RADIANS(A1841)))</f>
        <v/>
      </c>
      <c r="D1841" s="11">
        <f>IF(C1841="","",C1841*(1+B1841/100))</f>
        <v/>
      </c>
      <c r="E1841" s="11">
        <f>IF(A1841="","",$B$6*TAN(RADIANS(A1841)))</f>
        <v/>
      </c>
    </row>
    <row r="1842">
      <c r="A1842" s="10" t="n"/>
      <c r="B1842" s="10" t="n"/>
      <c r="C1842" s="11">
        <f>IF(A1842="","",$B$5*TAN(RADIANS(A1842)))</f>
        <v/>
      </c>
      <c r="D1842" s="11">
        <f>IF(C1842="","",C1842*(1+B1842/100))</f>
        <v/>
      </c>
      <c r="E1842" s="11">
        <f>IF(A1842="","",$B$6*TAN(RADIANS(A1842)))</f>
        <v/>
      </c>
    </row>
    <row r="1843">
      <c r="A1843" s="10" t="n"/>
      <c r="B1843" s="10" t="n"/>
      <c r="C1843" s="11">
        <f>IF(A1843="","",$B$5*TAN(RADIANS(A1843)))</f>
        <v/>
      </c>
      <c r="D1843" s="11">
        <f>IF(C1843="","",C1843*(1+B1843/100))</f>
        <v/>
      </c>
      <c r="E1843" s="11">
        <f>IF(A1843="","",$B$6*TAN(RADIANS(A1843)))</f>
        <v/>
      </c>
    </row>
    <row r="1844">
      <c r="A1844" s="10" t="n"/>
      <c r="B1844" s="10" t="n"/>
      <c r="C1844" s="11">
        <f>IF(A1844="","",$B$5*TAN(RADIANS(A1844)))</f>
        <v/>
      </c>
      <c r="D1844" s="11">
        <f>IF(C1844="","",C1844*(1+B1844/100))</f>
        <v/>
      </c>
      <c r="E1844" s="11">
        <f>IF(A1844="","",$B$6*TAN(RADIANS(A1844)))</f>
        <v/>
      </c>
    </row>
    <row r="1845">
      <c r="A1845" s="10" t="n"/>
      <c r="B1845" s="10" t="n"/>
      <c r="C1845" s="11">
        <f>IF(A1845="","",$B$5*TAN(RADIANS(A1845)))</f>
        <v/>
      </c>
      <c r="D1845" s="11">
        <f>IF(C1845="","",C1845*(1+B1845/100))</f>
        <v/>
      </c>
      <c r="E1845" s="11">
        <f>IF(A1845="","",$B$6*TAN(RADIANS(A1845)))</f>
        <v/>
      </c>
    </row>
    <row r="1846">
      <c r="A1846" s="10" t="n"/>
      <c r="B1846" s="10" t="n"/>
      <c r="C1846" s="11">
        <f>IF(A1846="","",$B$5*TAN(RADIANS(A1846)))</f>
        <v/>
      </c>
      <c r="D1846" s="11">
        <f>IF(C1846="","",C1846*(1+B1846/100))</f>
        <v/>
      </c>
      <c r="E1846" s="11">
        <f>IF(A1846="","",$B$6*TAN(RADIANS(A1846)))</f>
        <v/>
      </c>
    </row>
    <row r="1847">
      <c r="A1847" s="10" t="n"/>
      <c r="B1847" s="10" t="n"/>
      <c r="C1847" s="11">
        <f>IF(A1847="","",$B$5*TAN(RADIANS(A1847)))</f>
        <v/>
      </c>
      <c r="D1847" s="11">
        <f>IF(C1847="","",C1847*(1+B1847/100))</f>
        <v/>
      </c>
      <c r="E1847" s="11">
        <f>IF(A1847="","",$B$6*TAN(RADIANS(A1847)))</f>
        <v/>
      </c>
    </row>
    <row r="1848">
      <c r="A1848" s="10" t="n"/>
      <c r="B1848" s="10" t="n"/>
      <c r="C1848" s="11">
        <f>IF(A1848="","",$B$5*TAN(RADIANS(A1848)))</f>
        <v/>
      </c>
      <c r="D1848" s="11">
        <f>IF(C1848="","",C1848*(1+B1848/100))</f>
        <v/>
      </c>
      <c r="E1848" s="11">
        <f>IF(A1848="","",$B$6*TAN(RADIANS(A1848)))</f>
        <v/>
      </c>
    </row>
    <row r="1849">
      <c r="A1849" s="10" t="n"/>
      <c r="B1849" s="10" t="n"/>
      <c r="C1849" s="11">
        <f>IF(A1849="","",$B$5*TAN(RADIANS(A1849)))</f>
        <v/>
      </c>
      <c r="D1849" s="11">
        <f>IF(C1849="","",C1849*(1+B1849/100))</f>
        <v/>
      </c>
      <c r="E1849" s="11">
        <f>IF(A1849="","",$B$6*TAN(RADIANS(A1849)))</f>
        <v/>
      </c>
    </row>
    <row r="1850">
      <c r="A1850" s="10" t="n"/>
      <c r="B1850" s="10" t="n"/>
      <c r="C1850" s="11">
        <f>IF(A1850="","",$B$5*TAN(RADIANS(A1850)))</f>
        <v/>
      </c>
      <c r="D1850" s="11">
        <f>IF(C1850="","",C1850*(1+B1850/100))</f>
        <v/>
      </c>
      <c r="E1850" s="11">
        <f>IF(A1850="","",$B$6*TAN(RADIANS(A1850)))</f>
        <v/>
      </c>
    </row>
    <row r="1851">
      <c r="A1851" s="10" t="n"/>
      <c r="B1851" s="10" t="n"/>
      <c r="C1851" s="11">
        <f>IF(A1851="","",$B$5*TAN(RADIANS(A1851)))</f>
        <v/>
      </c>
      <c r="D1851" s="11">
        <f>IF(C1851="","",C1851*(1+B1851/100))</f>
        <v/>
      </c>
      <c r="E1851" s="11">
        <f>IF(A1851="","",$B$6*TAN(RADIANS(A1851)))</f>
        <v/>
      </c>
    </row>
    <row r="1852">
      <c r="A1852" s="10" t="n"/>
      <c r="B1852" s="10" t="n"/>
      <c r="C1852" s="11">
        <f>IF(A1852="","",$B$5*TAN(RADIANS(A1852)))</f>
        <v/>
      </c>
      <c r="D1852" s="11">
        <f>IF(C1852="","",C1852*(1+B1852/100))</f>
        <v/>
      </c>
      <c r="E1852" s="11">
        <f>IF(A1852="","",$B$6*TAN(RADIANS(A1852)))</f>
        <v/>
      </c>
    </row>
    <row r="1853">
      <c r="A1853" s="10" t="n"/>
      <c r="B1853" s="10" t="n"/>
      <c r="C1853" s="11">
        <f>IF(A1853="","",$B$5*TAN(RADIANS(A1853)))</f>
        <v/>
      </c>
      <c r="D1853" s="11">
        <f>IF(C1853="","",C1853*(1+B1853/100))</f>
        <v/>
      </c>
      <c r="E1853" s="11">
        <f>IF(A1853="","",$B$6*TAN(RADIANS(A1853)))</f>
        <v/>
      </c>
    </row>
    <row r="1854">
      <c r="A1854" s="10" t="n"/>
      <c r="B1854" s="10" t="n"/>
      <c r="C1854" s="11">
        <f>IF(A1854="","",$B$5*TAN(RADIANS(A1854)))</f>
        <v/>
      </c>
      <c r="D1854" s="11">
        <f>IF(C1854="","",C1854*(1+B1854/100))</f>
        <v/>
      </c>
      <c r="E1854" s="11">
        <f>IF(A1854="","",$B$6*TAN(RADIANS(A1854)))</f>
        <v/>
      </c>
    </row>
    <row r="1855">
      <c r="A1855" s="10" t="n"/>
      <c r="B1855" s="10" t="n"/>
      <c r="C1855" s="11">
        <f>IF(A1855="","",$B$5*TAN(RADIANS(A1855)))</f>
        <v/>
      </c>
      <c r="D1855" s="11">
        <f>IF(C1855="","",C1855*(1+B1855/100))</f>
        <v/>
      </c>
      <c r="E1855" s="11">
        <f>IF(A1855="","",$B$6*TAN(RADIANS(A1855)))</f>
        <v/>
      </c>
    </row>
    <row r="1856">
      <c r="A1856" s="10" t="n"/>
      <c r="B1856" s="10" t="n"/>
      <c r="C1856" s="11">
        <f>IF(A1856="","",$B$5*TAN(RADIANS(A1856)))</f>
        <v/>
      </c>
      <c r="D1856" s="11">
        <f>IF(C1856="","",C1856*(1+B1856/100))</f>
        <v/>
      </c>
      <c r="E1856" s="11">
        <f>IF(A1856="","",$B$6*TAN(RADIANS(A1856)))</f>
        <v/>
      </c>
    </row>
    <row r="1857">
      <c r="A1857" s="10" t="n"/>
      <c r="B1857" s="10" t="n"/>
      <c r="C1857" s="11">
        <f>IF(A1857="","",$B$5*TAN(RADIANS(A1857)))</f>
        <v/>
      </c>
      <c r="D1857" s="11">
        <f>IF(C1857="","",C1857*(1+B1857/100))</f>
        <v/>
      </c>
      <c r="E1857" s="11">
        <f>IF(A1857="","",$B$6*TAN(RADIANS(A1857)))</f>
        <v/>
      </c>
    </row>
    <row r="1858">
      <c r="A1858" s="10" t="n"/>
      <c r="B1858" s="10" t="n"/>
      <c r="C1858" s="11">
        <f>IF(A1858="","",$B$5*TAN(RADIANS(A1858)))</f>
        <v/>
      </c>
      <c r="D1858" s="11">
        <f>IF(C1858="","",C1858*(1+B1858/100))</f>
        <v/>
      </c>
      <c r="E1858" s="11">
        <f>IF(A1858="","",$B$6*TAN(RADIANS(A1858)))</f>
        <v/>
      </c>
    </row>
    <row r="1859">
      <c r="A1859" s="10" t="n"/>
      <c r="B1859" s="10" t="n"/>
      <c r="C1859" s="11">
        <f>IF(A1859="","",$B$5*TAN(RADIANS(A1859)))</f>
        <v/>
      </c>
      <c r="D1859" s="11">
        <f>IF(C1859="","",C1859*(1+B1859/100))</f>
        <v/>
      </c>
      <c r="E1859" s="11">
        <f>IF(A1859="","",$B$6*TAN(RADIANS(A1859)))</f>
        <v/>
      </c>
    </row>
    <row r="1860">
      <c r="A1860" s="10" t="n"/>
      <c r="B1860" s="10" t="n"/>
      <c r="C1860" s="11">
        <f>IF(A1860="","",$B$5*TAN(RADIANS(A1860)))</f>
        <v/>
      </c>
      <c r="D1860" s="11">
        <f>IF(C1860="","",C1860*(1+B1860/100))</f>
        <v/>
      </c>
      <c r="E1860" s="11">
        <f>IF(A1860="","",$B$6*TAN(RADIANS(A1860)))</f>
        <v/>
      </c>
    </row>
    <row r="1861">
      <c r="A1861" s="10" t="n"/>
      <c r="B1861" s="10" t="n"/>
      <c r="C1861" s="11">
        <f>IF(A1861="","",$B$5*TAN(RADIANS(A1861)))</f>
        <v/>
      </c>
      <c r="D1861" s="11">
        <f>IF(C1861="","",C1861*(1+B1861/100))</f>
        <v/>
      </c>
      <c r="E1861" s="11">
        <f>IF(A1861="","",$B$6*TAN(RADIANS(A1861)))</f>
        <v/>
      </c>
    </row>
    <row r="1862">
      <c r="A1862" s="10" t="n"/>
      <c r="B1862" s="10" t="n"/>
      <c r="C1862" s="11">
        <f>IF(A1862="","",$B$5*TAN(RADIANS(A1862)))</f>
        <v/>
      </c>
      <c r="D1862" s="11">
        <f>IF(C1862="","",C1862*(1+B1862/100))</f>
        <v/>
      </c>
      <c r="E1862" s="11">
        <f>IF(A1862="","",$B$6*TAN(RADIANS(A1862)))</f>
        <v/>
      </c>
    </row>
    <row r="1863">
      <c r="A1863" s="10" t="n"/>
      <c r="B1863" s="10" t="n"/>
      <c r="C1863" s="11">
        <f>IF(A1863="","",$B$5*TAN(RADIANS(A1863)))</f>
        <v/>
      </c>
      <c r="D1863" s="11">
        <f>IF(C1863="","",C1863*(1+B1863/100))</f>
        <v/>
      </c>
      <c r="E1863" s="11">
        <f>IF(A1863="","",$B$6*TAN(RADIANS(A1863)))</f>
        <v/>
      </c>
    </row>
    <row r="1864">
      <c r="A1864" s="10" t="n"/>
      <c r="B1864" s="10" t="n"/>
      <c r="C1864" s="11">
        <f>IF(A1864="","",$B$5*TAN(RADIANS(A1864)))</f>
        <v/>
      </c>
      <c r="D1864" s="11">
        <f>IF(C1864="","",C1864*(1+B1864/100))</f>
        <v/>
      </c>
      <c r="E1864" s="11">
        <f>IF(A1864="","",$B$6*TAN(RADIANS(A1864)))</f>
        <v/>
      </c>
    </row>
    <row r="1865">
      <c r="A1865" s="10" t="n"/>
      <c r="B1865" s="10" t="n"/>
      <c r="C1865" s="11">
        <f>IF(A1865="","",$B$5*TAN(RADIANS(A1865)))</f>
        <v/>
      </c>
      <c r="D1865" s="11">
        <f>IF(C1865="","",C1865*(1+B1865/100))</f>
        <v/>
      </c>
      <c r="E1865" s="11">
        <f>IF(A1865="","",$B$6*TAN(RADIANS(A1865)))</f>
        <v/>
      </c>
    </row>
    <row r="1866">
      <c r="A1866" s="10" t="n"/>
      <c r="B1866" s="10" t="n"/>
      <c r="C1866" s="11">
        <f>IF(A1866="","",$B$5*TAN(RADIANS(A1866)))</f>
        <v/>
      </c>
      <c r="D1866" s="11">
        <f>IF(C1866="","",C1866*(1+B1866/100))</f>
        <v/>
      </c>
      <c r="E1866" s="11">
        <f>IF(A1866="","",$B$6*TAN(RADIANS(A1866)))</f>
        <v/>
      </c>
    </row>
    <row r="1867">
      <c r="A1867" s="10" t="n"/>
      <c r="B1867" s="10" t="n"/>
      <c r="C1867" s="11">
        <f>IF(A1867="","",$B$5*TAN(RADIANS(A1867)))</f>
        <v/>
      </c>
      <c r="D1867" s="11">
        <f>IF(C1867="","",C1867*(1+B1867/100))</f>
        <v/>
      </c>
      <c r="E1867" s="11">
        <f>IF(A1867="","",$B$6*TAN(RADIANS(A1867)))</f>
        <v/>
      </c>
    </row>
    <row r="1868">
      <c r="A1868" s="10" t="n"/>
      <c r="B1868" s="10" t="n"/>
      <c r="C1868" s="11">
        <f>IF(A1868="","",$B$5*TAN(RADIANS(A1868)))</f>
        <v/>
      </c>
      <c r="D1868" s="11">
        <f>IF(C1868="","",C1868*(1+B1868/100))</f>
        <v/>
      </c>
      <c r="E1868" s="11">
        <f>IF(A1868="","",$B$6*TAN(RADIANS(A1868)))</f>
        <v/>
      </c>
    </row>
    <row r="1869">
      <c r="A1869" s="10" t="n"/>
      <c r="B1869" s="10" t="n"/>
      <c r="C1869" s="11">
        <f>IF(A1869="","",$B$5*TAN(RADIANS(A1869)))</f>
        <v/>
      </c>
      <c r="D1869" s="11">
        <f>IF(C1869="","",C1869*(1+B1869/100))</f>
        <v/>
      </c>
      <c r="E1869" s="11">
        <f>IF(A1869="","",$B$6*TAN(RADIANS(A1869)))</f>
        <v/>
      </c>
    </row>
    <row r="1870">
      <c r="A1870" s="10" t="n"/>
      <c r="B1870" s="10" t="n"/>
      <c r="C1870" s="11">
        <f>IF(A1870="","",$B$5*TAN(RADIANS(A1870)))</f>
        <v/>
      </c>
      <c r="D1870" s="11">
        <f>IF(C1870="","",C1870*(1+B1870/100))</f>
        <v/>
      </c>
      <c r="E1870" s="11">
        <f>IF(A1870="","",$B$6*TAN(RADIANS(A1870)))</f>
        <v/>
      </c>
    </row>
    <row r="1871">
      <c r="A1871" s="10" t="n"/>
      <c r="B1871" s="10" t="n"/>
      <c r="C1871" s="11">
        <f>IF(A1871="","",$B$5*TAN(RADIANS(A1871)))</f>
        <v/>
      </c>
      <c r="D1871" s="11">
        <f>IF(C1871="","",C1871*(1+B1871/100))</f>
        <v/>
      </c>
      <c r="E1871" s="11">
        <f>IF(A1871="","",$B$6*TAN(RADIANS(A1871)))</f>
        <v/>
      </c>
    </row>
    <row r="1872">
      <c r="A1872" s="10" t="n"/>
      <c r="B1872" s="10" t="n"/>
      <c r="C1872" s="11">
        <f>IF(A1872="","",$B$5*TAN(RADIANS(A1872)))</f>
        <v/>
      </c>
      <c r="D1872" s="11">
        <f>IF(C1872="","",C1872*(1+B1872/100))</f>
        <v/>
      </c>
      <c r="E1872" s="11">
        <f>IF(A1872="","",$B$6*TAN(RADIANS(A1872)))</f>
        <v/>
      </c>
    </row>
    <row r="1873">
      <c r="A1873" s="10" t="n"/>
      <c r="B1873" s="10" t="n"/>
      <c r="C1873" s="11">
        <f>IF(A1873="","",$B$5*TAN(RADIANS(A1873)))</f>
        <v/>
      </c>
      <c r="D1873" s="11">
        <f>IF(C1873="","",C1873*(1+B1873/100))</f>
        <v/>
      </c>
      <c r="E1873" s="11">
        <f>IF(A1873="","",$B$6*TAN(RADIANS(A1873)))</f>
        <v/>
      </c>
    </row>
    <row r="1874">
      <c r="A1874" s="10" t="n"/>
      <c r="B1874" s="10" t="n"/>
      <c r="C1874" s="11">
        <f>IF(A1874="","",$B$5*TAN(RADIANS(A1874)))</f>
        <v/>
      </c>
      <c r="D1874" s="11">
        <f>IF(C1874="","",C1874*(1+B1874/100))</f>
        <v/>
      </c>
      <c r="E1874" s="11">
        <f>IF(A1874="","",$B$6*TAN(RADIANS(A1874)))</f>
        <v/>
      </c>
    </row>
    <row r="1875">
      <c r="A1875" s="10" t="n"/>
      <c r="B1875" s="10" t="n"/>
      <c r="C1875" s="11">
        <f>IF(A1875="","",$B$5*TAN(RADIANS(A1875)))</f>
        <v/>
      </c>
      <c r="D1875" s="11">
        <f>IF(C1875="","",C1875*(1+B1875/100))</f>
        <v/>
      </c>
      <c r="E1875" s="11">
        <f>IF(A1875="","",$B$6*TAN(RADIANS(A1875)))</f>
        <v/>
      </c>
    </row>
    <row r="1876">
      <c r="A1876" s="10" t="n"/>
      <c r="B1876" s="10" t="n"/>
      <c r="C1876" s="11">
        <f>IF(A1876="","",$B$5*TAN(RADIANS(A1876)))</f>
        <v/>
      </c>
      <c r="D1876" s="11">
        <f>IF(C1876="","",C1876*(1+B1876/100))</f>
        <v/>
      </c>
      <c r="E1876" s="11">
        <f>IF(A1876="","",$B$6*TAN(RADIANS(A1876)))</f>
        <v/>
      </c>
    </row>
    <row r="1877">
      <c r="A1877" s="10" t="n"/>
      <c r="B1877" s="10" t="n"/>
      <c r="C1877" s="11">
        <f>IF(A1877="","",$B$5*TAN(RADIANS(A1877)))</f>
        <v/>
      </c>
      <c r="D1877" s="11">
        <f>IF(C1877="","",C1877*(1+B1877/100))</f>
        <v/>
      </c>
      <c r="E1877" s="11">
        <f>IF(A1877="","",$B$6*TAN(RADIANS(A1877)))</f>
        <v/>
      </c>
    </row>
    <row r="1878">
      <c r="A1878" s="10" t="n"/>
      <c r="B1878" s="10" t="n"/>
      <c r="C1878" s="11">
        <f>IF(A1878="","",$B$5*TAN(RADIANS(A1878)))</f>
        <v/>
      </c>
      <c r="D1878" s="11">
        <f>IF(C1878="","",C1878*(1+B1878/100))</f>
        <v/>
      </c>
      <c r="E1878" s="11">
        <f>IF(A1878="","",$B$6*TAN(RADIANS(A1878)))</f>
        <v/>
      </c>
    </row>
    <row r="1879">
      <c r="A1879" s="10" t="n"/>
      <c r="B1879" s="10" t="n"/>
      <c r="C1879" s="11">
        <f>IF(A1879="","",$B$5*TAN(RADIANS(A1879)))</f>
        <v/>
      </c>
      <c r="D1879" s="11">
        <f>IF(C1879="","",C1879*(1+B1879/100))</f>
        <v/>
      </c>
      <c r="E1879" s="11">
        <f>IF(A1879="","",$B$6*TAN(RADIANS(A1879)))</f>
        <v/>
      </c>
    </row>
    <row r="1880">
      <c r="A1880" s="10" t="n"/>
      <c r="B1880" s="10" t="n"/>
      <c r="C1880" s="11">
        <f>IF(A1880="","",$B$5*TAN(RADIANS(A1880)))</f>
        <v/>
      </c>
      <c r="D1880" s="11">
        <f>IF(C1880="","",C1880*(1+B1880/100))</f>
        <v/>
      </c>
      <c r="E1880" s="11">
        <f>IF(A1880="","",$B$6*TAN(RADIANS(A1880)))</f>
        <v/>
      </c>
    </row>
    <row r="1881">
      <c r="A1881" s="10" t="n"/>
      <c r="B1881" s="10" t="n"/>
      <c r="C1881" s="11">
        <f>IF(A1881="","",$B$5*TAN(RADIANS(A1881)))</f>
        <v/>
      </c>
      <c r="D1881" s="11">
        <f>IF(C1881="","",C1881*(1+B1881/100))</f>
        <v/>
      </c>
      <c r="E1881" s="11">
        <f>IF(A1881="","",$B$6*TAN(RADIANS(A1881)))</f>
        <v/>
      </c>
    </row>
    <row r="1882">
      <c r="A1882" s="10" t="n"/>
      <c r="B1882" s="10" t="n"/>
      <c r="C1882" s="11">
        <f>IF(A1882="","",$B$5*TAN(RADIANS(A1882)))</f>
        <v/>
      </c>
      <c r="D1882" s="11">
        <f>IF(C1882="","",C1882*(1+B1882/100))</f>
        <v/>
      </c>
      <c r="E1882" s="11">
        <f>IF(A1882="","",$B$6*TAN(RADIANS(A1882)))</f>
        <v/>
      </c>
    </row>
    <row r="1883">
      <c r="A1883" s="10" t="n"/>
      <c r="B1883" s="10" t="n"/>
      <c r="C1883" s="11">
        <f>IF(A1883="","",$B$5*TAN(RADIANS(A1883)))</f>
        <v/>
      </c>
      <c r="D1883" s="11">
        <f>IF(C1883="","",C1883*(1+B1883/100))</f>
        <v/>
      </c>
      <c r="E1883" s="11">
        <f>IF(A1883="","",$B$6*TAN(RADIANS(A1883)))</f>
        <v/>
      </c>
    </row>
    <row r="1884">
      <c r="A1884" s="10" t="n"/>
      <c r="B1884" s="10" t="n"/>
      <c r="C1884" s="11">
        <f>IF(A1884="","",$B$5*TAN(RADIANS(A1884)))</f>
        <v/>
      </c>
      <c r="D1884" s="11">
        <f>IF(C1884="","",C1884*(1+B1884/100))</f>
        <v/>
      </c>
      <c r="E1884" s="11">
        <f>IF(A1884="","",$B$6*TAN(RADIANS(A1884)))</f>
        <v/>
      </c>
    </row>
    <row r="1885">
      <c r="A1885" s="10" t="n"/>
      <c r="B1885" s="10" t="n"/>
      <c r="C1885" s="11">
        <f>IF(A1885="","",$B$5*TAN(RADIANS(A1885)))</f>
        <v/>
      </c>
      <c r="D1885" s="11">
        <f>IF(C1885="","",C1885*(1+B1885/100))</f>
        <v/>
      </c>
      <c r="E1885" s="11">
        <f>IF(A1885="","",$B$6*TAN(RADIANS(A1885)))</f>
        <v/>
      </c>
    </row>
    <row r="1886">
      <c r="A1886" s="10" t="n"/>
      <c r="B1886" s="10" t="n"/>
      <c r="C1886" s="11">
        <f>IF(A1886="","",$B$5*TAN(RADIANS(A1886)))</f>
        <v/>
      </c>
      <c r="D1886" s="11">
        <f>IF(C1886="","",C1886*(1+B1886/100))</f>
        <v/>
      </c>
      <c r="E1886" s="11">
        <f>IF(A1886="","",$B$6*TAN(RADIANS(A1886)))</f>
        <v/>
      </c>
    </row>
    <row r="1887">
      <c r="A1887" s="10" t="n"/>
      <c r="B1887" s="10" t="n"/>
      <c r="C1887" s="11">
        <f>IF(A1887="","",$B$5*TAN(RADIANS(A1887)))</f>
        <v/>
      </c>
      <c r="D1887" s="11">
        <f>IF(C1887="","",C1887*(1+B1887/100))</f>
        <v/>
      </c>
      <c r="E1887" s="11">
        <f>IF(A1887="","",$B$6*TAN(RADIANS(A1887)))</f>
        <v/>
      </c>
    </row>
    <row r="1888">
      <c r="A1888" s="10" t="n"/>
      <c r="B1888" s="10" t="n"/>
      <c r="C1888" s="11">
        <f>IF(A1888="","",$B$5*TAN(RADIANS(A1888)))</f>
        <v/>
      </c>
      <c r="D1888" s="11">
        <f>IF(C1888="","",C1888*(1+B1888/100))</f>
        <v/>
      </c>
      <c r="E1888" s="11">
        <f>IF(A1888="","",$B$6*TAN(RADIANS(A1888)))</f>
        <v/>
      </c>
    </row>
    <row r="1889">
      <c r="A1889" s="10" t="n"/>
      <c r="B1889" s="10" t="n"/>
      <c r="C1889" s="11">
        <f>IF(A1889="","",$B$5*TAN(RADIANS(A1889)))</f>
        <v/>
      </c>
      <c r="D1889" s="11">
        <f>IF(C1889="","",C1889*(1+B1889/100))</f>
        <v/>
      </c>
      <c r="E1889" s="11">
        <f>IF(A1889="","",$B$6*TAN(RADIANS(A1889)))</f>
        <v/>
      </c>
    </row>
    <row r="1890">
      <c r="A1890" s="10" t="n"/>
      <c r="B1890" s="10" t="n"/>
      <c r="C1890" s="11">
        <f>IF(A1890="","",$B$5*TAN(RADIANS(A1890)))</f>
        <v/>
      </c>
      <c r="D1890" s="11">
        <f>IF(C1890="","",C1890*(1+B1890/100))</f>
        <v/>
      </c>
      <c r="E1890" s="11">
        <f>IF(A1890="","",$B$6*TAN(RADIANS(A1890)))</f>
        <v/>
      </c>
    </row>
    <row r="1891">
      <c r="A1891" s="10" t="n"/>
      <c r="B1891" s="10" t="n"/>
      <c r="C1891" s="11">
        <f>IF(A1891="","",$B$5*TAN(RADIANS(A1891)))</f>
        <v/>
      </c>
      <c r="D1891" s="11">
        <f>IF(C1891="","",C1891*(1+B1891/100))</f>
        <v/>
      </c>
      <c r="E1891" s="11">
        <f>IF(A1891="","",$B$6*TAN(RADIANS(A1891)))</f>
        <v/>
      </c>
    </row>
    <row r="1892">
      <c r="A1892" s="10" t="n"/>
      <c r="B1892" s="10" t="n"/>
      <c r="C1892" s="11">
        <f>IF(A1892="","",$B$5*TAN(RADIANS(A1892)))</f>
        <v/>
      </c>
      <c r="D1892" s="11">
        <f>IF(C1892="","",C1892*(1+B1892/100))</f>
        <v/>
      </c>
      <c r="E1892" s="11">
        <f>IF(A1892="","",$B$6*TAN(RADIANS(A1892)))</f>
        <v/>
      </c>
    </row>
    <row r="1893">
      <c r="A1893" s="10" t="n"/>
      <c r="B1893" s="10" t="n"/>
      <c r="C1893" s="11">
        <f>IF(A1893="","",$B$5*TAN(RADIANS(A1893)))</f>
        <v/>
      </c>
      <c r="D1893" s="11">
        <f>IF(C1893="","",C1893*(1+B1893/100))</f>
        <v/>
      </c>
      <c r="E1893" s="11">
        <f>IF(A1893="","",$B$6*TAN(RADIANS(A1893)))</f>
        <v/>
      </c>
    </row>
    <row r="1894">
      <c r="A1894" s="10" t="n"/>
      <c r="B1894" s="10" t="n"/>
      <c r="C1894" s="11">
        <f>IF(A1894="","",$B$5*TAN(RADIANS(A1894)))</f>
        <v/>
      </c>
      <c r="D1894" s="11">
        <f>IF(C1894="","",C1894*(1+B1894/100))</f>
        <v/>
      </c>
      <c r="E1894" s="11">
        <f>IF(A1894="","",$B$6*TAN(RADIANS(A1894)))</f>
        <v/>
      </c>
    </row>
    <row r="1895">
      <c r="A1895" s="10" t="n"/>
      <c r="B1895" s="10" t="n"/>
      <c r="C1895" s="11">
        <f>IF(A1895="","",$B$5*TAN(RADIANS(A1895)))</f>
        <v/>
      </c>
      <c r="D1895" s="11">
        <f>IF(C1895="","",C1895*(1+B1895/100))</f>
        <v/>
      </c>
      <c r="E1895" s="11">
        <f>IF(A1895="","",$B$6*TAN(RADIANS(A1895)))</f>
        <v/>
      </c>
    </row>
    <row r="1896">
      <c r="A1896" s="10" t="n"/>
      <c r="B1896" s="10" t="n"/>
      <c r="C1896" s="11">
        <f>IF(A1896="","",$B$5*TAN(RADIANS(A1896)))</f>
        <v/>
      </c>
      <c r="D1896" s="11">
        <f>IF(C1896="","",C1896*(1+B1896/100))</f>
        <v/>
      </c>
      <c r="E1896" s="11">
        <f>IF(A1896="","",$B$6*TAN(RADIANS(A1896)))</f>
        <v/>
      </c>
    </row>
    <row r="1897">
      <c r="A1897" s="10" t="n"/>
      <c r="B1897" s="10" t="n"/>
      <c r="C1897" s="11">
        <f>IF(A1897="","",$B$5*TAN(RADIANS(A1897)))</f>
        <v/>
      </c>
      <c r="D1897" s="11">
        <f>IF(C1897="","",C1897*(1+B1897/100))</f>
        <v/>
      </c>
      <c r="E1897" s="11">
        <f>IF(A1897="","",$B$6*TAN(RADIANS(A1897)))</f>
        <v/>
      </c>
    </row>
    <row r="1898">
      <c r="A1898" s="10" t="n"/>
      <c r="B1898" s="10" t="n"/>
      <c r="C1898" s="11">
        <f>IF(A1898="","",$B$5*TAN(RADIANS(A1898)))</f>
        <v/>
      </c>
      <c r="D1898" s="11">
        <f>IF(C1898="","",C1898*(1+B1898/100))</f>
        <v/>
      </c>
      <c r="E1898" s="11">
        <f>IF(A1898="","",$B$6*TAN(RADIANS(A1898)))</f>
        <v/>
      </c>
    </row>
    <row r="1899">
      <c r="A1899" s="10" t="n"/>
      <c r="B1899" s="10" t="n"/>
      <c r="C1899" s="11">
        <f>IF(A1899="","",$B$5*TAN(RADIANS(A1899)))</f>
        <v/>
      </c>
      <c r="D1899" s="11">
        <f>IF(C1899="","",C1899*(1+B1899/100))</f>
        <v/>
      </c>
      <c r="E1899" s="11">
        <f>IF(A1899="","",$B$6*TAN(RADIANS(A1899)))</f>
        <v/>
      </c>
    </row>
    <row r="1900">
      <c r="A1900" s="10" t="n"/>
      <c r="B1900" s="10" t="n"/>
      <c r="C1900" s="11">
        <f>IF(A1900="","",$B$5*TAN(RADIANS(A1900)))</f>
        <v/>
      </c>
      <c r="D1900" s="11">
        <f>IF(C1900="","",C1900*(1+B1900/100))</f>
        <v/>
      </c>
      <c r="E1900" s="11">
        <f>IF(A1900="","",$B$6*TAN(RADIANS(A1900)))</f>
        <v/>
      </c>
    </row>
    <row r="1901">
      <c r="A1901" s="10" t="n"/>
      <c r="B1901" s="10" t="n"/>
      <c r="C1901" s="11">
        <f>IF(A1901="","",$B$5*TAN(RADIANS(A1901)))</f>
        <v/>
      </c>
      <c r="D1901" s="11">
        <f>IF(C1901="","",C1901*(1+B1901/100))</f>
        <v/>
      </c>
      <c r="E1901" s="11">
        <f>IF(A1901="","",$B$6*TAN(RADIANS(A1901)))</f>
        <v/>
      </c>
    </row>
    <row r="1902">
      <c r="A1902" s="10" t="n"/>
      <c r="B1902" s="10" t="n"/>
      <c r="C1902" s="11">
        <f>IF(A1902="","",$B$5*TAN(RADIANS(A1902)))</f>
        <v/>
      </c>
      <c r="D1902" s="11">
        <f>IF(C1902="","",C1902*(1+B1902/100))</f>
        <v/>
      </c>
      <c r="E1902" s="11">
        <f>IF(A1902="","",$B$6*TAN(RADIANS(A1902)))</f>
        <v/>
      </c>
    </row>
    <row r="1903">
      <c r="A1903" s="10" t="n"/>
      <c r="B1903" s="10" t="n"/>
      <c r="C1903" s="11">
        <f>IF(A1903="","",$B$5*TAN(RADIANS(A1903)))</f>
        <v/>
      </c>
      <c r="D1903" s="11">
        <f>IF(C1903="","",C1903*(1+B1903/100))</f>
        <v/>
      </c>
      <c r="E1903" s="11">
        <f>IF(A1903="","",$B$6*TAN(RADIANS(A1903)))</f>
        <v/>
      </c>
    </row>
    <row r="1904">
      <c r="A1904" s="10" t="n"/>
      <c r="B1904" s="10" t="n"/>
      <c r="C1904" s="11">
        <f>IF(A1904="","",$B$5*TAN(RADIANS(A1904)))</f>
        <v/>
      </c>
      <c r="D1904" s="11">
        <f>IF(C1904="","",C1904*(1+B1904/100))</f>
        <v/>
      </c>
      <c r="E1904" s="11">
        <f>IF(A1904="","",$B$6*TAN(RADIANS(A1904)))</f>
        <v/>
      </c>
    </row>
    <row r="1905">
      <c r="A1905" s="10" t="n"/>
      <c r="B1905" s="10" t="n"/>
      <c r="C1905" s="11">
        <f>IF(A1905="","",$B$5*TAN(RADIANS(A1905)))</f>
        <v/>
      </c>
      <c r="D1905" s="11">
        <f>IF(C1905="","",C1905*(1+B1905/100))</f>
        <v/>
      </c>
      <c r="E1905" s="11">
        <f>IF(A1905="","",$B$6*TAN(RADIANS(A1905)))</f>
        <v/>
      </c>
    </row>
    <row r="1906">
      <c r="A1906" s="10" t="n"/>
      <c r="B1906" s="10" t="n"/>
      <c r="C1906" s="11">
        <f>IF(A1906="","",$B$5*TAN(RADIANS(A1906)))</f>
        <v/>
      </c>
      <c r="D1906" s="11">
        <f>IF(C1906="","",C1906*(1+B1906/100))</f>
        <v/>
      </c>
      <c r="E1906" s="11">
        <f>IF(A1906="","",$B$6*TAN(RADIANS(A1906)))</f>
        <v/>
      </c>
    </row>
    <row r="1907">
      <c r="A1907" s="10" t="n"/>
      <c r="B1907" s="10" t="n"/>
      <c r="C1907" s="11">
        <f>IF(A1907="","",$B$5*TAN(RADIANS(A1907)))</f>
        <v/>
      </c>
      <c r="D1907" s="11">
        <f>IF(C1907="","",C1907*(1+B1907/100))</f>
        <v/>
      </c>
      <c r="E1907" s="11">
        <f>IF(A1907="","",$B$6*TAN(RADIANS(A1907)))</f>
        <v/>
      </c>
    </row>
    <row r="1908">
      <c r="A1908" s="10" t="n"/>
      <c r="B1908" s="10" t="n"/>
      <c r="C1908" s="11">
        <f>IF(A1908="","",$B$5*TAN(RADIANS(A1908)))</f>
        <v/>
      </c>
      <c r="D1908" s="11">
        <f>IF(C1908="","",C1908*(1+B1908/100))</f>
        <v/>
      </c>
      <c r="E1908" s="11">
        <f>IF(A1908="","",$B$6*TAN(RADIANS(A1908)))</f>
        <v/>
      </c>
    </row>
    <row r="1909">
      <c r="A1909" s="10" t="n"/>
      <c r="B1909" s="10" t="n"/>
      <c r="C1909" s="11">
        <f>IF(A1909="","",$B$5*TAN(RADIANS(A1909)))</f>
        <v/>
      </c>
      <c r="D1909" s="11">
        <f>IF(C1909="","",C1909*(1+B1909/100))</f>
        <v/>
      </c>
      <c r="E1909" s="11">
        <f>IF(A1909="","",$B$6*TAN(RADIANS(A1909)))</f>
        <v/>
      </c>
    </row>
    <row r="1910">
      <c r="A1910" s="10" t="n"/>
      <c r="B1910" s="10" t="n"/>
      <c r="C1910" s="11">
        <f>IF(A1910="","",$B$5*TAN(RADIANS(A1910)))</f>
        <v/>
      </c>
      <c r="D1910" s="11">
        <f>IF(C1910="","",C1910*(1+B1910/100))</f>
        <v/>
      </c>
      <c r="E1910" s="11">
        <f>IF(A1910="","",$B$6*TAN(RADIANS(A1910)))</f>
        <v/>
      </c>
    </row>
    <row r="1911">
      <c r="A1911" s="10" t="n"/>
      <c r="B1911" s="10" t="n"/>
      <c r="C1911" s="11">
        <f>IF(A1911="","",$B$5*TAN(RADIANS(A1911)))</f>
        <v/>
      </c>
      <c r="D1911" s="11">
        <f>IF(C1911="","",C1911*(1+B1911/100))</f>
        <v/>
      </c>
      <c r="E1911" s="11">
        <f>IF(A1911="","",$B$6*TAN(RADIANS(A1911)))</f>
        <v/>
      </c>
    </row>
    <row r="1912">
      <c r="A1912" s="10" t="n"/>
      <c r="B1912" s="10" t="n"/>
      <c r="C1912" s="11">
        <f>IF(A1912="","",$B$5*TAN(RADIANS(A1912)))</f>
        <v/>
      </c>
      <c r="D1912" s="11">
        <f>IF(C1912="","",C1912*(1+B1912/100))</f>
        <v/>
      </c>
      <c r="E1912" s="11">
        <f>IF(A1912="","",$B$6*TAN(RADIANS(A1912)))</f>
        <v/>
      </c>
    </row>
    <row r="1913">
      <c r="A1913" s="10" t="n"/>
      <c r="B1913" s="10" t="n"/>
      <c r="C1913" s="11">
        <f>IF(A1913="","",$B$5*TAN(RADIANS(A1913)))</f>
        <v/>
      </c>
      <c r="D1913" s="11">
        <f>IF(C1913="","",C1913*(1+B1913/100))</f>
        <v/>
      </c>
      <c r="E1913" s="11">
        <f>IF(A1913="","",$B$6*TAN(RADIANS(A1913)))</f>
        <v/>
      </c>
    </row>
    <row r="1914">
      <c r="A1914" s="10" t="n"/>
      <c r="B1914" s="10" t="n"/>
      <c r="C1914" s="11">
        <f>IF(A1914="","",$B$5*TAN(RADIANS(A1914)))</f>
        <v/>
      </c>
      <c r="D1914" s="11">
        <f>IF(C1914="","",C1914*(1+B1914/100))</f>
        <v/>
      </c>
      <c r="E1914" s="11">
        <f>IF(A1914="","",$B$6*TAN(RADIANS(A1914)))</f>
        <v/>
      </c>
    </row>
    <row r="1915">
      <c r="A1915" s="10" t="n"/>
      <c r="B1915" s="10" t="n"/>
      <c r="C1915" s="11">
        <f>IF(A1915="","",$B$5*TAN(RADIANS(A1915)))</f>
        <v/>
      </c>
      <c r="D1915" s="11">
        <f>IF(C1915="","",C1915*(1+B1915/100))</f>
        <v/>
      </c>
      <c r="E1915" s="11">
        <f>IF(A1915="","",$B$6*TAN(RADIANS(A1915)))</f>
        <v/>
      </c>
    </row>
    <row r="1916">
      <c r="A1916" s="10" t="n"/>
      <c r="B1916" s="10" t="n"/>
      <c r="C1916" s="11">
        <f>IF(A1916="","",$B$5*TAN(RADIANS(A1916)))</f>
        <v/>
      </c>
      <c r="D1916" s="11">
        <f>IF(C1916="","",C1916*(1+B1916/100))</f>
        <v/>
      </c>
      <c r="E1916" s="11">
        <f>IF(A1916="","",$B$6*TAN(RADIANS(A1916)))</f>
        <v/>
      </c>
    </row>
    <row r="1917">
      <c r="A1917" s="10" t="n"/>
      <c r="B1917" s="10" t="n"/>
      <c r="C1917" s="11">
        <f>IF(A1917="","",$B$5*TAN(RADIANS(A1917)))</f>
        <v/>
      </c>
      <c r="D1917" s="11">
        <f>IF(C1917="","",C1917*(1+B1917/100))</f>
        <v/>
      </c>
      <c r="E1917" s="11">
        <f>IF(A1917="","",$B$6*TAN(RADIANS(A1917)))</f>
        <v/>
      </c>
    </row>
    <row r="1918">
      <c r="A1918" s="10" t="n"/>
      <c r="B1918" s="10" t="n"/>
      <c r="C1918" s="11">
        <f>IF(A1918="","",$B$5*TAN(RADIANS(A1918)))</f>
        <v/>
      </c>
      <c r="D1918" s="11">
        <f>IF(C1918="","",C1918*(1+B1918/100))</f>
        <v/>
      </c>
      <c r="E1918" s="11">
        <f>IF(A1918="","",$B$6*TAN(RADIANS(A1918)))</f>
        <v/>
      </c>
    </row>
    <row r="1919">
      <c r="A1919" s="10" t="n"/>
      <c r="B1919" s="10" t="n"/>
      <c r="C1919" s="11">
        <f>IF(A1919="","",$B$5*TAN(RADIANS(A1919)))</f>
        <v/>
      </c>
      <c r="D1919" s="11">
        <f>IF(C1919="","",C1919*(1+B1919/100))</f>
        <v/>
      </c>
      <c r="E1919" s="11">
        <f>IF(A1919="","",$B$6*TAN(RADIANS(A1919)))</f>
        <v/>
      </c>
    </row>
    <row r="1920">
      <c r="A1920" s="10" t="n"/>
      <c r="B1920" s="10" t="n"/>
      <c r="C1920" s="11">
        <f>IF(A1920="","",$B$5*TAN(RADIANS(A1920)))</f>
        <v/>
      </c>
      <c r="D1920" s="11">
        <f>IF(C1920="","",C1920*(1+B1920/100))</f>
        <v/>
      </c>
      <c r="E1920" s="11">
        <f>IF(A1920="","",$B$6*TAN(RADIANS(A1920)))</f>
        <v/>
      </c>
    </row>
    <row r="1921">
      <c r="A1921" s="10" t="n"/>
      <c r="B1921" s="10" t="n"/>
      <c r="C1921" s="11">
        <f>IF(A1921="","",$B$5*TAN(RADIANS(A1921)))</f>
        <v/>
      </c>
      <c r="D1921" s="11">
        <f>IF(C1921="","",C1921*(1+B1921/100))</f>
        <v/>
      </c>
      <c r="E1921" s="11">
        <f>IF(A1921="","",$B$6*TAN(RADIANS(A1921)))</f>
        <v/>
      </c>
    </row>
    <row r="1922">
      <c r="A1922" s="10" t="n"/>
      <c r="B1922" s="10" t="n"/>
      <c r="C1922" s="11">
        <f>IF(A1922="","",$B$5*TAN(RADIANS(A1922)))</f>
        <v/>
      </c>
      <c r="D1922" s="11">
        <f>IF(C1922="","",C1922*(1+B1922/100))</f>
        <v/>
      </c>
      <c r="E1922" s="11">
        <f>IF(A1922="","",$B$6*TAN(RADIANS(A1922)))</f>
        <v/>
      </c>
    </row>
    <row r="1923">
      <c r="A1923" s="10" t="n"/>
      <c r="B1923" s="10" t="n"/>
      <c r="C1923" s="11">
        <f>IF(A1923="","",$B$5*TAN(RADIANS(A1923)))</f>
        <v/>
      </c>
      <c r="D1923" s="11">
        <f>IF(C1923="","",C1923*(1+B1923/100))</f>
        <v/>
      </c>
      <c r="E1923" s="11">
        <f>IF(A1923="","",$B$6*TAN(RADIANS(A1923)))</f>
        <v/>
      </c>
    </row>
    <row r="1924">
      <c r="A1924" s="10" t="n"/>
      <c r="B1924" s="10" t="n"/>
      <c r="C1924" s="11">
        <f>IF(A1924="","",$B$5*TAN(RADIANS(A1924)))</f>
        <v/>
      </c>
      <c r="D1924" s="11">
        <f>IF(C1924="","",C1924*(1+B1924/100))</f>
        <v/>
      </c>
      <c r="E1924" s="11">
        <f>IF(A1924="","",$B$6*TAN(RADIANS(A1924)))</f>
        <v/>
      </c>
    </row>
    <row r="1925">
      <c r="A1925" s="10" t="n"/>
      <c r="B1925" s="10" t="n"/>
      <c r="C1925" s="11">
        <f>IF(A1925="","",$B$5*TAN(RADIANS(A1925)))</f>
        <v/>
      </c>
      <c r="D1925" s="11">
        <f>IF(C1925="","",C1925*(1+B1925/100))</f>
        <v/>
      </c>
      <c r="E1925" s="11">
        <f>IF(A1925="","",$B$6*TAN(RADIANS(A1925)))</f>
        <v/>
      </c>
    </row>
    <row r="1926">
      <c r="A1926" s="10" t="n"/>
      <c r="B1926" s="10" t="n"/>
      <c r="C1926" s="11">
        <f>IF(A1926="","",$B$5*TAN(RADIANS(A1926)))</f>
        <v/>
      </c>
      <c r="D1926" s="11">
        <f>IF(C1926="","",C1926*(1+B1926/100))</f>
        <v/>
      </c>
      <c r="E1926" s="11">
        <f>IF(A1926="","",$B$6*TAN(RADIANS(A1926)))</f>
        <v/>
      </c>
    </row>
    <row r="1927">
      <c r="A1927" s="10" t="n"/>
      <c r="B1927" s="10" t="n"/>
      <c r="C1927" s="11">
        <f>IF(A1927="","",$B$5*TAN(RADIANS(A1927)))</f>
        <v/>
      </c>
      <c r="D1927" s="11">
        <f>IF(C1927="","",C1927*(1+B1927/100))</f>
        <v/>
      </c>
      <c r="E1927" s="11">
        <f>IF(A1927="","",$B$6*TAN(RADIANS(A1927)))</f>
        <v/>
      </c>
    </row>
    <row r="1928">
      <c r="A1928" s="10" t="n"/>
      <c r="B1928" s="10" t="n"/>
      <c r="C1928" s="11">
        <f>IF(A1928="","",$B$5*TAN(RADIANS(A1928)))</f>
        <v/>
      </c>
      <c r="D1928" s="11">
        <f>IF(C1928="","",C1928*(1+B1928/100))</f>
        <v/>
      </c>
      <c r="E1928" s="11">
        <f>IF(A1928="","",$B$6*TAN(RADIANS(A1928)))</f>
        <v/>
      </c>
    </row>
    <row r="1929">
      <c r="A1929" s="10" t="n"/>
      <c r="B1929" s="10" t="n"/>
      <c r="C1929" s="11">
        <f>IF(A1929="","",$B$5*TAN(RADIANS(A1929)))</f>
        <v/>
      </c>
      <c r="D1929" s="11">
        <f>IF(C1929="","",C1929*(1+B1929/100))</f>
        <v/>
      </c>
      <c r="E1929" s="11">
        <f>IF(A1929="","",$B$6*TAN(RADIANS(A1929)))</f>
        <v/>
      </c>
    </row>
    <row r="1930">
      <c r="A1930" s="10" t="n"/>
      <c r="B1930" s="10" t="n"/>
      <c r="C1930" s="11">
        <f>IF(A1930="","",$B$5*TAN(RADIANS(A1930)))</f>
        <v/>
      </c>
      <c r="D1930" s="11">
        <f>IF(C1930="","",C1930*(1+B1930/100))</f>
        <v/>
      </c>
      <c r="E1930" s="11">
        <f>IF(A1930="","",$B$6*TAN(RADIANS(A1930)))</f>
        <v/>
      </c>
    </row>
    <row r="1931">
      <c r="A1931" s="10" t="n"/>
      <c r="B1931" s="10" t="n"/>
      <c r="C1931" s="11">
        <f>IF(A1931="","",$B$5*TAN(RADIANS(A1931)))</f>
        <v/>
      </c>
      <c r="D1931" s="11">
        <f>IF(C1931="","",C1931*(1+B1931/100))</f>
        <v/>
      </c>
      <c r="E1931" s="11">
        <f>IF(A1931="","",$B$6*TAN(RADIANS(A1931)))</f>
        <v/>
      </c>
    </row>
    <row r="1932">
      <c r="A1932" s="10" t="n"/>
      <c r="B1932" s="10" t="n"/>
      <c r="C1932" s="11">
        <f>IF(A1932="","",$B$5*TAN(RADIANS(A1932)))</f>
        <v/>
      </c>
      <c r="D1932" s="11">
        <f>IF(C1932="","",C1932*(1+B1932/100))</f>
        <v/>
      </c>
      <c r="E1932" s="11">
        <f>IF(A1932="","",$B$6*TAN(RADIANS(A1932)))</f>
        <v/>
      </c>
    </row>
    <row r="1933">
      <c r="A1933" s="10" t="n"/>
      <c r="B1933" s="10" t="n"/>
      <c r="C1933" s="11">
        <f>IF(A1933="","",$B$5*TAN(RADIANS(A1933)))</f>
        <v/>
      </c>
      <c r="D1933" s="11">
        <f>IF(C1933="","",C1933*(1+B1933/100))</f>
        <v/>
      </c>
      <c r="E1933" s="11">
        <f>IF(A1933="","",$B$6*TAN(RADIANS(A1933)))</f>
        <v/>
      </c>
    </row>
    <row r="1934">
      <c r="A1934" s="10" t="n"/>
      <c r="B1934" s="10" t="n"/>
      <c r="C1934" s="11">
        <f>IF(A1934="","",$B$5*TAN(RADIANS(A1934)))</f>
        <v/>
      </c>
      <c r="D1934" s="11">
        <f>IF(C1934="","",C1934*(1+B1934/100))</f>
        <v/>
      </c>
      <c r="E1934" s="11">
        <f>IF(A1934="","",$B$6*TAN(RADIANS(A1934)))</f>
        <v/>
      </c>
    </row>
    <row r="1935">
      <c r="A1935" s="10" t="n"/>
      <c r="B1935" s="10" t="n"/>
      <c r="C1935" s="11">
        <f>IF(A1935="","",$B$5*TAN(RADIANS(A1935)))</f>
        <v/>
      </c>
      <c r="D1935" s="11">
        <f>IF(C1935="","",C1935*(1+B1935/100))</f>
        <v/>
      </c>
      <c r="E1935" s="11">
        <f>IF(A1935="","",$B$6*TAN(RADIANS(A1935)))</f>
        <v/>
      </c>
    </row>
    <row r="1936">
      <c r="A1936" s="10" t="n"/>
      <c r="B1936" s="10" t="n"/>
      <c r="C1936" s="11">
        <f>IF(A1936="","",$B$5*TAN(RADIANS(A1936)))</f>
        <v/>
      </c>
      <c r="D1936" s="11">
        <f>IF(C1936="","",C1936*(1+B1936/100))</f>
        <v/>
      </c>
      <c r="E1936" s="11">
        <f>IF(A1936="","",$B$6*TAN(RADIANS(A1936)))</f>
        <v/>
      </c>
    </row>
    <row r="1937">
      <c r="A1937" s="10" t="n"/>
      <c r="B1937" s="10" t="n"/>
      <c r="C1937" s="11">
        <f>IF(A1937="","",$B$5*TAN(RADIANS(A1937)))</f>
        <v/>
      </c>
      <c r="D1937" s="11">
        <f>IF(C1937="","",C1937*(1+B1937/100))</f>
        <v/>
      </c>
      <c r="E1937" s="11">
        <f>IF(A1937="","",$B$6*TAN(RADIANS(A1937)))</f>
        <v/>
      </c>
    </row>
    <row r="1938">
      <c r="A1938" s="10" t="n"/>
      <c r="B1938" s="10" t="n"/>
      <c r="C1938" s="11">
        <f>IF(A1938="","",$B$5*TAN(RADIANS(A1938)))</f>
        <v/>
      </c>
      <c r="D1938" s="11">
        <f>IF(C1938="","",C1938*(1+B1938/100))</f>
        <v/>
      </c>
      <c r="E1938" s="11">
        <f>IF(A1938="","",$B$6*TAN(RADIANS(A1938)))</f>
        <v/>
      </c>
    </row>
    <row r="1939">
      <c r="A1939" s="10" t="n"/>
      <c r="B1939" s="10" t="n"/>
      <c r="C1939" s="11">
        <f>IF(A1939="","",$B$5*TAN(RADIANS(A1939)))</f>
        <v/>
      </c>
      <c r="D1939" s="11">
        <f>IF(C1939="","",C1939*(1+B1939/100))</f>
        <v/>
      </c>
      <c r="E1939" s="11">
        <f>IF(A1939="","",$B$6*TAN(RADIANS(A1939)))</f>
        <v/>
      </c>
    </row>
    <row r="1940">
      <c r="A1940" s="10" t="n"/>
      <c r="B1940" s="10" t="n"/>
      <c r="C1940" s="11">
        <f>IF(A1940="","",$B$5*TAN(RADIANS(A1940)))</f>
        <v/>
      </c>
      <c r="D1940" s="11">
        <f>IF(C1940="","",C1940*(1+B1940/100))</f>
        <v/>
      </c>
      <c r="E1940" s="11">
        <f>IF(A1940="","",$B$6*TAN(RADIANS(A1940)))</f>
        <v/>
      </c>
    </row>
    <row r="1941">
      <c r="A1941" s="10" t="n"/>
      <c r="B1941" s="10" t="n"/>
      <c r="C1941" s="11">
        <f>IF(A1941="","",$B$5*TAN(RADIANS(A1941)))</f>
        <v/>
      </c>
      <c r="D1941" s="11">
        <f>IF(C1941="","",C1941*(1+B1941/100))</f>
        <v/>
      </c>
      <c r="E1941" s="11">
        <f>IF(A1941="","",$B$6*TAN(RADIANS(A1941)))</f>
        <v/>
      </c>
    </row>
    <row r="1942">
      <c r="A1942" s="10" t="n"/>
      <c r="B1942" s="10" t="n"/>
      <c r="C1942" s="11">
        <f>IF(A1942="","",$B$5*TAN(RADIANS(A1942)))</f>
        <v/>
      </c>
      <c r="D1942" s="11">
        <f>IF(C1942="","",C1942*(1+B1942/100))</f>
        <v/>
      </c>
      <c r="E1942" s="11">
        <f>IF(A1942="","",$B$6*TAN(RADIANS(A1942)))</f>
        <v/>
      </c>
    </row>
    <row r="1943">
      <c r="A1943" s="10" t="n"/>
      <c r="B1943" s="10" t="n"/>
      <c r="C1943" s="11">
        <f>IF(A1943="","",$B$5*TAN(RADIANS(A1943)))</f>
        <v/>
      </c>
      <c r="D1943" s="11">
        <f>IF(C1943="","",C1943*(1+B1943/100))</f>
        <v/>
      </c>
      <c r="E1943" s="11">
        <f>IF(A1943="","",$B$6*TAN(RADIANS(A1943)))</f>
        <v/>
      </c>
    </row>
    <row r="1944">
      <c r="A1944" s="10" t="n"/>
      <c r="B1944" s="10" t="n"/>
      <c r="C1944" s="11">
        <f>IF(A1944="","",$B$5*TAN(RADIANS(A1944)))</f>
        <v/>
      </c>
      <c r="D1944" s="11">
        <f>IF(C1944="","",C1944*(1+B1944/100))</f>
        <v/>
      </c>
      <c r="E1944" s="11">
        <f>IF(A1944="","",$B$6*TAN(RADIANS(A1944)))</f>
        <v/>
      </c>
    </row>
    <row r="1945">
      <c r="A1945" s="10" t="n"/>
      <c r="B1945" s="10" t="n"/>
      <c r="C1945" s="11">
        <f>IF(A1945="","",$B$5*TAN(RADIANS(A1945)))</f>
        <v/>
      </c>
      <c r="D1945" s="11">
        <f>IF(C1945="","",C1945*(1+B1945/100))</f>
        <v/>
      </c>
      <c r="E1945" s="11">
        <f>IF(A1945="","",$B$6*TAN(RADIANS(A1945)))</f>
        <v/>
      </c>
    </row>
    <row r="1946">
      <c r="A1946" s="10" t="n"/>
      <c r="B1946" s="10" t="n"/>
      <c r="C1946" s="11">
        <f>IF(A1946="","",$B$5*TAN(RADIANS(A1946)))</f>
        <v/>
      </c>
      <c r="D1946" s="11">
        <f>IF(C1946="","",C1946*(1+B1946/100))</f>
        <v/>
      </c>
      <c r="E1946" s="11">
        <f>IF(A1946="","",$B$6*TAN(RADIANS(A1946)))</f>
        <v/>
      </c>
    </row>
    <row r="1947">
      <c r="A1947" s="10" t="n"/>
      <c r="B1947" s="10" t="n"/>
      <c r="C1947" s="11">
        <f>IF(A1947="","",$B$5*TAN(RADIANS(A1947)))</f>
        <v/>
      </c>
      <c r="D1947" s="11">
        <f>IF(C1947="","",C1947*(1+B1947/100))</f>
        <v/>
      </c>
      <c r="E1947" s="11">
        <f>IF(A1947="","",$B$6*TAN(RADIANS(A1947)))</f>
        <v/>
      </c>
    </row>
    <row r="1948">
      <c r="A1948" s="10" t="n"/>
      <c r="B1948" s="10" t="n"/>
      <c r="C1948" s="11">
        <f>IF(A1948="","",$B$5*TAN(RADIANS(A1948)))</f>
        <v/>
      </c>
      <c r="D1948" s="11">
        <f>IF(C1948="","",C1948*(1+B1948/100))</f>
        <v/>
      </c>
      <c r="E1948" s="11">
        <f>IF(A1948="","",$B$6*TAN(RADIANS(A1948)))</f>
        <v/>
      </c>
    </row>
    <row r="1949">
      <c r="A1949" s="10" t="n"/>
      <c r="B1949" s="10" t="n"/>
      <c r="C1949" s="11">
        <f>IF(A1949="","",$B$5*TAN(RADIANS(A1949)))</f>
        <v/>
      </c>
      <c r="D1949" s="11">
        <f>IF(C1949="","",C1949*(1+B1949/100))</f>
        <v/>
      </c>
      <c r="E1949" s="11">
        <f>IF(A1949="","",$B$6*TAN(RADIANS(A1949)))</f>
        <v/>
      </c>
    </row>
    <row r="1950">
      <c r="A1950" s="10" t="n"/>
      <c r="B1950" s="10" t="n"/>
      <c r="C1950" s="11">
        <f>IF(A1950="","",$B$5*TAN(RADIANS(A1950)))</f>
        <v/>
      </c>
      <c r="D1950" s="11">
        <f>IF(C1950="","",C1950*(1+B1950/100))</f>
        <v/>
      </c>
      <c r="E1950" s="11">
        <f>IF(A1950="","",$B$6*TAN(RADIANS(A1950)))</f>
        <v/>
      </c>
    </row>
    <row r="1951">
      <c r="A1951" s="10" t="n"/>
      <c r="B1951" s="10" t="n"/>
      <c r="C1951" s="11">
        <f>IF(A1951="","",$B$5*TAN(RADIANS(A1951)))</f>
        <v/>
      </c>
      <c r="D1951" s="11">
        <f>IF(C1951="","",C1951*(1+B1951/100))</f>
        <v/>
      </c>
      <c r="E1951" s="11">
        <f>IF(A1951="","",$B$6*TAN(RADIANS(A1951)))</f>
        <v/>
      </c>
    </row>
    <row r="1952">
      <c r="A1952" s="10" t="n"/>
      <c r="B1952" s="10" t="n"/>
      <c r="C1952" s="11">
        <f>IF(A1952="","",$B$5*TAN(RADIANS(A1952)))</f>
        <v/>
      </c>
      <c r="D1952" s="11">
        <f>IF(C1952="","",C1952*(1+B1952/100))</f>
        <v/>
      </c>
      <c r="E1952" s="11">
        <f>IF(A1952="","",$B$6*TAN(RADIANS(A1952)))</f>
        <v/>
      </c>
    </row>
    <row r="1953">
      <c r="A1953" s="10" t="n"/>
      <c r="B1953" s="10" t="n"/>
      <c r="C1953" s="11">
        <f>IF(A1953="","",$B$5*TAN(RADIANS(A1953)))</f>
        <v/>
      </c>
      <c r="D1953" s="11">
        <f>IF(C1953="","",C1953*(1+B1953/100))</f>
        <v/>
      </c>
      <c r="E1953" s="11">
        <f>IF(A1953="","",$B$6*TAN(RADIANS(A1953)))</f>
        <v/>
      </c>
    </row>
    <row r="1954">
      <c r="A1954" s="10" t="n"/>
      <c r="B1954" s="10" t="n"/>
      <c r="C1954" s="11">
        <f>IF(A1954="","",$B$5*TAN(RADIANS(A1954)))</f>
        <v/>
      </c>
      <c r="D1954" s="11">
        <f>IF(C1954="","",C1954*(1+B1954/100))</f>
        <v/>
      </c>
      <c r="E1954" s="11">
        <f>IF(A1954="","",$B$6*TAN(RADIANS(A1954)))</f>
        <v/>
      </c>
    </row>
    <row r="1955">
      <c r="A1955" s="10" t="n"/>
      <c r="B1955" s="10" t="n"/>
      <c r="C1955" s="11">
        <f>IF(A1955="","",$B$5*TAN(RADIANS(A1955)))</f>
        <v/>
      </c>
      <c r="D1955" s="11">
        <f>IF(C1955="","",C1955*(1+B1955/100))</f>
        <v/>
      </c>
      <c r="E1955" s="11">
        <f>IF(A1955="","",$B$6*TAN(RADIANS(A1955)))</f>
        <v/>
      </c>
    </row>
    <row r="1956">
      <c r="A1956" s="10" t="n"/>
      <c r="B1956" s="10" t="n"/>
      <c r="C1956" s="11">
        <f>IF(A1956="","",$B$5*TAN(RADIANS(A1956)))</f>
        <v/>
      </c>
      <c r="D1956" s="11">
        <f>IF(C1956="","",C1956*(1+B1956/100))</f>
        <v/>
      </c>
      <c r="E1956" s="11">
        <f>IF(A1956="","",$B$6*TAN(RADIANS(A1956)))</f>
        <v/>
      </c>
    </row>
    <row r="1957">
      <c r="A1957" s="10" t="n"/>
      <c r="B1957" s="10" t="n"/>
      <c r="C1957" s="11">
        <f>IF(A1957="","",$B$5*TAN(RADIANS(A1957)))</f>
        <v/>
      </c>
      <c r="D1957" s="11">
        <f>IF(C1957="","",C1957*(1+B1957/100))</f>
        <v/>
      </c>
      <c r="E1957" s="11">
        <f>IF(A1957="","",$B$6*TAN(RADIANS(A1957)))</f>
        <v/>
      </c>
    </row>
    <row r="1958">
      <c r="A1958" s="10" t="n"/>
      <c r="B1958" s="10" t="n"/>
      <c r="C1958" s="11">
        <f>IF(A1958="","",$B$5*TAN(RADIANS(A1958)))</f>
        <v/>
      </c>
      <c r="D1958" s="11">
        <f>IF(C1958="","",C1958*(1+B1958/100))</f>
        <v/>
      </c>
      <c r="E1958" s="11">
        <f>IF(A1958="","",$B$6*TAN(RADIANS(A1958)))</f>
        <v/>
      </c>
    </row>
    <row r="1959">
      <c r="A1959" s="10" t="n"/>
      <c r="B1959" s="10" t="n"/>
      <c r="C1959" s="11">
        <f>IF(A1959="","",$B$5*TAN(RADIANS(A1959)))</f>
        <v/>
      </c>
      <c r="D1959" s="11">
        <f>IF(C1959="","",C1959*(1+B1959/100))</f>
        <v/>
      </c>
      <c r="E1959" s="11">
        <f>IF(A1959="","",$B$6*TAN(RADIANS(A1959)))</f>
        <v/>
      </c>
    </row>
    <row r="1960">
      <c r="A1960" s="10" t="n"/>
      <c r="B1960" s="10" t="n"/>
      <c r="C1960" s="11">
        <f>IF(A1960="","",$B$5*TAN(RADIANS(A1960)))</f>
        <v/>
      </c>
      <c r="D1960" s="11">
        <f>IF(C1960="","",C1960*(1+B1960/100))</f>
        <v/>
      </c>
      <c r="E1960" s="11">
        <f>IF(A1960="","",$B$6*TAN(RADIANS(A1960)))</f>
        <v/>
      </c>
    </row>
    <row r="1961">
      <c r="A1961" s="10" t="n"/>
      <c r="B1961" s="10" t="n"/>
      <c r="C1961" s="11">
        <f>IF(A1961="","",$B$5*TAN(RADIANS(A1961)))</f>
        <v/>
      </c>
      <c r="D1961" s="11">
        <f>IF(C1961="","",C1961*(1+B1961/100))</f>
        <v/>
      </c>
      <c r="E1961" s="11">
        <f>IF(A1961="","",$B$6*TAN(RADIANS(A1961)))</f>
        <v/>
      </c>
    </row>
    <row r="1962">
      <c r="A1962" s="10" t="n"/>
      <c r="B1962" s="10" t="n"/>
      <c r="C1962" s="11">
        <f>IF(A1962="","",$B$5*TAN(RADIANS(A1962)))</f>
        <v/>
      </c>
      <c r="D1962" s="11">
        <f>IF(C1962="","",C1962*(1+B1962/100))</f>
        <v/>
      </c>
      <c r="E1962" s="11">
        <f>IF(A1962="","",$B$6*TAN(RADIANS(A1962)))</f>
        <v/>
      </c>
    </row>
    <row r="1963">
      <c r="A1963" s="10" t="n"/>
      <c r="B1963" s="10" t="n"/>
      <c r="C1963" s="11">
        <f>IF(A1963="","",$B$5*TAN(RADIANS(A1963)))</f>
        <v/>
      </c>
      <c r="D1963" s="11">
        <f>IF(C1963="","",C1963*(1+B1963/100))</f>
        <v/>
      </c>
      <c r="E1963" s="11">
        <f>IF(A1963="","",$B$6*TAN(RADIANS(A1963)))</f>
        <v/>
      </c>
    </row>
    <row r="1964">
      <c r="A1964" s="10" t="n"/>
      <c r="B1964" s="10" t="n"/>
      <c r="C1964" s="11">
        <f>IF(A1964="","",$B$5*TAN(RADIANS(A1964)))</f>
        <v/>
      </c>
      <c r="D1964" s="11">
        <f>IF(C1964="","",C1964*(1+B1964/100))</f>
        <v/>
      </c>
      <c r="E1964" s="11">
        <f>IF(A1964="","",$B$6*TAN(RADIANS(A1964)))</f>
        <v/>
      </c>
    </row>
    <row r="1965">
      <c r="A1965" s="10" t="n"/>
      <c r="B1965" s="10" t="n"/>
      <c r="C1965" s="11">
        <f>IF(A1965="","",$B$5*TAN(RADIANS(A1965)))</f>
        <v/>
      </c>
      <c r="D1965" s="11">
        <f>IF(C1965="","",C1965*(1+B1965/100))</f>
        <v/>
      </c>
      <c r="E1965" s="11">
        <f>IF(A1965="","",$B$6*TAN(RADIANS(A1965)))</f>
        <v/>
      </c>
    </row>
    <row r="1966">
      <c r="A1966" s="10" t="n"/>
      <c r="B1966" s="10" t="n"/>
      <c r="C1966" s="11">
        <f>IF(A1966="","",$B$5*TAN(RADIANS(A1966)))</f>
        <v/>
      </c>
      <c r="D1966" s="11">
        <f>IF(C1966="","",C1966*(1+B1966/100))</f>
        <v/>
      </c>
      <c r="E1966" s="11">
        <f>IF(A1966="","",$B$6*TAN(RADIANS(A1966)))</f>
        <v/>
      </c>
    </row>
    <row r="1967">
      <c r="A1967" s="10" t="n"/>
      <c r="B1967" s="10" t="n"/>
      <c r="C1967" s="11">
        <f>IF(A1967="","",$B$5*TAN(RADIANS(A1967)))</f>
        <v/>
      </c>
      <c r="D1967" s="11">
        <f>IF(C1967="","",C1967*(1+B1967/100))</f>
        <v/>
      </c>
      <c r="E1967" s="11">
        <f>IF(A1967="","",$B$6*TAN(RADIANS(A1967)))</f>
        <v/>
      </c>
    </row>
    <row r="1968">
      <c r="A1968" s="10" t="n"/>
      <c r="B1968" s="10" t="n"/>
      <c r="C1968" s="11">
        <f>IF(A1968="","",$B$5*TAN(RADIANS(A1968)))</f>
        <v/>
      </c>
      <c r="D1968" s="11">
        <f>IF(C1968="","",C1968*(1+B1968/100))</f>
        <v/>
      </c>
      <c r="E1968" s="11">
        <f>IF(A1968="","",$B$6*TAN(RADIANS(A1968)))</f>
        <v/>
      </c>
    </row>
    <row r="1969">
      <c r="A1969" s="10" t="n"/>
      <c r="B1969" s="10" t="n"/>
      <c r="C1969" s="11">
        <f>IF(A1969="","",$B$5*TAN(RADIANS(A1969)))</f>
        <v/>
      </c>
      <c r="D1969" s="11">
        <f>IF(C1969="","",C1969*(1+B1969/100))</f>
        <v/>
      </c>
      <c r="E1969" s="11">
        <f>IF(A1969="","",$B$6*TAN(RADIANS(A1969)))</f>
        <v/>
      </c>
    </row>
    <row r="1970">
      <c r="A1970" s="10" t="n"/>
      <c r="B1970" s="10" t="n"/>
      <c r="C1970" s="11">
        <f>IF(A1970="","",$B$5*TAN(RADIANS(A1970)))</f>
        <v/>
      </c>
      <c r="D1970" s="11">
        <f>IF(C1970="","",C1970*(1+B1970/100))</f>
        <v/>
      </c>
      <c r="E1970" s="11">
        <f>IF(A1970="","",$B$6*TAN(RADIANS(A1970)))</f>
        <v/>
      </c>
    </row>
    <row r="1971">
      <c r="A1971" s="10" t="n"/>
      <c r="B1971" s="10" t="n"/>
      <c r="C1971" s="11">
        <f>IF(A1971="","",$B$5*TAN(RADIANS(A1971)))</f>
        <v/>
      </c>
      <c r="D1971" s="11">
        <f>IF(C1971="","",C1971*(1+B1971/100))</f>
        <v/>
      </c>
      <c r="E1971" s="11">
        <f>IF(A1971="","",$B$6*TAN(RADIANS(A1971)))</f>
        <v/>
      </c>
    </row>
    <row r="1972">
      <c r="A1972" s="10" t="n"/>
      <c r="B1972" s="10" t="n"/>
      <c r="C1972" s="11">
        <f>IF(A1972="","",$B$5*TAN(RADIANS(A1972)))</f>
        <v/>
      </c>
      <c r="D1972" s="11">
        <f>IF(C1972="","",C1972*(1+B1972/100))</f>
        <v/>
      </c>
      <c r="E1972" s="11">
        <f>IF(A1972="","",$B$6*TAN(RADIANS(A1972)))</f>
        <v/>
      </c>
    </row>
    <row r="1973">
      <c r="A1973" s="10" t="n"/>
      <c r="B1973" s="10" t="n"/>
      <c r="C1973" s="11">
        <f>IF(A1973="","",$B$5*TAN(RADIANS(A1973)))</f>
        <v/>
      </c>
      <c r="D1973" s="11">
        <f>IF(C1973="","",C1973*(1+B1973/100))</f>
        <v/>
      </c>
      <c r="E1973" s="11">
        <f>IF(A1973="","",$B$6*TAN(RADIANS(A1973)))</f>
        <v/>
      </c>
    </row>
    <row r="1974">
      <c r="A1974" s="10" t="n"/>
      <c r="B1974" s="10" t="n"/>
      <c r="C1974" s="11">
        <f>IF(A1974="","",$B$5*TAN(RADIANS(A1974)))</f>
        <v/>
      </c>
      <c r="D1974" s="11">
        <f>IF(C1974="","",C1974*(1+B1974/100))</f>
        <v/>
      </c>
      <c r="E1974" s="11">
        <f>IF(A1974="","",$B$6*TAN(RADIANS(A1974)))</f>
        <v/>
      </c>
    </row>
    <row r="1975">
      <c r="A1975" s="10" t="n"/>
      <c r="B1975" s="10" t="n"/>
      <c r="C1975" s="11">
        <f>IF(A1975="","",$B$5*TAN(RADIANS(A1975)))</f>
        <v/>
      </c>
      <c r="D1975" s="11">
        <f>IF(C1975="","",C1975*(1+B1975/100))</f>
        <v/>
      </c>
      <c r="E1975" s="11">
        <f>IF(A1975="","",$B$6*TAN(RADIANS(A1975)))</f>
        <v/>
      </c>
    </row>
    <row r="1976">
      <c r="A1976" s="10" t="n"/>
      <c r="B1976" s="10" t="n"/>
      <c r="C1976" s="11">
        <f>IF(A1976="","",$B$5*TAN(RADIANS(A1976)))</f>
        <v/>
      </c>
      <c r="D1976" s="11">
        <f>IF(C1976="","",C1976*(1+B1976/100))</f>
        <v/>
      </c>
      <c r="E1976" s="11">
        <f>IF(A1976="","",$B$6*TAN(RADIANS(A1976)))</f>
        <v/>
      </c>
    </row>
    <row r="1977">
      <c r="A1977" s="10" t="n"/>
      <c r="B1977" s="10" t="n"/>
      <c r="C1977" s="11">
        <f>IF(A1977="","",$B$5*TAN(RADIANS(A1977)))</f>
        <v/>
      </c>
      <c r="D1977" s="11">
        <f>IF(C1977="","",C1977*(1+B1977/100))</f>
        <v/>
      </c>
      <c r="E1977" s="11">
        <f>IF(A1977="","",$B$6*TAN(RADIANS(A1977)))</f>
        <v/>
      </c>
    </row>
    <row r="1978">
      <c r="A1978" s="10" t="n"/>
      <c r="B1978" s="10" t="n"/>
      <c r="C1978" s="11">
        <f>IF(A1978="","",$B$5*TAN(RADIANS(A1978)))</f>
        <v/>
      </c>
      <c r="D1978" s="11">
        <f>IF(C1978="","",C1978*(1+B1978/100))</f>
        <v/>
      </c>
      <c r="E1978" s="11">
        <f>IF(A1978="","",$B$6*TAN(RADIANS(A1978)))</f>
        <v/>
      </c>
    </row>
    <row r="1979">
      <c r="A1979" s="10" t="n"/>
      <c r="B1979" s="10" t="n"/>
      <c r="C1979" s="11">
        <f>IF(A1979="","",$B$5*TAN(RADIANS(A1979)))</f>
        <v/>
      </c>
      <c r="D1979" s="11">
        <f>IF(C1979="","",C1979*(1+B1979/100))</f>
        <v/>
      </c>
      <c r="E1979" s="11">
        <f>IF(A1979="","",$B$6*TAN(RADIANS(A1979)))</f>
        <v/>
      </c>
    </row>
    <row r="1980">
      <c r="A1980" s="10" t="n"/>
      <c r="B1980" s="10" t="n"/>
      <c r="C1980" s="11">
        <f>IF(A1980="","",$B$5*TAN(RADIANS(A1980)))</f>
        <v/>
      </c>
      <c r="D1980" s="11">
        <f>IF(C1980="","",C1980*(1+B1980/100))</f>
        <v/>
      </c>
      <c r="E1980" s="11">
        <f>IF(A1980="","",$B$6*TAN(RADIANS(A1980)))</f>
        <v/>
      </c>
    </row>
    <row r="1981">
      <c r="A1981" s="10" t="n"/>
      <c r="B1981" s="10" t="n"/>
      <c r="C1981" s="11">
        <f>IF(A1981="","",$B$5*TAN(RADIANS(A1981)))</f>
        <v/>
      </c>
      <c r="D1981" s="11">
        <f>IF(C1981="","",C1981*(1+B1981/100))</f>
        <v/>
      </c>
      <c r="E1981" s="11">
        <f>IF(A1981="","",$B$6*TAN(RADIANS(A1981)))</f>
        <v/>
      </c>
    </row>
    <row r="1982">
      <c r="A1982" s="10" t="n"/>
      <c r="B1982" s="10" t="n"/>
      <c r="C1982" s="11">
        <f>IF(A1982="","",$B$5*TAN(RADIANS(A1982)))</f>
        <v/>
      </c>
      <c r="D1982" s="11">
        <f>IF(C1982="","",C1982*(1+B1982/100))</f>
        <v/>
      </c>
      <c r="E1982" s="11">
        <f>IF(A1982="","",$B$6*TAN(RADIANS(A1982)))</f>
        <v/>
      </c>
    </row>
    <row r="1983">
      <c r="A1983" s="10" t="n"/>
      <c r="B1983" s="10" t="n"/>
      <c r="C1983" s="11">
        <f>IF(A1983="","",$B$5*TAN(RADIANS(A1983)))</f>
        <v/>
      </c>
      <c r="D1983" s="11">
        <f>IF(C1983="","",C1983*(1+B1983/100))</f>
        <v/>
      </c>
      <c r="E1983" s="11">
        <f>IF(A1983="","",$B$6*TAN(RADIANS(A1983)))</f>
        <v/>
      </c>
    </row>
    <row r="1984">
      <c r="A1984" s="10" t="n"/>
      <c r="B1984" s="10" t="n"/>
      <c r="C1984" s="11">
        <f>IF(A1984="","",$B$5*TAN(RADIANS(A1984)))</f>
        <v/>
      </c>
      <c r="D1984" s="11">
        <f>IF(C1984="","",C1984*(1+B1984/100))</f>
        <v/>
      </c>
      <c r="E1984" s="11">
        <f>IF(A1984="","",$B$6*TAN(RADIANS(A1984)))</f>
        <v/>
      </c>
    </row>
    <row r="1985">
      <c r="A1985" s="10" t="n"/>
      <c r="B1985" s="10" t="n"/>
      <c r="C1985" s="11">
        <f>IF(A1985="","",$B$5*TAN(RADIANS(A1985)))</f>
        <v/>
      </c>
      <c r="D1985" s="11">
        <f>IF(C1985="","",C1985*(1+B1985/100))</f>
        <v/>
      </c>
      <c r="E1985" s="11">
        <f>IF(A1985="","",$B$6*TAN(RADIANS(A1985)))</f>
        <v/>
      </c>
    </row>
    <row r="1986">
      <c r="A1986" s="10" t="n"/>
      <c r="B1986" s="10" t="n"/>
      <c r="C1986" s="11">
        <f>IF(A1986="","",$B$5*TAN(RADIANS(A1986)))</f>
        <v/>
      </c>
      <c r="D1986" s="11">
        <f>IF(C1986="","",C1986*(1+B1986/100))</f>
        <v/>
      </c>
      <c r="E1986" s="11">
        <f>IF(A1986="","",$B$6*TAN(RADIANS(A1986)))</f>
        <v/>
      </c>
    </row>
    <row r="1987">
      <c r="A1987" s="10" t="n"/>
      <c r="B1987" s="10" t="n"/>
      <c r="C1987" s="11">
        <f>IF(A1987="","",$B$5*TAN(RADIANS(A1987)))</f>
        <v/>
      </c>
      <c r="D1987" s="11">
        <f>IF(C1987="","",C1987*(1+B1987/100))</f>
        <v/>
      </c>
      <c r="E1987" s="11">
        <f>IF(A1987="","",$B$6*TAN(RADIANS(A1987)))</f>
        <v/>
      </c>
    </row>
    <row r="1988">
      <c r="A1988" s="10" t="n"/>
      <c r="B1988" s="10" t="n"/>
      <c r="C1988" s="11">
        <f>IF(A1988="","",$B$5*TAN(RADIANS(A1988)))</f>
        <v/>
      </c>
      <c r="D1988" s="11">
        <f>IF(C1988="","",C1988*(1+B1988/100))</f>
        <v/>
      </c>
      <c r="E1988" s="11">
        <f>IF(A1988="","",$B$6*TAN(RADIANS(A1988)))</f>
        <v/>
      </c>
    </row>
    <row r="1989">
      <c r="A1989" s="10" t="n"/>
      <c r="B1989" s="10" t="n"/>
      <c r="C1989" s="11">
        <f>IF(A1989="","",$B$5*TAN(RADIANS(A1989)))</f>
        <v/>
      </c>
      <c r="D1989" s="11">
        <f>IF(C1989="","",C1989*(1+B1989/100))</f>
        <v/>
      </c>
      <c r="E1989" s="11">
        <f>IF(A1989="","",$B$6*TAN(RADIANS(A1989)))</f>
        <v/>
      </c>
    </row>
    <row r="1990">
      <c r="A1990" s="10" t="n"/>
      <c r="B1990" s="10" t="n"/>
      <c r="C1990" s="11">
        <f>IF(A1990="","",$B$5*TAN(RADIANS(A1990)))</f>
        <v/>
      </c>
      <c r="D1990" s="11">
        <f>IF(C1990="","",C1990*(1+B1990/100))</f>
        <v/>
      </c>
      <c r="E1990" s="11">
        <f>IF(A1990="","",$B$6*TAN(RADIANS(A1990)))</f>
        <v/>
      </c>
    </row>
    <row r="1991">
      <c r="A1991" s="10" t="n"/>
      <c r="B1991" s="10" t="n"/>
      <c r="C1991" s="11">
        <f>IF(A1991="","",$B$5*TAN(RADIANS(A1991)))</f>
        <v/>
      </c>
      <c r="D1991" s="11">
        <f>IF(C1991="","",C1991*(1+B1991/100))</f>
        <v/>
      </c>
      <c r="E1991" s="11">
        <f>IF(A1991="","",$B$6*TAN(RADIANS(A1991)))</f>
        <v/>
      </c>
    </row>
    <row r="1992">
      <c r="A1992" s="10" t="n"/>
      <c r="B1992" s="10" t="n"/>
      <c r="C1992" s="11">
        <f>IF(A1992="","",$B$5*TAN(RADIANS(A1992)))</f>
        <v/>
      </c>
      <c r="D1992" s="11">
        <f>IF(C1992="","",C1992*(1+B1992/100))</f>
        <v/>
      </c>
      <c r="E1992" s="11">
        <f>IF(A1992="","",$B$6*TAN(RADIANS(A1992)))</f>
        <v/>
      </c>
    </row>
    <row r="1993">
      <c r="A1993" s="10" t="n"/>
      <c r="B1993" s="10" t="n"/>
      <c r="C1993" s="11">
        <f>IF(A1993="","",$B$5*TAN(RADIANS(A1993)))</f>
        <v/>
      </c>
      <c r="D1993" s="11">
        <f>IF(C1993="","",C1993*(1+B1993/100))</f>
        <v/>
      </c>
      <c r="E1993" s="11">
        <f>IF(A1993="","",$B$6*TAN(RADIANS(A1993)))</f>
        <v/>
      </c>
    </row>
    <row r="1994">
      <c r="A1994" s="10" t="n"/>
      <c r="B1994" s="10" t="n"/>
      <c r="C1994" s="11">
        <f>IF(A1994="","",$B$5*TAN(RADIANS(A1994)))</f>
        <v/>
      </c>
      <c r="D1994" s="11">
        <f>IF(C1994="","",C1994*(1+B1994/100))</f>
        <v/>
      </c>
      <c r="E1994" s="11">
        <f>IF(A1994="","",$B$6*TAN(RADIANS(A1994)))</f>
        <v/>
      </c>
    </row>
    <row r="1995">
      <c r="A1995" s="10" t="n"/>
      <c r="B1995" s="10" t="n"/>
      <c r="C1995" s="11">
        <f>IF(A1995="","",$B$5*TAN(RADIANS(A1995)))</f>
        <v/>
      </c>
      <c r="D1995" s="11">
        <f>IF(C1995="","",C1995*(1+B1995/100))</f>
        <v/>
      </c>
      <c r="E1995" s="11">
        <f>IF(A1995="","",$B$6*TAN(RADIANS(A1995)))</f>
        <v/>
      </c>
    </row>
    <row r="1996">
      <c r="A1996" s="10" t="n"/>
      <c r="B1996" s="10" t="n"/>
      <c r="C1996" s="11">
        <f>IF(A1996="","",$B$5*TAN(RADIANS(A1996)))</f>
        <v/>
      </c>
      <c r="D1996" s="11">
        <f>IF(C1996="","",C1996*(1+B1996/100))</f>
        <v/>
      </c>
      <c r="E1996" s="11">
        <f>IF(A1996="","",$B$6*TAN(RADIANS(A1996)))</f>
        <v/>
      </c>
    </row>
    <row r="1997">
      <c r="A1997" s="10" t="n"/>
      <c r="B1997" s="10" t="n"/>
      <c r="C1997" s="11">
        <f>IF(A1997="","",$B$5*TAN(RADIANS(A1997)))</f>
        <v/>
      </c>
      <c r="D1997" s="11">
        <f>IF(C1997="","",C1997*(1+B1997/100))</f>
        <v/>
      </c>
      <c r="E1997" s="11">
        <f>IF(A1997="","",$B$6*TAN(RADIANS(A1997)))</f>
        <v/>
      </c>
    </row>
    <row r="1998">
      <c r="A1998" s="10" t="n"/>
      <c r="B1998" s="10" t="n"/>
      <c r="C1998" s="11">
        <f>IF(A1998="","",$B$5*TAN(RADIANS(A1998)))</f>
        <v/>
      </c>
      <c r="D1998" s="11">
        <f>IF(C1998="","",C1998*(1+B1998/100))</f>
        <v/>
      </c>
      <c r="E1998" s="11">
        <f>IF(A1998="","",$B$6*TAN(RADIANS(A1998)))</f>
        <v/>
      </c>
    </row>
    <row r="1999">
      <c r="A1999" s="10" t="n"/>
      <c r="B1999" s="10" t="n"/>
      <c r="C1999" s="11">
        <f>IF(A1999="","",$B$5*TAN(RADIANS(A1999)))</f>
        <v/>
      </c>
      <c r="D1999" s="11">
        <f>IF(C1999="","",C1999*(1+B1999/100))</f>
        <v/>
      </c>
      <c r="E1999" s="11">
        <f>IF(A1999="","",$B$6*TAN(RADIANS(A1999)))</f>
        <v/>
      </c>
    </row>
    <row r="2000">
      <c r="A2000" s="10" t="n"/>
      <c r="B2000" s="10" t="n"/>
      <c r="C2000" s="11">
        <f>IF(A2000="","",$B$5*TAN(RADIANS(A2000)))</f>
        <v/>
      </c>
      <c r="D2000" s="11">
        <f>IF(C2000="","",C2000*(1+B2000/100))</f>
        <v/>
      </c>
      <c r="E2000" s="11">
        <f>IF(A2000="","",$B$6*TAN(RADIANS(A2000)))</f>
        <v/>
      </c>
    </row>
    <row r="2001">
      <c r="A2001" s="10" t="n"/>
      <c r="B2001" s="10" t="n"/>
      <c r="C2001" s="11">
        <f>IF(A2001="","",$B$5*TAN(RADIANS(A2001)))</f>
        <v/>
      </c>
      <c r="D2001" s="11">
        <f>IF(C2001="","",C2001*(1+B2001/100))</f>
        <v/>
      </c>
      <c r="E2001" s="11">
        <f>IF(A2001="","",$B$6*TAN(RADIANS(A2001)))</f>
        <v/>
      </c>
    </row>
    <row r="2002">
      <c r="A2002" s="10" t="n"/>
      <c r="B2002" s="10" t="n"/>
      <c r="C2002" s="11">
        <f>IF(A2002="","",$B$5*TAN(RADIANS(A2002)))</f>
        <v/>
      </c>
      <c r="D2002" s="11">
        <f>IF(C2002="","",C2002*(1+B2002/100))</f>
        <v/>
      </c>
      <c r="E2002" s="11">
        <f>IF(A2002="","",$B$6*TAN(RADIANS(A2002)))</f>
        <v/>
      </c>
    </row>
    <row r="2003">
      <c r="A2003" s="10" t="n"/>
      <c r="B2003" s="10" t="n"/>
      <c r="C2003" s="11">
        <f>IF(A2003="","",$B$5*TAN(RADIANS(A2003)))</f>
        <v/>
      </c>
      <c r="D2003" s="11">
        <f>IF(C2003="","",C2003*(1+B2003/100))</f>
        <v/>
      </c>
      <c r="E2003" s="11">
        <f>IF(A2003="","",$B$6*TAN(RADIANS(A2003)))</f>
        <v/>
      </c>
    </row>
    <row r="2004">
      <c r="A2004" s="10" t="n"/>
      <c r="B2004" s="10" t="n"/>
      <c r="C2004" s="11">
        <f>IF(A2004="","",$B$5*TAN(RADIANS(A2004)))</f>
        <v/>
      </c>
      <c r="D2004" s="11">
        <f>IF(C2004="","",C2004*(1+B2004/100))</f>
        <v/>
      </c>
      <c r="E2004" s="11">
        <f>IF(A2004="","",$B$6*TAN(RADIANS(A2004)))</f>
        <v/>
      </c>
    </row>
    <row r="2005">
      <c r="A2005" s="10" t="n"/>
      <c r="B2005" s="10" t="n"/>
      <c r="C2005" s="11">
        <f>IF(A2005="","",$B$5*TAN(RADIANS(A2005)))</f>
        <v/>
      </c>
      <c r="D2005" s="11">
        <f>IF(C2005="","",C2005*(1+B2005/100))</f>
        <v/>
      </c>
      <c r="E2005" s="11">
        <f>IF(A2005="","",$B$6*TAN(RADIANS(A2005)))</f>
        <v/>
      </c>
    </row>
    <row r="2006">
      <c r="A2006" s="10" t="n"/>
      <c r="B2006" s="10" t="n"/>
      <c r="C2006" s="11">
        <f>IF(A2006="","",$B$5*TAN(RADIANS(A2006)))</f>
        <v/>
      </c>
      <c r="D2006" s="11">
        <f>IF(C2006="","",C2006*(1+B2006/100))</f>
        <v/>
      </c>
      <c r="E2006" s="11">
        <f>IF(A2006="","",$B$6*TAN(RADIANS(A2006)))</f>
        <v/>
      </c>
    </row>
    <row r="2007">
      <c r="A2007" s="10" t="n"/>
      <c r="B2007" s="10" t="n"/>
      <c r="C2007" s="11">
        <f>IF(A2007="","",$B$5*TAN(RADIANS(A2007)))</f>
        <v/>
      </c>
      <c r="D2007" s="11">
        <f>IF(C2007="","",C2007*(1+B2007/100))</f>
        <v/>
      </c>
      <c r="E2007" s="11">
        <f>IF(A2007="","",$B$6*TAN(RADIANS(A2007)))</f>
        <v/>
      </c>
    </row>
    <row r="2008">
      <c r="A2008" s="10" t="n"/>
      <c r="B2008" s="10" t="n"/>
      <c r="C2008" s="11">
        <f>IF(A2008="","",$B$5*TAN(RADIANS(A2008)))</f>
        <v/>
      </c>
      <c r="D2008" s="11">
        <f>IF(C2008="","",C2008*(1+B2008/100))</f>
        <v/>
      </c>
      <c r="E2008" s="11">
        <f>IF(A2008="","",$B$6*TAN(RADIANS(A2008)))</f>
        <v/>
      </c>
    </row>
    <row r="2009">
      <c r="A2009" s="10" t="n"/>
      <c r="B2009" s="10" t="n"/>
      <c r="C2009" s="11">
        <f>IF(A2009="","",$B$5*TAN(RADIANS(A2009)))</f>
        <v/>
      </c>
      <c r="D2009" s="11">
        <f>IF(C2009="","",C2009*(1+B2009/100))</f>
        <v/>
      </c>
      <c r="E2009" s="11">
        <f>IF(A2009="","",$B$6*TAN(RADIANS(A2009)))</f>
        <v/>
      </c>
    </row>
    <row r="2010">
      <c r="A2010" s="10" t="n"/>
      <c r="B2010" s="10" t="n"/>
      <c r="C2010" s="11">
        <f>IF(A2010="","",$B$5*TAN(RADIANS(A2010)))</f>
        <v/>
      </c>
      <c r="D2010" s="11">
        <f>IF(C2010="","",C2010*(1+B2010/100))</f>
        <v/>
      </c>
      <c r="E2010" s="11">
        <f>IF(A2010="","",$B$6*TAN(RADIANS(A2010)))</f>
        <v/>
      </c>
    </row>
    <row r="2011">
      <c r="A2011" s="10" t="n"/>
      <c r="B2011" s="10" t="n"/>
      <c r="C2011" s="11">
        <f>IF(A2011="","",$B$5*TAN(RADIANS(A2011)))</f>
        <v/>
      </c>
      <c r="D2011" s="11">
        <f>IF(C2011="","",C2011*(1+B2011/100))</f>
        <v/>
      </c>
      <c r="E2011" s="11">
        <f>IF(A2011="","",$B$6*TAN(RADIANS(A2011)))</f>
        <v/>
      </c>
    </row>
    <row r="2012">
      <c r="A2012" s="10" t="n"/>
      <c r="B2012" s="10" t="n"/>
      <c r="C2012" s="11">
        <f>IF(A2012="","",$B$5*TAN(RADIANS(A2012)))</f>
        <v/>
      </c>
      <c r="D2012" s="11">
        <f>IF(C2012="","",C2012*(1+B2012/100))</f>
        <v/>
      </c>
      <c r="E2012" s="11">
        <f>IF(A2012="","",$B$6*TAN(RADIANS(A2012)))</f>
        <v/>
      </c>
    </row>
    <row r="2013">
      <c r="A2013" s="10" t="n"/>
      <c r="B2013" s="10" t="n"/>
      <c r="C2013" s="11">
        <f>IF(A2013="","",$B$5*TAN(RADIANS(A2013)))</f>
        <v/>
      </c>
      <c r="D2013" s="11">
        <f>IF(C2013="","",C2013*(1+B2013/100))</f>
        <v/>
      </c>
      <c r="E2013" s="11">
        <f>IF(A2013="","",$B$6*TAN(RADIANS(A2013)))</f>
        <v/>
      </c>
    </row>
    <row r="2014">
      <c r="A2014" s="10" t="n"/>
      <c r="B2014" s="10" t="n"/>
      <c r="C2014" s="11">
        <f>IF(A2014="","",$B$5*TAN(RADIANS(A2014)))</f>
        <v/>
      </c>
      <c r="D2014" s="11">
        <f>IF(C2014="","",C2014*(1+B2014/100))</f>
        <v/>
      </c>
      <c r="E2014" s="11">
        <f>IF(A2014="","",$B$6*TAN(RADIANS(A2014)))</f>
        <v/>
      </c>
    </row>
    <row r="2015">
      <c r="A2015" s="10" t="n"/>
      <c r="B2015" s="10" t="n"/>
      <c r="C2015" s="11">
        <f>IF(A2015="","",$B$5*TAN(RADIANS(A2015)))</f>
        <v/>
      </c>
      <c r="D2015" s="11">
        <f>IF(C2015="","",C2015*(1+B2015/100))</f>
        <v/>
      </c>
      <c r="E2015" s="11">
        <f>IF(A2015="","",$B$6*TAN(RADIANS(A2015)))</f>
        <v/>
      </c>
    </row>
    <row r="2016">
      <c r="A2016" s="10" t="n"/>
      <c r="B2016" s="10" t="n"/>
      <c r="C2016" s="11">
        <f>IF(A2016="","",$B$5*TAN(RADIANS(A2016)))</f>
        <v/>
      </c>
      <c r="D2016" s="11">
        <f>IF(C2016="","",C2016*(1+B2016/100))</f>
        <v/>
      </c>
      <c r="E2016" s="11">
        <f>IF(A2016="","",$B$6*TAN(RADIANS(A2016)))</f>
        <v/>
      </c>
    </row>
    <row r="2017">
      <c r="A2017" s="10" t="n"/>
      <c r="B2017" s="10" t="n"/>
      <c r="C2017" s="11">
        <f>IF(A2017="","",$B$5*TAN(RADIANS(A2017)))</f>
        <v/>
      </c>
      <c r="D2017" s="11">
        <f>IF(C2017="","",C2017*(1+B2017/100))</f>
        <v/>
      </c>
      <c r="E2017" s="11">
        <f>IF(A2017="","",$B$6*TAN(RADIANS(A2017)))</f>
        <v/>
      </c>
    </row>
    <row r="2018">
      <c r="A2018" s="10" t="n"/>
      <c r="B2018" s="10" t="n"/>
      <c r="C2018" s="11">
        <f>IF(A2018="","",$B$5*TAN(RADIANS(A2018)))</f>
        <v/>
      </c>
      <c r="D2018" s="11">
        <f>IF(C2018="","",C2018*(1+B2018/100))</f>
        <v/>
      </c>
      <c r="E2018" s="11">
        <f>IF(A2018="","",$B$6*TAN(RADIANS(A2018)))</f>
        <v/>
      </c>
    </row>
  </sheetData>
  <autoFilter ref="A18:B2018"/>
  <mergeCells count="7">
    <mergeCell ref="G17:S17"/>
    <mergeCell ref="A1:S1"/>
    <mergeCell ref="D3:F3"/>
    <mergeCell ref="A3:C3"/>
    <mergeCell ref="A17:E17"/>
    <mergeCell ref="A2:S2"/>
    <mergeCell ref="G25:S25"/>
  </mergeCells>
  <conditionalFormatting sqref="B11">
    <cfRule type="expression" priority="1" dxfId="0">
      <formula>B11&lt;&gt;"OK"</formula>
    </cfRule>
  </conditionalFormatting>
  <conditionalFormatting sqref="E13:E14">
    <cfRule type="expression" priority="2" dxfId="0">
      <formula>LEFT(E13,2)&lt;&gt;"OK"</formula>
    </cfRule>
  </conditionalFormatting>
  <dataValidations count="2">
    <dataValidation sqref="B4:B6 E6:E7" showDropDown="0" showInputMessage="0" showErrorMessage="1" allowBlank="0" error="請輸入大於 0 的數值" type="decimal" operator="greaterThan">
      <formula1>0</formula1>
    </dataValidation>
    <dataValidation sqref="E9" showDropDown="0" showInputMessage="0" showErrorMessage="1" allowBlank="0" error="每邊取樣段數須為 2～50 的整數" type="whole" operator="between">
      <formula1>2</formula1>
      <formula2>50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5" customWidth="1" min="2" max="2"/>
  </cols>
  <sheetData>
    <row r="1">
      <c r="A1" s="1" t="inlineStr">
        <is>
          <t>逆畸變預變形：使用說明與模型限制</t>
        </is>
      </c>
    </row>
    <row r="3" ht="66" customHeight="1">
      <c r="A3" s="13" t="inlineStr">
        <is>
          <t>目的</t>
        </is>
      </c>
      <c r="B3" s="14" t="inlineStr">
        <is>
          <t>先在 sensor 座標中定義正常長方形。本檔反向求出物方應製作的預變形邊界，使其經鏡頭後回到指定長方形。</t>
        </is>
      </c>
    </row>
    <row r="4" ht="66" customHeight="1">
      <c r="A4" s="13" t="inlineStr">
        <is>
          <t>操作</t>
        </is>
      </c>
      <c r="B4" s="14" t="inlineStr">
        <is>
          <t>1. 輸入 pixel size、EFL、物方平面至入瞳距離及光軸中心。\n2. 輸入 sensor 目標長方形的中心、寬、高、順時針旋轉角。\n3. 將黃色示例表換成鏡頭的半視角／Optical distortion 資料，可貼入最多 2000 筆。\n4. 讀取四角或完整曲邊的物方 X/Y。</t>
        </is>
      </c>
    </row>
    <row r="5" ht="66" customHeight="1">
      <c r="A5" s="13" t="inlineStr">
        <is>
          <t>畸變定義</t>
        </is>
      </c>
      <c r="B5" s="14" t="inlineStr">
        <is>
          <t>Distortion(%)=(畸變 sensor 半徑/理想 sensor 半徑−1)×100%。正值向外（通常 pincushion），負值向內（通常 barrel）。TV distortion 或相反符號必須先轉換。</t>
        </is>
      </c>
    </row>
    <row r="6" ht="66" customHeight="1">
      <c r="A6" s="13" t="inlineStr">
        <is>
          <t>反向算法</t>
        </is>
      </c>
      <c r="B6" s="14" t="inlineStr">
        <is>
          <t>由每筆半視角／Distortion 先建立「半視角 ↔ 畸變 sensor 半徑」LUT，並在相鄰資料點間做分段線性內插；再用 R=Z·tan(θ) 求物方半徑。首列半視角必須為 0；超出表格時使用端點角度，不外插。</t>
        </is>
      </c>
    </row>
    <row r="7" ht="66" customHeight="1">
      <c r="A7" s="13" t="inlineStr">
        <is>
          <t>四角與曲邊</t>
        </is>
      </c>
      <c r="B7" s="14" t="inlineStr">
        <is>
          <t>P1～P4 只能保證四個角落正確。徑向逆畸變通常使物方直邊變成曲線；若要 sensor 邊緣筆直，請使用「完整預變形曲邊座標」。每邊取樣越多，折線近似越準。</t>
        </is>
      </c>
    </row>
    <row r="8" ht="66" customHeight="1">
      <c r="A8" s="13" t="inlineStr">
        <is>
          <t>座標方向</t>
        </is>
      </c>
      <c r="B8" s="14" t="inlineStr">
        <is>
          <t>Sensor X 向右、Y 向下。物方 X 向右、Y 向上，並包含鏡頭形成的倒像：sensor X 與物方 X 符號相反。若加工設備使用其他觀看方向，需做鏡射或旋轉轉換。</t>
        </is>
      </c>
    </row>
    <row r="9" ht="66" customHeight="1">
      <c r="A9" s="13" t="inlineStr">
        <is>
          <t>距離與實鏡限制</t>
        </is>
      </c>
      <c r="B9" s="14" t="inlineStr">
        <is>
          <t>Z 應從鏡頭入瞳位置量到物方平面，不一定等於鏡頭外殼距離。模型假設旋轉對稱徑向畸變，不含 tangential/decentering distortion、sensor tilt 或姿態透視。近距離與多片鏡頭宜用工作距離下的實測映射校正。</t>
        </is>
      </c>
    </row>
    <row r="10" ht="66" customHeight="1">
      <c r="A10" s="13" t="inlineStr">
        <is>
          <t>驗證</t>
        </is>
      </c>
      <c r="B10" s="14" t="inlineStr">
        <is>
          <t>「驗證 X/Y」把預變形物方點重新正向投影；誤差應接近 0 pixel。這是數學模型內部驗證，不代表實鏡製造與裝配誤差。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2000-01-01T00:00:00Z</dcterms:modified>
</cp:coreProperties>
</file>